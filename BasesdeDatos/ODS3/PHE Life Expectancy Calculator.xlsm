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DF908ECD-C663-F43C-BE37-009161E90720}"/>
  <workbookPr codeName="ThisWorkbook" defaultThemeVersion="124226"/>
  <mc:AlternateContent xmlns:mc="http://schemas.openxmlformats.org/markup-compatibility/2006">
    <mc:Choice Requires="x15">
      <x15ac:absPath xmlns:x15ac="http://schemas.microsoft.com/office/spreadsheetml/2010/11/ac" url="C:\DataPortatil\Consultories\CreuRojaVal\ODS\BasesdeDatos\Demografia\"/>
    </mc:Choice>
  </mc:AlternateContent>
  <xr:revisionPtr revIDLastSave="0" documentId="8_{0BE9F91E-868D-4E69-9BAA-7435AB6F53C5}" xr6:coauthVersionLast="47" xr6:coauthVersionMax="47" xr10:uidLastSave="{00000000-0000-0000-0000-000000000000}"/>
  <bookViews>
    <workbookView xWindow="-108" yWindow="-108" windowWidth="23256" windowHeight="12456" activeTab="2" xr2:uid="{00000000-000D-0000-FFFF-FFFF00000000}"/>
  </bookViews>
  <sheets>
    <sheet name="Notes" sheetId="2" r:id="rId1"/>
    <sheet name="Life Table" sheetId="1" r:id="rId2"/>
    <sheet name="Batch Calculator" sheetId="3" r:id="rId3"/>
  </sheets>
  <definedNames>
    <definedName name="_xlnm._FilterDatabase" localSheetId="2" hidden="1">'Batch Calculator'!$B$3:$AT$10</definedName>
    <definedName name="Ages">'Life Table'!$C$11:$C$30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0" i="1" l="1"/>
  <c r="P30" i="1" s="1"/>
  <c r="AR10" i="3" a="1"/>
  <c r="AR10" i="3" l="1"/>
  <c r="AT10" i="3"/>
  <c r="AS10" i="3"/>
  <c r="I11" i="1"/>
  <c r="J11" i="1" s="1"/>
  <c r="I12" i="1"/>
  <c r="J12" i="1" s="1"/>
  <c r="P12" i="1" s="1"/>
  <c r="I13" i="1"/>
  <c r="J13" i="1" s="1"/>
  <c r="P13" i="1" s="1"/>
  <c r="I14" i="1"/>
  <c r="J14" i="1" s="1"/>
  <c r="P14" i="1" s="1"/>
  <c r="I15" i="1"/>
  <c r="J15" i="1" s="1"/>
  <c r="P15" i="1" s="1"/>
  <c r="I16" i="1"/>
  <c r="J16" i="1" s="1"/>
  <c r="P16" i="1" s="1"/>
  <c r="I17" i="1"/>
  <c r="J17" i="1" s="1"/>
  <c r="P17" i="1" s="1"/>
  <c r="I18" i="1"/>
  <c r="J18" i="1" s="1"/>
  <c r="I19" i="1"/>
  <c r="J19" i="1" s="1"/>
  <c r="I20" i="1"/>
  <c r="J20" i="1" s="1"/>
  <c r="P20" i="1" s="1"/>
  <c r="I21" i="1"/>
  <c r="J21" i="1" s="1"/>
  <c r="I22" i="1"/>
  <c r="J22" i="1" s="1"/>
  <c r="I23" i="1"/>
  <c r="J23" i="1" s="1"/>
  <c r="P23" i="1" s="1"/>
  <c r="I24" i="1"/>
  <c r="J24" i="1" s="1"/>
  <c r="P24" i="1" s="1"/>
  <c r="I25" i="1"/>
  <c r="J25" i="1" s="1"/>
  <c r="I26" i="1"/>
  <c r="J26" i="1" s="1"/>
  <c r="I27" i="1"/>
  <c r="J27" i="1" s="1"/>
  <c r="P27" i="1" s="1"/>
  <c r="I28" i="1"/>
  <c r="J28" i="1" s="1"/>
  <c r="P28" i="1" s="1"/>
  <c r="I29" i="1"/>
  <c r="J29" i="1" s="1"/>
  <c r="P29" i="1" s="1"/>
  <c r="P25" i="1" l="1"/>
  <c r="P21" i="1"/>
  <c r="P26" i="1"/>
  <c r="P22" i="1"/>
  <c r="P18" i="1"/>
  <c r="P19" i="1"/>
  <c r="P11" i="1"/>
  <c r="K12" i="1"/>
  <c r="K13" i="1" s="1"/>
  <c r="K14" i="1" s="1"/>
  <c r="L13" i="1" l="1"/>
  <c r="M13" i="1" s="1"/>
  <c r="L11" i="1"/>
  <c r="M11" i="1" s="1"/>
  <c r="L12" i="1"/>
  <c r="M12" i="1" s="1"/>
  <c r="K15" i="1"/>
  <c r="L14" i="1" s="1"/>
  <c r="E30" i="1"/>
  <c r="M14" i="1" l="1"/>
  <c r="K16" i="1"/>
  <c r="L15" i="1" s="1"/>
  <c r="M15" i="1" l="1"/>
  <c r="K17" i="1"/>
  <c r="L16" i="1" s="1"/>
  <c r="M16" i="1" l="1"/>
  <c r="K18" i="1"/>
  <c r="K19" i="1" l="1"/>
  <c r="L17" i="1"/>
  <c r="M17" i="1" s="1"/>
  <c r="K20" i="1" l="1"/>
  <c r="L19" i="1" s="1"/>
  <c r="L18" i="1"/>
  <c r="M18" i="1" s="1"/>
  <c r="K21" i="1" l="1"/>
  <c r="M19" i="1"/>
  <c r="K22" i="1" l="1"/>
  <c r="L21" i="1" s="1"/>
  <c r="L20" i="1"/>
  <c r="M20" i="1" s="1"/>
  <c r="M21" i="1" l="1"/>
  <c r="K23" i="1"/>
  <c r="L22" i="1" s="1"/>
  <c r="K24" i="1" l="1"/>
  <c r="M22" i="1"/>
  <c r="K25" i="1" l="1"/>
  <c r="L24" i="1" s="1"/>
  <c r="L23" i="1"/>
  <c r="M23" i="1" s="1"/>
  <c r="M24" i="1" l="1"/>
  <c r="K26" i="1"/>
  <c r="L25" i="1" s="1"/>
  <c r="M25" i="1" l="1"/>
  <c r="K27" i="1"/>
  <c r="L26" i="1" s="1"/>
  <c r="K28" i="1" l="1"/>
  <c r="M26" i="1"/>
  <c r="K29" i="1" l="1"/>
  <c r="L28" i="1" s="1"/>
  <c r="L27" i="1"/>
  <c r="M27" i="1" s="1"/>
  <c r="M28" i="1" l="1"/>
  <c r="K30" i="1"/>
  <c r="Q30" i="1" s="1"/>
  <c r="L29" i="1" l="1"/>
  <c r="M29" i="1" s="1"/>
  <c r="R30" i="1"/>
  <c r="M30" i="1"/>
  <c r="N30" i="1" s="1"/>
  <c r="O30" i="1" s="1"/>
  <c r="L30" i="1"/>
  <c r="Q29" i="1" l="1"/>
  <c r="R29" i="1" s="1"/>
  <c r="S30" i="1"/>
  <c r="T30" i="1" s="1"/>
  <c r="N29" i="1"/>
  <c r="U30" i="1" l="1"/>
  <c r="S29" i="1"/>
  <c r="N28" i="1"/>
  <c r="O29" i="1"/>
  <c r="U29" i="1" l="1"/>
  <c r="T29" i="1"/>
  <c r="Q28" i="1"/>
  <c r="R28" i="1" s="1"/>
  <c r="N27" i="1"/>
  <c r="O28" i="1"/>
  <c r="Q27" i="1" l="1"/>
  <c r="R27" i="1" s="1"/>
  <c r="N26" i="1"/>
  <c r="O27" i="1"/>
  <c r="S28" i="1"/>
  <c r="U28" i="1" s="1"/>
  <c r="S27" i="1" l="1"/>
  <c r="T27" i="1" s="1"/>
  <c r="T28" i="1"/>
  <c r="Q26" i="1"/>
  <c r="R26" i="1" s="1"/>
  <c r="N25" i="1"/>
  <c r="O26" i="1"/>
  <c r="U27" i="1" l="1"/>
  <c r="S26" i="1"/>
  <c r="T26" i="1" s="1"/>
  <c r="N24" i="1"/>
  <c r="O25" i="1"/>
  <c r="Q25" i="1"/>
  <c r="R25" i="1" s="1"/>
  <c r="U26" i="1" l="1"/>
  <c r="S25" i="1"/>
  <c r="T25" i="1" s="1"/>
  <c r="Q24" i="1"/>
  <c r="R24" i="1" s="1"/>
  <c r="N23" i="1"/>
  <c r="O24" i="1"/>
  <c r="U25" i="1" l="1"/>
  <c r="S24" i="1"/>
  <c r="U24" i="1" s="1"/>
  <c r="Q23" i="1"/>
  <c r="R23" i="1" s="1"/>
  <c r="N22" i="1"/>
  <c r="O23" i="1"/>
  <c r="T24" i="1" l="1"/>
  <c r="S23" i="1"/>
  <c r="T23" i="1" s="1"/>
  <c r="Q22" i="1"/>
  <c r="R22" i="1" s="1"/>
  <c r="N21" i="1"/>
  <c r="O22" i="1"/>
  <c r="S22" i="1" l="1"/>
  <c r="T22" i="1" s="1"/>
  <c r="U23" i="1"/>
  <c r="Q21" i="1"/>
  <c r="R21" i="1" s="1"/>
  <c r="N20" i="1"/>
  <c r="O21" i="1"/>
  <c r="U22" i="1" l="1"/>
  <c r="S21" i="1"/>
  <c r="T21" i="1" s="1"/>
  <c r="N19" i="1"/>
  <c r="O20" i="1"/>
  <c r="Q20" i="1"/>
  <c r="R20" i="1" s="1"/>
  <c r="U21" i="1" l="1"/>
  <c r="S20" i="1"/>
  <c r="T20" i="1" s="1"/>
  <c r="Q19" i="1"/>
  <c r="R19" i="1" s="1"/>
  <c r="N18" i="1"/>
  <c r="O19" i="1"/>
  <c r="U20" i="1" l="1"/>
  <c r="S19" i="1"/>
  <c r="U19" i="1" s="1"/>
  <c r="Q18" i="1"/>
  <c r="R18" i="1" s="1"/>
  <c r="N17" i="1"/>
  <c r="O18" i="1"/>
  <c r="T19" i="1" l="1"/>
  <c r="Q17" i="1"/>
  <c r="R17" i="1" s="1"/>
  <c r="N16" i="1"/>
  <c r="O17" i="1"/>
  <c r="S18" i="1"/>
  <c r="T18" i="1" s="1"/>
  <c r="S17" i="1" l="1"/>
  <c r="U17" i="1" s="1"/>
  <c r="U18" i="1"/>
  <c r="Q16" i="1"/>
  <c r="R16" i="1" s="1"/>
  <c r="N15" i="1"/>
  <c r="O16" i="1"/>
  <c r="T17" i="1" l="1"/>
  <c r="S16" i="1"/>
  <c r="U16" i="1" s="1"/>
  <c r="Q15" i="1"/>
  <c r="R15" i="1" s="1"/>
  <c r="N14" i="1"/>
  <c r="O15" i="1"/>
  <c r="T16" i="1" l="1"/>
  <c r="S15" i="1"/>
  <c r="T15" i="1" s="1"/>
  <c r="Q14" i="1"/>
  <c r="R14" i="1" s="1"/>
  <c r="N13" i="1"/>
  <c r="O14" i="1"/>
  <c r="S14" i="1" l="1"/>
  <c r="U14" i="1" s="1"/>
  <c r="U15" i="1"/>
  <c r="Q13" i="1"/>
  <c r="R13" i="1" s="1"/>
  <c r="N12" i="1"/>
  <c r="O13" i="1"/>
  <c r="T14" i="1" l="1"/>
  <c r="S13" i="1"/>
  <c r="U13" i="1" s="1"/>
  <c r="Q12" i="1"/>
  <c r="R12" i="1" s="1"/>
  <c r="N11" i="1"/>
  <c r="O11" i="1" s="1"/>
  <c r="O12" i="1"/>
  <c r="T13" i="1" l="1"/>
  <c r="S12" i="1"/>
  <c r="U12" i="1" s="1"/>
  <c r="Q11" i="1"/>
  <c r="R11" i="1" s="1"/>
  <c r="S11" i="1" s="1"/>
  <c r="T12" i="1" l="1"/>
  <c r="U11" i="1"/>
  <c r="T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Eayres</author>
  </authors>
  <commentList>
    <comment ref="E9" authorId="0" shapeId="0" xr:uid="{00000000-0006-0000-0100-000001000000}">
      <text>
        <r>
          <rPr>
            <sz val="11"/>
            <color indexed="81"/>
            <rFont val="Calibri"/>
            <family val="2"/>
            <scheme val="minor"/>
          </rPr>
          <t>The width in years of the age interval.</t>
        </r>
      </text>
    </comment>
    <comment ref="F9" authorId="0" shapeId="0" xr:uid="{00000000-0006-0000-0100-000002000000}">
      <text>
        <r>
          <rPr>
            <sz val="11"/>
            <color indexed="81"/>
            <rFont val="Calibri"/>
            <family val="2"/>
            <scheme val="minor"/>
          </rPr>
          <t>Members of the hypothetical cohort who die during an age interval do not all do so at either the beginning or the end of the interval but a various points throughout its length. The fraction of last age interval of life is the average fraction of the age interval that they survive before dying.</t>
        </r>
      </text>
    </comment>
    <comment ref="G9" authorId="0" shapeId="0" xr:uid="{00000000-0006-0000-0100-000003000000}">
      <text>
        <r>
          <rPr>
            <sz val="11"/>
            <color indexed="81"/>
            <rFont val="Calibri"/>
            <family val="2"/>
            <scheme val="minor"/>
          </rPr>
          <t>The total population-years at risk over the specified time period.  Sum of the populations for each year or average population x years.</t>
        </r>
      </text>
    </comment>
    <comment ref="H9" authorId="0" shapeId="0" xr:uid="{00000000-0006-0000-0100-000004000000}">
      <text>
        <r>
          <rPr>
            <sz val="11"/>
            <color indexed="81"/>
            <rFont val="Calibri"/>
            <family val="2"/>
            <scheme val="minor"/>
          </rPr>
          <t>The total number of deaths observed over the specified time period.</t>
        </r>
      </text>
    </comment>
    <comment ref="I9" authorId="0" shapeId="0" xr:uid="{00000000-0006-0000-0100-000005000000}">
      <text>
        <r>
          <rPr>
            <i/>
            <sz val="11"/>
            <color indexed="81"/>
            <rFont val="Calibri"/>
            <family val="2"/>
            <scheme val="minor"/>
          </rPr>
          <t>M</t>
        </r>
        <r>
          <rPr>
            <i/>
            <vertAlign val="subscript"/>
            <sz val="11"/>
            <color indexed="81"/>
            <rFont val="Calibri"/>
            <family val="2"/>
            <scheme val="minor"/>
          </rPr>
          <t xml:space="preserve">i </t>
        </r>
        <r>
          <rPr>
            <i/>
            <sz val="11"/>
            <color indexed="81"/>
            <rFont val="Calibri"/>
            <family val="2"/>
            <scheme val="minor"/>
          </rPr>
          <t>= D</t>
        </r>
        <r>
          <rPr>
            <i/>
            <vertAlign val="subscript"/>
            <sz val="11"/>
            <color indexed="81"/>
            <rFont val="Calibri"/>
            <family val="2"/>
            <scheme val="minor"/>
          </rPr>
          <t>i</t>
        </r>
        <r>
          <rPr>
            <i/>
            <sz val="11"/>
            <color indexed="81"/>
            <rFont val="Calibri"/>
            <family val="2"/>
            <scheme val="minor"/>
          </rPr>
          <t>/P</t>
        </r>
        <r>
          <rPr>
            <i/>
            <vertAlign val="subscript"/>
            <sz val="11"/>
            <color indexed="81"/>
            <rFont val="Calibri"/>
            <family val="2"/>
            <scheme val="minor"/>
          </rPr>
          <t>i</t>
        </r>
        <r>
          <rPr>
            <sz val="11"/>
            <color indexed="81"/>
            <rFont val="Calibri"/>
            <family val="2"/>
            <scheme val="minor"/>
          </rPr>
          <t xml:space="preserve">
The observed annual age-specific mortality rate.</t>
        </r>
      </text>
    </comment>
    <comment ref="J9" authorId="0" shapeId="0" xr:uid="{00000000-0006-0000-0100-000006000000}">
      <text>
        <r>
          <rPr>
            <i/>
            <sz val="11"/>
            <color indexed="81"/>
            <rFont val="Calibri"/>
            <family val="2"/>
            <scheme val="minor"/>
          </rPr>
          <t>q</t>
        </r>
        <r>
          <rPr>
            <i/>
            <vertAlign val="subscript"/>
            <sz val="11"/>
            <color indexed="81"/>
            <rFont val="Calibri"/>
            <family val="2"/>
            <scheme val="minor"/>
          </rPr>
          <t xml:space="preserve">i </t>
        </r>
        <r>
          <rPr>
            <i/>
            <sz val="11"/>
            <color indexed="81"/>
            <rFont val="Calibri"/>
            <family val="2"/>
            <scheme val="minor"/>
          </rPr>
          <t>= n</t>
        </r>
        <r>
          <rPr>
            <i/>
            <vertAlign val="subscript"/>
            <sz val="11"/>
            <color indexed="81"/>
            <rFont val="Calibri"/>
            <family val="2"/>
            <scheme val="minor"/>
          </rPr>
          <t>i</t>
        </r>
        <r>
          <rPr>
            <i/>
            <sz val="11"/>
            <color indexed="81"/>
            <rFont val="Calibri"/>
            <family val="2"/>
            <scheme val="minor"/>
          </rPr>
          <t>M</t>
        </r>
        <r>
          <rPr>
            <i/>
            <vertAlign val="subscript"/>
            <sz val="11"/>
            <color indexed="81"/>
            <rFont val="Calibri"/>
            <family val="2"/>
            <scheme val="minor"/>
          </rPr>
          <t>i</t>
        </r>
        <r>
          <rPr>
            <i/>
            <sz val="11"/>
            <color indexed="81"/>
            <rFont val="Calibri"/>
            <family val="2"/>
            <scheme val="minor"/>
          </rPr>
          <t>/(1 + n</t>
        </r>
        <r>
          <rPr>
            <i/>
            <vertAlign val="subscript"/>
            <sz val="11"/>
            <color indexed="81"/>
            <rFont val="Calibri"/>
            <family val="2"/>
            <scheme val="minor"/>
          </rPr>
          <t>i</t>
        </r>
        <r>
          <rPr>
            <i/>
            <sz val="11"/>
            <color indexed="81"/>
            <rFont val="Calibri"/>
            <family val="2"/>
            <scheme val="minor"/>
          </rPr>
          <t>(1 – a</t>
        </r>
        <r>
          <rPr>
            <i/>
            <vertAlign val="subscript"/>
            <sz val="11"/>
            <color indexed="81"/>
            <rFont val="Calibri"/>
            <family val="2"/>
            <scheme val="minor"/>
          </rPr>
          <t>i</t>
        </r>
        <r>
          <rPr>
            <i/>
            <sz val="11"/>
            <color indexed="81"/>
            <rFont val="Calibri"/>
            <family val="2"/>
            <scheme val="minor"/>
          </rPr>
          <t>)M</t>
        </r>
        <r>
          <rPr>
            <i/>
            <vertAlign val="subscript"/>
            <sz val="11"/>
            <color indexed="81"/>
            <rFont val="Calibri"/>
            <family val="2"/>
            <scheme val="minor"/>
          </rPr>
          <t>i</t>
        </r>
        <r>
          <rPr>
            <i/>
            <sz val="11"/>
            <color indexed="81"/>
            <rFont val="Calibri"/>
            <family val="2"/>
            <scheme val="minor"/>
          </rPr>
          <t xml:space="preserve">)
</t>
        </r>
        <r>
          <rPr>
            <sz val="11"/>
            <color indexed="81"/>
            <rFont val="Calibri"/>
            <family val="2"/>
            <scheme val="minor"/>
          </rPr>
          <t>The probability of dying is calculated from the observed annual age-specific mortality rate using the linear method, i.e. it is assumed that deaths are distributed evenly over the age interval.</t>
        </r>
      </text>
    </comment>
    <comment ref="K9" authorId="0" shapeId="0" xr:uid="{00000000-0006-0000-0100-000007000000}">
      <text>
        <r>
          <rPr>
            <i/>
            <sz val="11"/>
            <color indexed="81"/>
            <rFont val="Calibri"/>
            <family val="2"/>
            <scheme val="minor"/>
          </rPr>
          <t>l</t>
        </r>
        <r>
          <rPr>
            <i/>
            <vertAlign val="subscript"/>
            <sz val="11"/>
            <color indexed="81"/>
            <rFont val="Calibri"/>
            <family val="2"/>
            <scheme val="minor"/>
          </rPr>
          <t>i</t>
        </r>
        <r>
          <rPr>
            <i/>
            <sz val="11"/>
            <color indexed="81"/>
            <rFont val="Calibri"/>
            <family val="2"/>
            <scheme val="minor"/>
          </rPr>
          <t xml:space="preserve"> = l</t>
        </r>
        <r>
          <rPr>
            <i/>
            <vertAlign val="subscript"/>
            <sz val="11"/>
            <color indexed="81"/>
            <rFont val="Calibri"/>
            <family val="2"/>
            <scheme val="minor"/>
          </rPr>
          <t>i –1</t>
        </r>
        <r>
          <rPr>
            <i/>
            <sz val="11"/>
            <color indexed="81"/>
            <rFont val="Calibri"/>
            <family val="2"/>
            <scheme val="minor"/>
          </rPr>
          <t>p</t>
        </r>
        <r>
          <rPr>
            <i/>
            <vertAlign val="subscript"/>
            <sz val="11"/>
            <color indexed="81"/>
            <rFont val="Calibri"/>
            <family val="2"/>
            <scheme val="minor"/>
          </rPr>
          <t xml:space="preserve">i –1
</t>
        </r>
        <r>
          <rPr>
            <sz val="11"/>
            <color indexed="81"/>
            <rFont val="Calibri"/>
            <family val="2"/>
            <scheme val="minor"/>
          </rPr>
          <t>The hypothetical cohort experiencing the survival probabilities of each age interval.</t>
        </r>
      </text>
    </comment>
    <comment ref="L9" authorId="0" shapeId="0" xr:uid="{00000000-0006-0000-0100-000008000000}">
      <text>
        <r>
          <rPr>
            <i/>
            <sz val="11"/>
            <color indexed="81"/>
            <rFont val="Calibri"/>
            <family val="2"/>
            <scheme val="minor"/>
          </rPr>
          <t>d</t>
        </r>
        <r>
          <rPr>
            <i/>
            <vertAlign val="subscript"/>
            <sz val="11"/>
            <color indexed="81"/>
            <rFont val="Calibri"/>
            <family val="2"/>
            <scheme val="minor"/>
          </rPr>
          <t xml:space="preserve">i </t>
        </r>
        <r>
          <rPr>
            <i/>
            <sz val="11"/>
            <color indexed="81"/>
            <rFont val="Calibri"/>
            <family val="2"/>
            <scheme val="minor"/>
          </rPr>
          <t>= l</t>
        </r>
        <r>
          <rPr>
            <i/>
            <vertAlign val="subscript"/>
            <sz val="11"/>
            <color indexed="81"/>
            <rFont val="Calibri"/>
            <family val="2"/>
            <scheme val="minor"/>
          </rPr>
          <t>i</t>
        </r>
        <r>
          <rPr>
            <i/>
            <sz val="11"/>
            <color indexed="81"/>
            <rFont val="Calibri"/>
            <family val="2"/>
            <scheme val="minor"/>
          </rPr>
          <t xml:space="preserve"> – l</t>
        </r>
        <r>
          <rPr>
            <i/>
            <vertAlign val="subscript"/>
            <sz val="11"/>
            <color indexed="81"/>
            <rFont val="Calibri"/>
            <family val="2"/>
            <scheme val="minor"/>
          </rPr>
          <t>i+1</t>
        </r>
      </text>
    </comment>
    <comment ref="M9" authorId="0" shapeId="0" xr:uid="{00000000-0006-0000-0100-000009000000}">
      <text>
        <r>
          <rPr>
            <i/>
            <sz val="11"/>
            <color indexed="81"/>
            <rFont val="Calibri"/>
            <family val="2"/>
            <scheme val="minor"/>
          </rPr>
          <t>L</t>
        </r>
        <r>
          <rPr>
            <i/>
            <vertAlign val="subscript"/>
            <sz val="11"/>
            <color indexed="81"/>
            <rFont val="Calibri"/>
            <family val="2"/>
            <scheme val="minor"/>
          </rPr>
          <t xml:space="preserve">i </t>
        </r>
        <r>
          <rPr>
            <i/>
            <sz val="11"/>
            <color indexed="81"/>
            <rFont val="Calibri"/>
            <family val="2"/>
            <scheme val="minor"/>
          </rPr>
          <t>= n</t>
        </r>
        <r>
          <rPr>
            <i/>
            <vertAlign val="subscript"/>
            <sz val="11"/>
            <color indexed="81"/>
            <rFont val="Calibri"/>
            <family val="2"/>
            <scheme val="minor"/>
          </rPr>
          <t>i</t>
        </r>
        <r>
          <rPr>
            <i/>
            <sz val="11"/>
            <color indexed="81"/>
            <rFont val="Calibri"/>
            <family val="2"/>
            <scheme val="minor"/>
          </rPr>
          <t>(l</t>
        </r>
        <r>
          <rPr>
            <i/>
            <vertAlign val="subscript"/>
            <sz val="11"/>
            <color indexed="81"/>
            <rFont val="Calibri"/>
            <family val="2"/>
            <scheme val="minor"/>
          </rPr>
          <t>i +1</t>
        </r>
        <r>
          <rPr>
            <i/>
            <sz val="11"/>
            <color indexed="81"/>
            <rFont val="Calibri"/>
            <family val="2"/>
            <scheme val="minor"/>
          </rPr>
          <t>+ a</t>
        </r>
        <r>
          <rPr>
            <i/>
            <vertAlign val="subscript"/>
            <sz val="11"/>
            <color indexed="81"/>
            <rFont val="Calibri"/>
            <family val="2"/>
            <scheme val="minor"/>
          </rPr>
          <t>i</t>
        </r>
        <r>
          <rPr>
            <i/>
            <sz val="11"/>
            <color indexed="81"/>
            <rFont val="Calibri"/>
            <family val="2"/>
            <scheme val="minor"/>
          </rPr>
          <t>d</t>
        </r>
        <r>
          <rPr>
            <i/>
            <vertAlign val="subscript"/>
            <sz val="11"/>
            <color indexed="81"/>
            <rFont val="Calibri"/>
            <family val="2"/>
            <scheme val="minor"/>
          </rPr>
          <t>i</t>
        </r>
        <r>
          <rPr>
            <i/>
            <sz val="11"/>
            <color indexed="81"/>
            <rFont val="Calibri"/>
            <family val="2"/>
            <scheme val="minor"/>
          </rPr>
          <t xml:space="preserve">)
</t>
        </r>
        <r>
          <rPr>
            <sz val="11"/>
            <color indexed="81"/>
            <rFont val="Calibri"/>
            <family val="2"/>
            <scheme val="minor"/>
          </rPr>
          <t xml:space="preserve">Each survivor to the end of the age interval contributes </t>
        </r>
        <r>
          <rPr>
            <i/>
            <sz val="11"/>
            <color indexed="81"/>
            <rFont val="Calibri"/>
            <family val="2"/>
            <scheme val="minor"/>
          </rPr>
          <t>n</t>
        </r>
        <r>
          <rPr>
            <i/>
            <vertAlign val="subscript"/>
            <sz val="11"/>
            <color indexed="81"/>
            <rFont val="Calibri"/>
            <family val="2"/>
            <scheme val="minor"/>
          </rPr>
          <t>i</t>
        </r>
        <r>
          <rPr>
            <sz val="11"/>
            <color indexed="81"/>
            <rFont val="Calibri"/>
            <family val="2"/>
            <scheme val="minor"/>
          </rPr>
          <t xml:space="preserve"> years and each casualty contributes an average of </t>
        </r>
        <r>
          <rPr>
            <i/>
            <sz val="11"/>
            <color indexed="81"/>
            <rFont val="Calibri"/>
            <family val="2"/>
            <scheme val="minor"/>
          </rPr>
          <t>a</t>
        </r>
        <r>
          <rPr>
            <i/>
            <vertAlign val="subscript"/>
            <sz val="11"/>
            <color indexed="81"/>
            <rFont val="Calibri"/>
            <family val="2"/>
            <scheme val="minor"/>
          </rPr>
          <t>i</t>
        </r>
        <r>
          <rPr>
            <i/>
            <sz val="11"/>
            <color indexed="81"/>
            <rFont val="Calibri"/>
            <family val="2"/>
            <scheme val="minor"/>
          </rPr>
          <t>n</t>
        </r>
        <r>
          <rPr>
            <i/>
            <vertAlign val="subscript"/>
            <sz val="11"/>
            <color indexed="81"/>
            <rFont val="Calibri"/>
            <family val="2"/>
            <scheme val="minor"/>
          </rPr>
          <t>i</t>
        </r>
        <r>
          <rPr>
            <sz val="11"/>
            <color indexed="81"/>
            <rFont val="Calibri"/>
            <family val="2"/>
            <scheme val="minor"/>
          </rPr>
          <t xml:space="preserve"> years.</t>
        </r>
      </text>
    </comment>
    <comment ref="N9" authorId="0" shapeId="0" xr:uid="{00000000-0006-0000-0100-00000A000000}">
      <text>
        <r>
          <rPr>
            <i/>
            <sz val="11"/>
            <color indexed="81"/>
            <rFont val="Times New Roman"/>
            <family val="1"/>
          </rPr>
          <t xml:space="preserve"> </t>
        </r>
        <r>
          <rPr>
            <i/>
            <sz val="11"/>
            <color indexed="81"/>
            <rFont val="Calibri"/>
            <family val="2"/>
            <scheme val="minor"/>
          </rPr>
          <t>T</t>
        </r>
        <r>
          <rPr>
            <i/>
            <vertAlign val="subscript"/>
            <sz val="9"/>
            <color indexed="81"/>
            <rFont val="Calibri"/>
            <family val="2"/>
            <scheme val="minor"/>
          </rPr>
          <t>i</t>
        </r>
        <r>
          <rPr>
            <i/>
            <sz val="11"/>
            <color indexed="81"/>
            <rFont val="Calibri"/>
            <family val="2"/>
            <scheme val="minor"/>
          </rPr>
          <t xml:space="preserve"> = </t>
        </r>
        <r>
          <rPr>
            <i/>
            <sz val="11"/>
            <color indexed="81"/>
            <rFont val="Symbol"/>
            <family val="1"/>
            <charset val="2"/>
          </rPr>
          <t xml:space="preserve">å </t>
        </r>
        <r>
          <rPr>
            <i/>
            <sz val="11"/>
            <color indexed="81"/>
            <rFont val="Calibri"/>
            <family val="2"/>
            <scheme val="minor"/>
          </rPr>
          <t>l</t>
        </r>
        <r>
          <rPr>
            <i/>
            <vertAlign val="subscript"/>
            <sz val="11"/>
            <color indexed="81"/>
            <rFont val="Calibri"/>
            <family val="2"/>
            <scheme val="minor"/>
          </rPr>
          <t xml:space="preserve">j </t>
        </r>
        <r>
          <rPr>
            <i/>
            <sz val="11"/>
            <color indexed="81"/>
            <rFont val="Calibri"/>
            <family val="2"/>
            <scheme val="minor"/>
          </rPr>
          <t xml:space="preserve">, for j = i to </t>
        </r>
        <r>
          <rPr>
            <i/>
            <sz val="11"/>
            <color indexed="81"/>
            <rFont val="Symbol"/>
            <family val="1"/>
            <charset val="2"/>
          </rPr>
          <t>w</t>
        </r>
      </text>
    </comment>
    <comment ref="O9" authorId="0" shapeId="0" xr:uid="{00000000-0006-0000-0100-00000B000000}">
      <text>
        <r>
          <rPr>
            <i/>
            <sz val="11"/>
            <color indexed="81"/>
            <rFont val="Calibri"/>
            <family val="2"/>
            <scheme val="minor"/>
          </rPr>
          <t>ê</t>
        </r>
        <r>
          <rPr>
            <i/>
            <vertAlign val="subscript"/>
            <sz val="11"/>
            <color indexed="81"/>
            <rFont val="Calibri"/>
            <family val="2"/>
            <scheme val="minor"/>
          </rPr>
          <t>i</t>
        </r>
        <r>
          <rPr>
            <i/>
            <sz val="11"/>
            <color indexed="81"/>
            <rFont val="Calibri"/>
            <family val="2"/>
            <scheme val="minor"/>
          </rPr>
          <t xml:space="preserve"> = T</t>
        </r>
        <r>
          <rPr>
            <i/>
            <vertAlign val="subscript"/>
            <sz val="11"/>
            <color indexed="81"/>
            <rFont val="Calibri"/>
            <family val="2"/>
            <scheme val="minor"/>
          </rPr>
          <t>i</t>
        </r>
        <r>
          <rPr>
            <i/>
            <sz val="11"/>
            <color indexed="81"/>
            <rFont val="Calibri"/>
            <family val="2"/>
            <scheme val="minor"/>
          </rPr>
          <t xml:space="preserve"> / l</t>
        </r>
        <r>
          <rPr>
            <i/>
            <vertAlign val="subscript"/>
            <sz val="11"/>
            <color indexed="81"/>
            <rFont val="Calibri"/>
            <family val="2"/>
            <scheme val="minor"/>
          </rPr>
          <t>i</t>
        </r>
        <r>
          <rPr>
            <sz val="8"/>
            <color indexed="81"/>
            <rFont val="Calibri"/>
            <family val="2"/>
            <scheme val="minor"/>
          </rPr>
          <t xml:space="preserve">
</t>
        </r>
        <r>
          <rPr>
            <sz val="11"/>
            <color indexed="81"/>
            <rFont val="Calibri"/>
            <family val="2"/>
            <scheme val="minor"/>
          </rPr>
          <t>The life expectancy at the start of an age interval is the total number of years lived beyond the start of the interval divided by the number alive at the start of the interval</t>
        </r>
      </text>
    </comment>
    <comment ref="P9" authorId="0" shapeId="0" xr:uid="{00000000-0006-0000-0100-00000C000000}">
      <text>
        <r>
          <rPr>
            <i/>
            <sz val="11"/>
            <color indexed="81"/>
            <rFont val="Calibri"/>
            <family val="2"/>
            <scheme val="minor"/>
          </rPr>
          <t>S</t>
        </r>
        <r>
          <rPr>
            <i/>
            <vertAlign val="subscript"/>
            <sz val="11"/>
            <color indexed="81"/>
            <rFont val="Calibri"/>
            <family val="2"/>
            <scheme val="minor"/>
          </rPr>
          <t>p</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q</t>
        </r>
        <r>
          <rPr>
            <i/>
            <vertAlign val="subscript"/>
            <sz val="11"/>
            <color indexed="81"/>
            <rFont val="Calibri"/>
            <family val="2"/>
            <scheme val="minor"/>
          </rPr>
          <t>i</t>
        </r>
        <r>
          <rPr>
            <i/>
            <vertAlign val="superscript"/>
            <sz val="11"/>
            <color indexed="81"/>
            <rFont val="Calibri"/>
            <family val="2"/>
            <scheme val="minor"/>
          </rPr>
          <t>2</t>
        </r>
        <r>
          <rPr>
            <i/>
            <sz val="11"/>
            <color indexed="81"/>
            <rFont val="Calibri"/>
            <family val="2"/>
            <scheme val="minor"/>
          </rPr>
          <t>p</t>
        </r>
        <r>
          <rPr>
            <i/>
            <vertAlign val="subscript"/>
            <sz val="11"/>
            <color indexed="81"/>
            <rFont val="Calibri"/>
            <family val="2"/>
            <scheme val="minor"/>
          </rPr>
          <t xml:space="preserve">i </t>
        </r>
        <r>
          <rPr>
            <i/>
            <sz val="11"/>
            <color indexed="81"/>
            <rFont val="Calibri"/>
            <family val="2"/>
            <scheme val="minor"/>
          </rPr>
          <t>/ D</t>
        </r>
        <r>
          <rPr>
            <i/>
            <vertAlign val="subscript"/>
            <sz val="11"/>
            <color indexed="81"/>
            <rFont val="Calibri"/>
            <family val="2"/>
            <scheme val="minor"/>
          </rPr>
          <t xml:space="preserve">i
</t>
        </r>
        <r>
          <rPr>
            <sz val="11"/>
            <color indexed="81"/>
            <rFont val="Calibri"/>
            <family val="2"/>
            <scheme val="minor"/>
          </rPr>
          <t>The sample variance of the proportion surviving the age interval. 
The variance of the total number of years lived by the cohort is the sum of the weighted variances of the probability of surviving each age interval.</t>
        </r>
      </text>
    </comment>
    <comment ref="Q9" authorId="0" shapeId="0" xr:uid="{00000000-0006-0000-0100-00000D000000}">
      <text>
        <r>
          <rPr>
            <i/>
            <sz val="11"/>
            <color indexed="81"/>
            <rFont val="Calibri"/>
            <family val="2"/>
            <scheme val="minor"/>
          </rPr>
          <t>Weighted S</t>
        </r>
        <r>
          <rPr>
            <i/>
            <vertAlign val="subscript"/>
            <sz val="11"/>
            <color indexed="81"/>
            <rFont val="Calibri"/>
            <family val="2"/>
            <scheme val="minor"/>
          </rPr>
          <t>pi</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Calibri"/>
            <family val="2"/>
            <scheme val="minor"/>
          </rPr>
          <t>i</t>
        </r>
        <r>
          <rPr>
            <i/>
            <vertAlign val="superscript"/>
            <sz val="11"/>
            <color indexed="81"/>
            <rFont val="Calibri"/>
            <family val="2"/>
            <scheme val="minor"/>
          </rPr>
          <t>2</t>
        </r>
        <r>
          <rPr>
            <i/>
            <sz val="11"/>
            <color indexed="81"/>
            <rFont val="Calibri"/>
            <family val="2"/>
            <scheme val="minor"/>
          </rPr>
          <t>[ê</t>
        </r>
        <r>
          <rPr>
            <i/>
            <vertAlign val="subscript"/>
            <sz val="11"/>
            <color indexed="81"/>
            <rFont val="Calibri"/>
            <family val="2"/>
            <scheme val="minor"/>
          </rPr>
          <t>i+1</t>
        </r>
        <r>
          <rPr>
            <i/>
            <sz val="11"/>
            <color indexed="81"/>
            <rFont val="Calibri"/>
            <family val="2"/>
            <scheme val="minor"/>
          </rPr>
          <t>+(1-a</t>
        </r>
        <r>
          <rPr>
            <i/>
            <vertAlign val="subscript"/>
            <sz val="11"/>
            <color indexed="81"/>
            <rFont val="Calibri"/>
            <family val="2"/>
            <scheme val="minor"/>
          </rPr>
          <t>i</t>
        </r>
        <r>
          <rPr>
            <i/>
            <sz val="11"/>
            <color indexed="81"/>
            <rFont val="Calibri"/>
            <family val="2"/>
            <scheme val="minor"/>
          </rPr>
          <t>)n</t>
        </r>
        <r>
          <rPr>
            <i/>
            <vertAlign val="subscript"/>
            <sz val="11"/>
            <color indexed="81"/>
            <rFont val="Calibri"/>
            <family val="2"/>
            <scheme val="minor"/>
          </rPr>
          <t>i</t>
        </r>
        <r>
          <rPr>
            <i/>
            <sz val="11"/>
            <color indexed="81"/>
            <rFont val="Calibri"/>
            <family val="2"/>
            <scheme val="minor"/>
          </rPr>
          <t>]</t>
        </r>
        <r>
          <rPr>
            <i/>
            <vertAlign val="superscript"/>
            <sz val="11"/>
            <color indexed="81"/>
            <rFont val="Calibri"/>
            <family val="2"/>
            <scheme val="minor"/>
          </rPr>
          <t>2</t>
        </r>
        <r>
          <rPr>
            <i/>
            <sz val="11"/>
            <color indexed="81"/>
            <rFont val="Calibri"/>
            <family val="2"/>
            <scheme val="minor"/>
          </rPr>
          <t>S</t>
        </r>
        <r>
          <rPr>
            <i/>
            <vertAlign val="subscript"/>
            <sz val="11"/>
            <color indexed="81"/>
            <rFont val="Calibri"/>
            <family val="2"/>
            <scheme val="minor"/>
          </rPr>
          <t>pi</t>
        </r>
        <r>
          <rPr>
            <i/>
            <vertAlign val="superscript"/>
            <sz val="11"/>
            <color indexed="81"/>
            <rFont val="Calibri"/>
            <family val="2"/>
            <scheme val="minor"/>
          </rPr>
          <t>2</t>
        </r>
        <r>
          <rPr>
            <i/>
            <vertAlign val="subscript"/>
            <sz val="11"/>
            <color indexed="81"/>
            <rFont val="Calibri"/>
            <family val="2"/>
            <scheme val="minor"/>
          </rPr>
          <t xml:space="preserve">
</t>
        </r>
        <r>
          <rPr>
            <sz val="11"/>
            <color indexed="81"/>
            <rFont val="Calibri"/>
            <family val="2"/>
            <scheme val="minor"/>
          </rPr>
          <t>The weighted variance of the proportion surviving the age interval. 
The variance of the total number of years lived by the cohort is the sum of these weighted variances.</t>
        </r>
      </text>
    </comment>
    <comment ref="R9" authorId="0" shapeId="0" xr:uid="{00000000-0006-0000-0100-00000E000000}">
      <text>
        <r>
          <rPr>
            <i/>
            <sz val="11"/>
            <color indexed="81"/>
            <rFont val="Times New Roman"/>
            <family val="1"/>
          </rPr>
          <t xml:space="preserve"> </t>
        </r>
        <r>
          <rPr>
            <i/>
            <sz val="11"/>
            <color indexed="81"/>
            <rFont val="Calibri"/>
            <family val="2"/>
            <scheme val="minor"/>
          </rPr>
          <t>S</t>
        </r>
        <r>
          <rPr>
            <i/>
            <vertAlign val="subscript"/>
            <sz val="11"/>
            <color indexed="81"/>
            <rFont val="Calibri"/>
            <family val="2"/>
            <scheme val="minor"/>
          </rPr>
          <t>T</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/2)</t>
        </r>
        <r>
          <rPr>
            <i/>
            <vertAlign val="superscript"/>
            <sz val="11"/>
            <color indexed="81"/>
            <rFont val="Calibri"/>
            <family val="2"/>
            <scheme val="minor"/>
          </rPr>
          <t>2</t>
        </r>
        <r>
          <rPr>
            <i/>
            <sz val="11"/>
            <color indexed="81"/>
            <rFont val="Calibri"/>
            <family val="2"/>
            <scheme val="minor"/>
          </rPr>
          <t xml:space="preserve">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t>
        </r>
        <r>
          <rPr>
            <i/>
            <sz val="11"/>
            <color indexed="81"/>
            <rFont val="Symbol"/>
            <family val="1"/>
            <charset val="2"/>
          </rPr>
          <t xml:space="preserve">å </t>
        </r>
        <r>
          <rPr>
            <i/>
            <sz val="11"/>
            <color indexed="81"/>
            <rFont val="Calibri"/>
            <family val="2"/>
            <scheme val="minor"/>
          </rPr>
          <t>l</t>
        </r>
        <r>
          <rPr>
            <i/>
            <vertAlign val="subscript"/>
            <sz val="11"/>
            <color indexed="81"/>
            <rFont val="Calibri"/>
            <family val="2"/>
            <scheme val="minor"/>
          </rPr>
          <t>j</t>
        </r>
        <r>
          <rPr>
            <i/>
            <vertAlign val="superscript"/>
            <sz val="11"/>
            <color indexed="81"/>
            <rFont val="Calibri"/>
            <family val="2"/>
            <scheme val="minor"/>
          </rPr>
          <t>2</t>
        </r>
        <r>
          <rPr>
            <i/>
            <sz val="11"/>
            <color indexed="81"/>
            <rFont val="Calibri"/>
            <family val="2"/>
            <scheme val="minor"/>
          </rPr>
          <t>[ê</t>
        </r>
        <r>
          <rPr>
            <i/>
            <vertAlign val="subscript"/>
            <sz val="11"/>
            <color indexed="81"/>
            <rFont val="Calibri"/>
            <family val="2"/>
            <scheme val="minor"/>
          </rPr>
          <t>j +1</t>
        </r>
        <r>
          <rPr>
            <i/>
            <sz val="11"/>
            <color indexed="81"/>
            <rFont val="Calibri"/>
            <family val="2"/>
            <scheme val="minor"/>
          </rPr>
          <t>+ (1 – a</t>
        </r>
        <r>
          <rPr>
            <i/>
            <vertAlign val="subscript"/>
            <sz val="11"/>
            <color indexed="81"/>
            <rFont val="Calibri"/>
            <family val="2"/>
            <scheme val="minor"/>
          </rPr>
          <t>j</t>
        </r>
        <r>
          <rPr>
            <i/>
            <sz val="11"/>
            <color indexed="81"/>
            <rFont val="Calibri"/>
            <family val="2"/>
            <scheme val="minor"/>
          </rPr>
          <t>)n</t>
        </r>
        <r>
          <rPr>
            <i/>
            <vertAlign val="subscript"/>
            <sz val="11"/>
            <color indexed="81"/>
            <rFont val="Calibri"/>
            <family val="2"/>
            <scheme val="minor"/>
          </rPr>
          <t>j</t>
        </r>
        <r>
          <rPr>
            <i/>
            <sz val="11"/>
            <color indexed="81"/>
            <rFont val="Calibri"/>
            <family val="2"/>
            <scheme val="minor"/>
          </rPr>
          <t>]</t>
        </r>
        <r>
          <rPr>
            <i/>
            <vertAlign val="superscript"/>
            <sz val="11"/>
            <color indexed="81"/>
            <rFont val="Calibri"/>
            <family val="2"/>
            <scheme val="minor"/>
          </rPr>
          <t>2</t>
        </r>
        <r>
          <rPr>
            <i/>
            <sz val="11"/>
            <color indexed="81"/>
            <rFont val="Calibri"/>
            <family val="2"/>
            <scheme val="minor"/>
          </rPr>
          <t>S</t>
        </r>
        <r>
          <rPr>
            <i/>
            <vertAlign val="subscript"/>
            <sz val="11"/>
            <color indexed="81"/>
            <rFont val="Calibri"/>
            <family val="2"/>
            <scheme val="minor"/>
          </rPr>
          <t>p</t>
        </r>
        <r>
          <rPr>
            <i/>
            <vertAlign val="subscript"/>
            <sz val="10"/>
            <color indexed="81"/>
            <rFont val="Calibri"/>
            <family val="2"/>
            <scheme val="minor"/>
          </rPr>
          <t>j</t>
        </r>
        <r>
          <rPr>
            <i/>
            <vertAlign val="superscript"/>
            <sz val="11"/>
            <color indexed="81"/>
            <rFont val="Calibri"/>
            <family val="2"/>
            <scheme val="minor"/>
          </rPr>
          <t>2</t>
        </r>
        <r>
          <rPr>
            <i/>
            <sz val="11"/>
            <color indexed="81"/>
            <rFont val="Calibri"/>
            <family val="2"/>
            <scheme val="minor"/>
          </rPr>
          <t xml:space="preserve">, for j = i to </t>
        </r>
        <r>
          <rPr>
            <i/>
            <sz val="11"/>
            <color indexed="81"/>
            <rFont val="Symbol"/>
            <family val="1"/>
            <charset val="2"/>
          </rPr>
          <t>w-1</t>
        </r>
        <r>
          <rPr>
            <sz val="11"/>
            <color indexed="81"/>
            <rFont val="Symbol"/>
            <family val="1"/>
            <charset val="2"/>
          </rPr>
          <t xml:space="preserve">
</t>
        </r>
        <r>
          <rPr>
            <sz val="11"/>
            <color indexed="81"/>
            <rFont val="Calibri"/>
            <family val="2"/>
            <scheme val="minor"/>
          </rPr>
          <t xml:space="preserve">
The variance of the total number of years lived by the cohort is the sum of the weighted variances of the proportions surviving each age interval.</t>
        </r>
      </text>
    </comment>
    <comment ref="S9" authorId="0" shapeId="0" xr:uid="{00000000-0006-0000-0100-00000F000000}">
      <text>
        <r>
          <rPr>
            <i/>
            <sz val="11"/>
            <color indexed="81"/>
            <rFont val="Calibri"/>
            <family val="2"/>
            <scheme val="minor"/>
          </rPr>
          <t>S</t>
        </r>
        <r>
          <rPr>
            <i/>
            <vertAlign val="subscript"/>
            <sz val="11"/>
            <color indexed="81"/>
            <rFont val="Calibri"/>
            <family val="2"/>
            <scheme val="minor"/>
          </rPr>
          <t>ê</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S</t>
        </r>
        <r>
          <rPr>
            <i/>
            <vertAlign val="subscript"/>
            <sz val="11"/>
            <color indexed="81"/>
            <rFont val="Calibri"/>
            <family val="2"/>
            <scheme val="minor"/>
          </rPr>
          <t>T</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Calibri"/>
            <family val="2"/>
            <scheme val="minor"/>
          </rPr>
          <t>i</t>
        </r>
        <r>
          <rPr>
            <i/>
            <vertAlign val="superscript"/>
            <sz val="11"/>
            <color indexed="81"/>
            <rFont val="Calibri"/>
            <family val="2"/>
            <scheme val="minor"/>
          </rPr>
          <t>2</t>
        </r>
        <r>
          <rPr>
            <sz val="8"/>
            <color indexed="81"/>
            <rFont val="Calibri"/>
            <family val="2"/>
            <scheme val="minor"/>
          </rPr>
          <t xml:space="preserve">
</t>
        </r>
        <r>
          <rPr>
            <sz val="11"/>
            <color indexed="81"/>
            <rFont val="Calibri"/>
            <family val="2"/>
            <scheme val="minor"/>
          </rPr>
          <t>The variance of the expectation of life is the weighted variance of the total number of years lived.</t>
        </r>
      </text>
    </comment>
    <comment ref="T9" authorId="0" shapeId="0" xr:uid="{00000000-0006-0000-0100-000010000000}">
      <text>
        <r>
          <rPr>
            <i/>
            <sz val="11"/>
            <color indexed="81"/>
            <rFont val="Calibri"/>
            <family val="2"/>
            <scheme val="minor"/>
          </rPr>
          <t>Lower 95% CI = ê</t>
        </r>
        <r>
          <rPr>
            <i/>
            <vertAlign val="subscript"/>
            <sz val="11"/>
            <color indexed="81"/>
            <rFont val="Calibri"/>
            <family val="2"/>
            <scheme val="minor"/>
          </rPr>
          <t xml:space="preserve">i </t>
        </r>
        <r>
          <rPr>
            <i/>
            <sz val="11"/>
            <color indexed="81"/>
            <rFont val="Calibri"/>
            <family val="2"/>
            <scheme val="minor"/>
          </rPr>
          <t>– 1.96S</t>
        </r>
        <r>
          <rPr>
            <i/>
            <vertAlign val="subscript"/>
            <sz val="11"/>
            <color indexed="81"/>
            <rFont val="Calibri"/>
            <family val="2"/>
            <scheme val="minor"/>
          </rPr>
          <t>ê</t>
        </r>
        <r>
          <rPr>
            <i/>
            <vertAlign val="subscript"/>
            <sz val="9"/>
            <color indexed="81"/>
            <rFont val="Calibri"/>
            <family val="2"/>
            <scheme val="minor"/>
          </rPr>
          <t>i</t>
        </r>
        <r>
          <rPr>
            <sz val="8"/>
            <color indexed="81"/>
            <rFont val="Calibri"/>
            <family val="2"/>
            <scheme val="minor"/>
          </rPr>
          <t xml:space="preserve">
</t>
        </r>
        <r>
          <rPr>
            <sz val="11"/>
            <color indexed="81"/>
            <rFont val="Calibri"/>
            <family val="2"/>
            <scheme val="minor"/>
          </rPr>
          <t>Life expectancy estimates are treated as normally distributed.</t>
        </r>
      </text>
    </comment>
    <comment ref="U9" authorId="0" shapeId="0" xr:uid="{00000000-0006-0000-0100-000011000000}">
      <text>
        <r>
          <rPr>
            <i/>
            <sz val="11"/>
            <color indexed="81"/>
            <rFont val="Calibri"/>
            <family val="2"/>
            <scheme val="minor"/>
          </rPr>
          <t>Lower 95% CI = ê</t>
        </r>
        <r>
          <rPr>
            <i/>
            <vertAlign val="subscript"/>
            <sz val="11"/>
            <color indexed="81"/>
            <rFont val="Calibri"/>
            <family val="2"/>
            <scheme val="minor"/>
          </rPr>
          <t xml:space="preserve">i </t>
        </r>
        <r>
          <rPr>
            <i/>
            <sz val="11"/>
            <color indexed="81"/>
            <rFont val="Calibri"/>
            <family val="2"/>
            <scheme val="minor"/>
          </rPr>
          <t>+ 1.96S</t>
        </r>
        <r>
          <rPr>
            <i/>
            <vertAlign val="subscript"/>
            <sz val="11"/>
            <color indexed="81"/>
            <rFont val="Calibri"/>
            <family val="2"/>
            <scheme val="minor"/>
          </rPr>
          <t>ê</t>
        </r>
        <r>
          <rPr>
            <i/>
            <vertAlign val="subscript"/>
            <sz val="9"/>
            <color indexed="81"/>
            <rFont val="Calibri"/>
            <family val="2"/>
            <scheme val="minor"/>
          </rPr>
          <t>i</t>
        </r>
        <r>
          <rPr>
            <sz val="8"/>
            <color indexed="81"/>
            <rFont val="Calibri"/>
            <family val="2"/>
            <scheme val="minor"/>
          </rPr>
          <t xml:space="preserve">
</t>
        </r>
        <r>
          <rPr>
            <sz val="11"/>
            <color indexed="81"/>
            <rFont val="Calibri"/>
            <family val="2"/>
            <scheme val="minor"/>
          </rPr>
          <t>Life expectancy estimates are treated as normally distributed.</t>
        </r>
      </text>
    </comment>
    <comment ref="K11" authorId="0" shapeId="0" xr:uid="{00000000-0006-0000-0100-000012000000}">
      <text>
        <r>
          <rPr>
            <i/>
            <sz val="11"/>
            <color indexed="81"/>
            <rFont val="Calibri"/>
            <family val="2"/>
            <scheme val="minor"/>
          </rPr>
          <t>l</t>
        </r>
        <r>
          <rPr>
            <i/>
            <vertAlign val="subscript"/>
            <sz val="11"/>
            <color indexed="81"/>
            <rFont val="Calibri"/>
            <family val="2"/>
            <scheme val="minor"/>
          </rPr>
          <t>0</t>
        </r>
        <r>
          <rPr>
            <sz val="11"/>
            <color indexed="81"/>
            <rFont val="Calibri"/>
            <family val="2"/>
            <scheme val="minor"/>
          </rPr>
          <t xml:space="preserve"> = 100,000
It is common practice to start with a hypothetical cohort of size 100,000.</t>
        </r>
      </text>
    </comment>
    <comment ref="E30" authorId="0" shapeId="0" xr:uid="{00000000-0006-0000-0100-000013000000}">
      <text>
        <r>
          <rPr>
            <sz val="11"/>
            <color indexed="81"/>
            <rFont val="Calibri"/>
            <family val="2"/>
            <scheme val="minor"/>
          </rPr>
          <t xml:space="preserve">The final age interval is open ended. However since </t>
        </r>
        <r>
          <rPr>
            <i/>
            <sz val="11"/>
            <color indexed="81"/>
            <rFont val="Calibri"/>
            <family val="2"/>
            <scheme val="minor"/>
          </rPr>
          <t>L</t>
        </r>
        <r>
          <rPr>
            <i/>
            <vertAlign val="subscript"/>
            <sz val="11"/>
            <color indexed="81"/>
            <rFont val="Symbol"/>
            <family val="1"/>
            <charset val="2"/>
          </rPr>
          <t>w</t>
        </r>
        <r>
          <rPr>
            <i/>
            <sz val="11"/>
            <color indexed="81"/>
            <rFont val="Calibri"/>
            <family val="2"/>
            <scheme val="minor"/>
          </rPr>
          <t xml:space="preserve"> = 1/M</t>
        </r>
        <r>
          <rPr>
            <i/>
            <vertAlign val="subscript"/>
            <sz val="11"/>
            <color indexed="81"/>
            <rFont val="Symbol"/>
            <family val="1"/>
            <charset val="2"/>
          </rPr>
          <t>w</t>
        </r>
        <r>
          <rPr>
            <sz val="11"/>
            <color indexed="81"/>
            <rFont val="Calibri"/>
            <family val="2"/>
            <scheme val="minor"/>
          </rPr>
          <t xml:space="preserve"> and can also be written as </t>
        </r>
        <r>
          <rPr>
            <i/>
            <sz val="11"/>
            <color indexed="81"/>
            <rFont val="Calibri"/>
            <family val="2"/>
            <scheme val="minor"/>
          </rPr>
          <t>n</t>
        </r>
        <r>
          <rPr>
            <i/>
            <vertAlign val="subscript"/>
            <sz val="11"/>
            <color indexed="81"/>
            <rFont val="Calibri"/>
            <family val="2"/>
            <scheme val="minor"/>
          </rPr>
          <t>i</t>
        </r>
        <r>
          <rPr>
            <i/>
            <sz val="11"/>
            <color indexed="81"/>
            <rFont val="Calibri"/>
            <family val="2"/>
            <scheme val="minor"/>
          </rPr>
          <t>a</t>
        </r>
        <r>
          <rPr>
            <i/>
            <vertAlign val="subscript"/>
            <sz val="11"/>
            <color indexed="81"/>
            <rFont val="Calibri"/>
            <family val="2"/>
            <scheme val="minor"/>
          </rPr>
          <t>i</t>
        </r>
        <r>
          <rPr>
            <sz val="11"/>
            <color indexed="81"/>
            <rFont val="Calibri"/>
            <family val="2"/>
            <scheme val="minor"/>
          </rPr>
          <t xml:space="preserve">, setting </t>
        </r>
        <r>
          <rPr>
            <i/>
            <sz val="11"/>
            <color indexed="81"/>
            <rFont val="Calibri"/>
            <family val="2"/>
            <scheme val="minor"/>
          </rPr>
          <t>a</t>
        </r>
        <r>
          <rPr>
            <i/>
            <vertAlign val="subscript"/>
            <sz val="11"/>
            <color indexed="81"/>
            <rFont val="Symbol"/>
            <family val="1"/>
            <charset val="2"/>
          </rPr>
          <t>w</t>
        </r>
        <r>
          <rPr>
            <sz val="11"/>
            <color indexed="81"/>
            <rFont val="Calibri"/>
            <family val="2"/>
            <scheme val="minor"/>
          </rPr>
          <t xml:space="preserve"> to 0.5 (as for the other age intervals gives a hypothetical width </t>
        </r>
        <r>
          <rPr>
            <i/>
            <sz val="11"/>
            <color indexed="81"/>
            <rFont val="Calibri"/>
            <family val="2"/>
            <scheme val="minor"/>
          </rPr>
          <t>n</t>
        </r>
        <r>
          <rPr>
            <i/>
            <vertAlign val="subscript"/>
            <sz val="11"/>
            <color indexed="81"/>
            <rFont val="Symbol"/>
            <family val="1"/>
            <charset val="2"/>
          </rPr>
          <t>w</t>
        </r>
        <r>
          <rPr>
            <i/>
            <sz val="11"/>
            <color indexed="81"/>
            <rFont val="Calibri"/>
            <family val="2"/>
            <scheme val="minor"/>
          </rPr>
          <t xml:space="preserve"> = 2 / M</t>
        </r>
        <r>
          <rPr>
            <i/>
            <vertAlign val="subscript"/>
            <sz val="11"/>
            <color indexed="81"/>
            <rFont val="Symbol"/>
            <family val="1"/>
            <charset val="2"/>
          </rPr>
          <t>w</t>
        </r>
        <r>
          <rPr>
            <i/>
            <sz val="11"/>
            <color indexed="81"/>
            <rFont val="Calibri"/>
            <family val="2"/>
            <scheme val="minor"/>
          </rPr>
          <t xml:space="preserve">  </t>
        </r>
        <r>
          <rPr>
            <sz val="8"/>
            <color indexed="81"/>
            <rFont val="Tahoma"/>
            <family val="2"/>
          </rPr>
          <t xml:space="preserve">
</t>
        </r>
      </text>
    </comment>
    <comment ref="J30" authorId="0" shapeId="0" xr:uid="{00000000-0006-0000-0100-000014000000}">
      <text>
        <r>
          <rPr>
            <i/>
            <sz val="11"/>
            <color indexed="81"/>
            <rFont val="Calibri"/>
            <family val="2"/>
            <scheme val="minor"/>
          </rPr>
          <t>q</t>
        </r>
        <r>
          <rPr>
            <i/>
            <vertAlign val="subscript"/>
            <sz val="11"/>
            <color indexed="81"/>
            <rFont val="Symbol"/>
            <family val="1"/>
            <charset val="2"/>
          </rPr>
          <t>w</t>
        </r>
        <r>
          <rPr>
            <i/>
            <sz val="11"/>
            <color indexed="81"/>
            <rFont val="Calibri"/>
            <family val="2"/>
            <scheme val="minor"/>
          </rPr>
          <t xml:space="preserve"> = 1</t>
        </r>
        <r>
          <rPr>
            <sz val="11"/>
            <color indexed="81"/>
            <rFont val="Calibri"/>
            <family val="2"/>
            <scheme val="minor"/>
          </rPr>
          <t xml:space="preserve">
All those surviving to the start of the final age interval die during the final age interval.</t>
        </r>
        <r>
          <rPr>
            <sz val="8"/>
            <color indexed="81"/>
            <rFont val="Tahoma"/>
            <family val="2"/>
          </rPr>
          <t xml:space="preserve">
</t>
        </r>
      </text>
    </comment>
    <comment ref="L30" authorId="0" shapeId="0" xr:uid="{00000000-0006-0000-0100-000015000000}">
      <text>
        <r>
          <rPr>
            <i/>
            <sz val="11"/>
            <color indexed="81"/>
            <rFont val="Calibri"/>
            <family val="2"/>
            <scheme val="minor"/>
          </rPr>
          <t>d</t>
        </r>
        <r>
          <rPr>
            <i/>
            <vertAlign val="subscript"/>
            <sz val="11"/>
            <color indexed="81"/>
            <rFont val="Symbol"/>
            <family val="1"/>
            <charset val="2"/>
          </rPr>
          <t>w</t>
        </r>
        <r>
          <rPr>
            <i/>
            <sz val="11"/>
            <color indexed="81"/>
            <rFont val="Calibri"/>
            <family val="2"/>
            <scheme val="minor"/>
          </rPr>
          <t xml:space="preserve"> = l</t>
        </r>
        <r>
          <rPr>
            <i/>
            <vertAlign val="subscript"/>
            <sz val="11"/>
            <color indexed="81"/>
            <rFont val="Symbol"/>
            <family val="1"/>
            <charset val="2"/>
          </rPr>
          <t>w</t>
        </r>
        <r>
          <rPr>
            <sz val="11"/>
            <color indexed="81"/>
            <rFont val="Calibri"/>
            <family val="2"/>
            <scheme val="minor"/>
          </rPr>
          <t xml:space="preserve">
All those surviving to the start of the final age interval die during the final age interval</t>
        </r>
      </text>
    </comment>
    <comment ref="M30" authorId="0" shapeId="0" xr:uid="{00000000-0006-0000-0100-000016000000}">
      <text>
        <r>
          <rPr>
            <i/>
            <sz val="11"/>
            <color indexed="81"/>
            <rFont val="Calibri"/>
            <family val="2"/>
            <scheme val="minor"/>
          </rPr>
          <t>L</t>
        </r>
        <r>
          <rPr>
            <i/>
            <vertAlign val="subscript"/>
            <sz val="11"/>
            <color indexed="81"/>
            <rFont val="Symbol"/>
            <family val="1"/>
            <charset val="2"/>
          </rPr>
          <t>w</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/M</t>
        </r>
        <r>
          <rPr>
            <i/>
            <vertAlign val="subscript"/>
            <sz val="11"/>
            <color indexed="81"/>
            <rFont val="Symbol"/>
            <family val="1"/>
            <charset val="2"/>
          </rPr>
          <t>w</t>
        </r>
        <r>
          <rPr>
            <sz val="11"/>
            <color indexed="81"/>
            <rFont val="Calibri"/>
            <family val="2"/>
            <scheme val="minor"/>
          </rPr>
          <t xml:space="preserve">
Survival in the final age interval is assumed to be exponential. The number of years lived is given by the number of survivors at the start of the age interval divided by the observed annual age-specific mortality rate.</t>
        </r>
        <r>
          <rPr>
            <sz val="8"/>
            <color indexed="81"/>
            <rFont val="Tahoma"/>
            <family val="2"/>
          </rPr>
          <t xml:space="preserve">
</t>
        </r>
      </text>
    </comment>
    <comment ref="P30" authorId="0" shapeId="0" xr:uid="{00000000-0006-0000-0100-000017000000}">
      <text>
        <r>
          <rPr>
            <i/>
            <sz val="11"/>
            <color indexed="81"/>
            <rFont val="Calibri"/>
            <family val="2"/>
            <scheme val="minor"/>
          </rPr>
          <t>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 4/(D</t>
        </r>
        <r>
          <rPr>
            <i/>
            <vertAlign val="subscript"/>
            <sz val="11"/>
            <color indexed="81"/>
            <rFont val="Symbol"/>
            <family val="1"/>
            <charset val="2"/>
          </rPr>
          <t>w</t>
        </r>
        <r>
          <rPr>
            <i/>
            <sz val="11"/>
            <color indexed="81"/>
            <rFont val="Calibri"/>
            <family val="2"/>
            <scheme val="minor"/>
          </rPr>
          <t>M</t>
        </r>
        <r>
          <rPr>
            <i/>
            <vertAlign val="subscript"/>
            <sz val="11"/>
            <color indexed="81"/>
            <rFont val="Symbol"/>
            <family val="1"/>
            <charset val="2"/>
          </rPr>
          <t>w</t>
        </r>
        <r>
          <rPr>
            <i/>
            <vertAlign val="superscript"/>
            <sz val="11"/>
            <color indexed="81"/>
            <rFont val="Symbol"/>
            <family val="1"/>
            <charset val="2"/>
          </rPr>
          <t>2</t>
        </r>
        <r>
          <rPr>
            <i/>
            <sz val="11"/>
            <color indexed="81"/>
            <rFont val="Calibri"/>
            <family val="2"/>
            <scheme val="minor"/>
          </rPr>
          <t>)</t>
        </r>
        <r>
          <rPr>
            <sz val="11"/>
            <color indexed="81"/>
            <rFont val="Calibri"/>
            <family val="2"/>
            <scheme val="minor"/>
          </rPr>
          <t xml:space="preserve">
The variance of the observed annual age-specific mortality rate for the final age interval.
In the final age interval the variance of the number of years lived depends not on the variance of the proportion surviving the age interval but on the variance of the observed annual age-specific mortality rate.</t>
        </r>
      </text>
    </comment>
    <comment ref="Q30" authorId="0" shapeId="0" xr:uid="{00000000-0006-0000-0100-000018000000}">
      <text>
        <r>
          <rPr>
            <i/>
            <sz val="11"/>
            <color indexed="81"/>
            <rFont val="Calibri"/>
            <family val="2"/>
            <scheme val="minor"/>
          </rPr>
          <t>Weighted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/2)</t>
        </r>
        <r>
          <rPr>
            <i/>
            <vertAlign val="superscript"/>
            <sz val="11"/>
            <color indexed="81"/>
            <rFont val="Calibri"/>
            <family val="2"/>
            <scheme val="minor"/>
          </rPr>
          <t>2</t>
        </r>
        <r>
          <rPr>
            <i/>
            <sz val="11"/>
            <color indexed="81"/>
            <rFont val="Calibri"/>
            <family val="2"/>
            <scheme val="minor"/>
          </rPr>
          <t xml:space="preserve">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sz val="11"/>
            <color indexed="81"/>
            <rFont val="Calibri"/>
            <family val="2"/>
            <scheme val="minor"/>
          </rPr>
          <t xml:space="preserve">
The weighted variance of the observed annual age-specific mortality for the final age interval.
In the final age interval the variance of the number of years lived depends not on the variance of the proportion surviving the age interval but on the variance of the observed annual age-specific mortality rate.</t>
        </r>
      </text>
    </comment>
    <comment ref="R30" authorId="0" shapeId="0" xr:uid="{00000000-0006-0000-0100-000019000000}">
      <text>
        <r>
          <rPr>
            <i/>
            <sz val="11"/>
            <color indexed="81"/>
            <rFont val="Calibri"/>
            <family val="2"/>
            <scheme val="minor"/>
          </rPr>
          <t>S</t>
        </r>
        <r>
          <rPr>
            <i/>
            <vertAlign val="subscript"/>
            <sz val="11"/>
            <color indexed="81"/>
            <rFont val="Calibri"/>
            <family val="2"/>
            <scheme val="minor"/>
          </rPr>
          <t>T</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/2)</t>
        </r>
        <r>
          <rPr>
            <i/>
            <vertAlign val="superscript"/>
            <sz val="11"/>
            <color indexed="81"/>
            <rFont val="Calibri"/>
            <family val="2"/>
            <scheme val="minor"/>
          </rPr>
          <t>2</t>
        </r>
        <r>
          <rPr>
            <i/>
            <sz val="11"/>
            <color indexed="81"/>
            <rFont val="Calibri"/>
            <family val="2"/>
            <scheme val="minor"/>
          </rPr>
          <t xml:space="preserve">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sz val="11"/>
            <color indexed="81"/>
            <rFont val="Calibri"/>
            <family val="2"/>
            <scheme val="minor"/>
          </rPr>
          <t xml:space="preserve">
In the final age interval the variance of the number of years lived depends not on the variance of the proportion surviving the age interval but on the variance of the observed annual age-specific mortality rate.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Fryers</author>
  </authors>
  <commentList>
    <comment ref="AR8" authorId="0" shapeId="0" xr:uid="{00000000-0006-0000-0200-000001000000}">
      <text>
        <r>
          <rPr>
            <sz val="9"/>
            <color indexed="81"/>
            <rFont val="Tahoma"/>
            <family val="2"/>
          </rPr>
          <t xml:space="preserve">Function LE(Deaths,Person-years,Age)
Deaths: array of 20 values giving observed death counts in age groups 0, 1-4, 5-9, 10-14, …, 90+
Populations: person-years (population × years) for the corresponding age groups)
Age: optional - age at which life expectancy is required.  If omitted the function will calculate life expectancy at birth.
If function is used in a single cell it will return the observed life expectancy value.  If it is used as an array formula across three cells, it will return the LE, lower 95% confidence limit and upper 95% confidence limit in that order.
</t>
        </r>
      </text>
    </comment>
  </commentList>
</comments>
</file>

<file path=xl/sharedStrings.xml><?xml version="1.0" encoding="utf-8"?>
<sst xmlns="http://schemas.openxmlformats.org/spreadsheetml/2006/main" count="145" uniqueCount="107">
  <si>
    <t>LIFE EXPECTANCY TEMPLATE
LIFE TABLE</t>
  </si>
  <si>
    <t>Technical Notes</t>
  </si>
  <si>
    <t>Abridged Life Table (0, 1 – 4, then 5-year age intervals to 90 +)</t>
  </si>
  <si>
    <t>Age Interval ID</t>
  </si>
  <si>
    <t>Age at Start of Interval</t>
  </si>
  <si>
    <t>Age Interval</t>
  </si>
  <si>
    <t>Interval Width</t>
  </si>
  <si>
    <t>Population Years at Risk</t>
  </si>
  <si>
    <t>Number of Deaths in Interval</t>
  </si>
  <si>
    <t>Death Rate in Interval</t>
  </si>
  <si>
    <t>Probability of Dying in Interval</t>
  </si>
  <si>
    <t>Number Alive at Start of Interval</t>
  </si>
  <si>
    <t>Number Dying in Interval</t>
  </si>
  <si>
    <t>Observed Life Expectancy at Start of Interval</t>
  </si>
  <si>
    <t>Sample Vari-ance of Propor-tion Surviving
in Interval</t>
  </si>
  <si>
    <t>Weighted Vari-ance of Propor-tion Surviving
in Interval</t>
  </si>
  <si>
    <t xml:space="preserve"> i </t>
  </si>
  <si>
    <r>
      <t>x</t>
    </r>
    <r>
      <rPr>
        <i/>
        <vertAlign val="subscript"/>
        <sz val="11"/>
        <color theme="0"/>
        <rFont val="Calibri"/>
        <family val="2"/>
        <scheme val="minor"/>
      </rPr>
      <t>i</t>
    </r>
  </si>
  <si>
    <r>
      <t>x</t>
    </r>
    <r>
      <rPr>
        <i/>
        <vertAlign val="subscript"/>
        <sz val="11"/>
        <rFont val="Calibri"/>
        <family val="2"/>
        <scheme val="minor"/>
      </rPr>
      <t>i</t>
    </r>
    <r>
      <rPr>
        <i/>
        <sz val="11"/>
        <rFont val="Calibri"/>
        <family val="2"/>
        <scheme val="minor"/>
      </rPr>
      <t>≤x&lt;x</t>
    </r>
    <r>
      <rPr>
        <i/>
        <vertAlign val="subscript"/>
        <sz val="11"/>
        <rFont val="Calibri"/>
        <family val="2"/>
        <scheme val="minor"/>
      </rPr>
      <t>i+1</t>
    </r>
  </si>
  <si>
    <r>
      <t>n</t>
    </r>
    <r>
      <rPr>
        <i/>
        <vertAlign val="subscript"/>
        <sz val="11"/>
        <rFont val="Calibri"/>
        <family val="2"/>
        <scheme val="minor"/>
      </rPr>
      <t>i</t>
    </r>
  </si>
  <si>
    <r>
      <t>a</t>
    </r>
    <r>
      <rPr>
        <i/>
        <vertAlign val="subscript"/>
        <sz val="11"/>
        <rFont val="Calibri"/>
        <family val="2"/>
        <scheme val="minor"/>
      </rPr>
      <t>i</t>
    </r>
  </si>
  <si>
    <r>
      <t>P</t>
    </r>
    <r>
      <rPr>
        <i/>
        <vertAlign val="subscript"/>
        <sz val="11"/>
        <rFont val="Calibri"/>
        <family val="2"/>
        <scheme val="minor"/>
      </rPr>
      <t>i</t>
    </r>
  </si>
  <si>
    <r>
      <t>D</t>
    </r>
    <r>
      <rPr>
        <i/>
        <vertAlign val="subscript"/>
        <sz val="11"/>
        <rFont val="Calibri"/>
        <family val="2"/>
        <scheme val="minor"/>
      </rPr>
      <t>i</t>
    </r>
  </si>
  <si>
    <r>
      <t>M</t>
    </r>
    <r>
      <rPr>
        <i/>
        <vertAlign val="subscript"/>
        <sz val="11"/>
        <rFont val="Calibri"/>
        <family val="2"/>
        <scheme val="minor"/>
      </rPr>
      <t>i</t>
    </r>
  </si>
  <si>
    <r>
      <t>q</t>
    </r>
    <r>
      <rPr>
        <i/>
        <vertAlign val="subscript"/>
        <sz val="11"/>
        <rFont val="Calibri"/>
        <family val="2"/>
        <scheme val="minor"/>
      </rPr>
      <t>i</t>
    </r>
  </si>
  <si>
    <r>
      <t>l</t>
    </r>
    <r>
      <rPr>
        <i/>
        <vertAlign val="subscript"/>
        <sz val="11"/>
        <rFont val="Calibri"/>
        <family val="2"/>
        <scheme val="minor"/>
      </rPr>
      <t>i</t>
    </r>
  </si>
  <si>
    <r>
      <t>d</t>
    </r>
    <r>
      <rPr>
        <i/>
        <vertAlign val="subscript"/>
        <sz val="11"/>
        <rFont val="Calibri"/>
        <family val="2"/>
        <scheme val="minor"/>
      </rPr>
      <t>i</t>
    </r>
  </si>
  <si>
    <r>
      <t>L</t>
    </r>
    <r>
      <rPr>
        <i/>
        <vertAlign val="subscript"/>
        <sz val="11"/>
        <rFont val="Calibri"/>
        <family val="2"/>
        <scheme val="minor"/>
      </rPr>
      <t>i</t>
    </r>
  </si>
  <si>
    <r>
      <t>T</t>
    </r>
    <r>
      <rPr>
        <i/>
        <vertAlign val="subscript"/>
        <sz val="11"/>
        <rFont val="Calibri"/>
        <family val="2"/>
        <scheme val="minor"/>
      </rPr>
      <t>i</t>
    </r>
  </si>
  <si>
    <r>
      <t>ê</t>
    </r>
    <r>
      <rPr>
        <i/>
        <vertAlign val="subscript"/>
        <sz val="11"/>
        <color theme="0"/>
        <rFont val="Calibri"/>
        <family val="2"/>
        <scheme val="minor"/>
      </rPr>
      <t>i</t>
    </r>
  </si>
  <si>
    <r>
      <t>S</t>
    </r>
    <r>
      <rPr>
        <i/>
        <vertAlign val="subscript"/>
        <sz val="11"/>
        <rFont val="Calibri"/>
        <family val="2"/>
        <scheme val="minor"/>
      </rPr>
      <t>pi</t>
    </r>
    <r>
      <rPr>
        <i/>
        <vertAlign val="superscript"/>
        <sz val="11"/>
        <rFont val="Calibri"/>
        <family val="2"/>
        <scheme val="minor"/>
      </rPr>
      <t>2</t>
    </r>
  </si>
  <si>
    <r>
      <rPr>
        <i/>
        <sz val="9"/>
        <rFont val="Calibri"/>
        <family val="2"/>
        <scheme val="minor"/>
      </rPr>
      <t>Weighted</t>
    </r>
    <r>
      <rPr>
        <i/>
        <sz val="11"/>
        <rFont val="Calibri"/>
        <family val="2"/>
        <scheme val="minor"/>
      </rPr>
      <t xml:space="preserve"> S</t>
    </r>
    <r>
      <rPr>
        <i/>
        <vertAlign val="subscript"/>
        <sz val="11"/>
        <rFont val="Calibri"/>
        <family val="2"/>
        <scheme val="minor"/>
      </rPr>
      <t>pi</t>
    </r>
    <r>
      <rPr>
        <i/>
        <vertAlign val="superscript"/>
        <sz val="11"/>
        <rFont val="Calibri"/>
        <family val="2"/>
        <scheme val="minor"/>
      </rPr>
      <t>2</t>
    </r>
  </si>
  <si>
    <r>
      <t>S</t>
    </r>
    <r>
      <rPr>
        <i/>
        <vertAlign val="subscript"/>
        <sz val="11"/>
        <rFont val="Calibri"/>
        <family val="2"/>
        <scheme val="minor"/>
      </rPr>
      <t>Ti</t>
    </r>
    <r>
      <rPr>
        <i/>
        <vertAlign val="superscript"/>
        <sz val="11"/>
        <rFont val="Calibri"/>
        <family val="2"/>
        <scheme val="minor"/>
      </rPr>
      <t>2</t>
    </r>
  </si>
  <si>
    <r>
      <t>S</t>
    </r>
    <r>
      <rPr>
        <i/>
        <vertAlign val="subscript"/>
        <sz val="11"/>
        <rFont val="Calibri"/>
        <family val="2"/>
        <scheme val="minor"/>
      </rPr>
      <t>êi</t>
    </r>
    <r>
      <rPr>
        <i/>
        <vertAlign val="superscript"/>
        <sz val="11"/>
        <rFont val="Calibri"/>
        <family val="2"/>
        <scheme val="minor"/>
      </rPr>
      <t>2</t>
    </r>
  </si>
  <si>
    <t>Lower</t>
  </si>
  <si>
    <t>Upper</t>
  </si>
  <si>
    <t>10 – 14</t>
  </si>
  <si>
    <t>15 – 19</t>
  </si>
  <si>
    <t>20 – 24</t>
  </si>
  <si>
    <t>25 – 29</t>
  </si>
  <si>
    <t>30 – 34</t>
  </si>
  <si>
    <t>35 – 39</t>
  </si>
  <si>
    <t>40 – 44</t>
  </si>
  <si>
    <t>45 – 49</t>
  </si>
  <si>
    <t>50 – 54</t>
  </si>
  <si>
    <t>55 – 59</t>
  </si>
  <si>
    <t>60 – 64</t>
  </si>
  <si>
    <t>65 – 69</t>
  </si>
  <si>
    <t>70 – 74</t>
  </si>
  <si>
    <t>75 – 79</t>
  </si>
  <si>
    <t>80 – 84</t>
  </si>
  <si>
    <t>85 – 89</t>
  </si>
  <si>
    <t>90 +</t>
  </si>
  <si>
    <t>LIFE EXPECTANCY TEMPLATE
TECHNICAL NOTES</t>
  </si>
  <si>
    <t>Further information on methodology</t>
  </si>
  <si>
    <t>References:</t>
  </si>
  <si>
    <r>
      <t xml:space="preserve">Newell C. </t>
    </r>
    <r>
      <rPr>
        <i/>
        <sz val="11"/>
        <color rgb="FF000000"/>
        <rFont val="Calibri"/>
        <family val="2"/>
        <scheme val="minor"/>
      </rPr>
      <t>Methods and Models in Demography</t>
    </r>
    <r>
      <rPr>
        <sz val="11"/>
        <color rgb="FF000000"/>
        <rFont val="Calibri"/>
        <family val="2"/>
        <scheme val="minor"/>
      </rPr>
      <t>. Chichester, John Wiley &amp; Sons, 1994:63-81</t>
    </r>
  </si>
  <si>
    <r>
      <rPr>
        <sz val="11"/>
        <color rgb="FF000000"/>
        <rFont val="Calibri"/>
        <family val="2"/>
        <scheme val="minor"/>
      </rPr>
      <t xml:space="preserve">Life expectancy is one of the key measures of the health status of a population and can be defined as: </t>
    </r>
    <r>
      <rPr>
        <i/>
        <sz val="11"/>
        <color rgb="FF000000"/>
        <rFont val="Calibri"/>
        <family val="2"/>
        <scheme val="minor"/>
      </rPr>
      <t xml:space="preserve">‘The average number of years a baby born in a particular area or population can be expected to live if it experiences the current age-specific mortality rates of that particular area or population throughout its life’. </t>
    </r>
  </si>
  <si>
    <t xml:space="preserve">1
</t>
  </si>
  <si>
    <t xml:space="preserve">3
</t>
  </si>
  <si>
    <t xml:space="preserve">4
</t>
  </si>
  <si>
    <t>The life table may be complete ('unabridged') or abridged.  In complete life tables the mortality experience is broken down by individual years of life and occasionally even further, particularly for mortality under 1 year of age.  In abridged life tables the mortality experience is broken down by larger age intervals, usually of 5 years, though with the general exceptional of the first years of life, ie ages under 1, and 1 to 4 years.</t>
  </si>
  <si>
    <r>
      <t xml:space="preserve">Chiang CL. The Life Table and its Construction. In: </t>
    </r>
    <r>
      <rPr>
        <i/>
        <sz val="11"/>
        <color rgb="FF000000"/>
        <rFont val="Calibri"/>
        <family val="2"/>
        <scheme val="minor"/>
      </rPr>
      <t>Introduction to Stochastic Processes in Biostatistics</t>
    </r>
    <r>
      <rPr>
        <sz val="11"/>
        <color rgb="FF000000"/>
        <rFont val="Calibri"/>
        <family val="2"/>
        <scheme val="minor"/>
      </rPr>
      <t>. New York, John Wiley &amp; Sons, 1968:189-214.</t>
    </r>
  </si>
  <si>
    <t>Methodology used In this template</t>
  </si>
  <si>
    <t>Issues that can arise with small numbers</t>
  </si>
  <si>
    <t xml:space="preserve">The calculation of life expectancy requires the construction of a current life table – a table of information that breaks down the mortality experience of a population by age.  These age-specfic rates are applied to a hypothetical cohort of newborns to calculate their average expected life span, or life expectancy.  Life expectancy at other ages can be calculated in a similar way, eg life expectancy at age 65 can be calculated by applying the current age specific mortality rates over the age of 65 to a hypothetical cohort of 65 year olds.  The current life table is the most effective way of summarising the mortality experience of a population and can also be used to make statistical inferences and comparison between the mortality experience of different populations. </t>
  </si>
  <si>
    <t>Life Expectancy and Life Tables</t>
  </si>
  <si>
    <t>1 – 4</t>
  </si>
  <si>
    <t>5 – 9</t>
  </si>
  <si>
    <t>0</t>
  </si>
  <si>
    <t>Deaths</t>
  </si>
  <si>
    <t>Population</t>
  </si>
  <si>
    <t>Area code</t>
  </si>
  <si>
    <t>Area name</t>
  </si>
  <si>
    <t>Calculate Life Expectancy at age:</t>
  </si>
  <si>
    <t>Fraction of Last Age Interval
Survived</t>
  </si>
  <si>
    <t>Person-Years Lived Beyond Start of Interval</t>
  </si>
  <si>
    <t>Person-Years Lived in Interval</t>
  </si>
  <si>
    <t>95% CI</t>
  </si>
  <si>
    <t>Life Expectancy</t>
  </si>
  <si>
    <t>Sample Variance
of Observed Life Expectancy at
Start of Interval</t>
  </si>
  <si>
    <t>95% Confidence Interval for Observed Life Expectancy at Start of Interval</t>
  </si>
  <si>
    <t>Sample Variance
of Person-Years Lived Beyond
Start of Interval</t>
  </si>
  <si>
    <t>LIFE EXPECTANCY TEMPLATE
BATCH CALCULATOR</t>
  </si>
  <si>
    <t>Paste the numbers of deaths and the population years at risk for your area into columns H and G respectively.</t>
  </si>
  <si>
    <t>the Batch Calculator.</t>
  </si>
  <si>
    <t>This sheet calculates life expectancy for a single area and shows every stage of the calculations. For multiple areas use the Batch Calculator.</t>
  </si>
  <si>
    <t>This sheet automates the calculations set out in the</t>
  </si>
  <si>
    <t>Life Table sheet,</t>
  </si>
  <si>
    <t>allowing multiple areas to be calculated at once.</t>
  </si>
  <si>
    <t>Copy row 10 and paste it below as many times as required.</t>
  </si>
  <si>
    <t>Paste the area identifiers, numbers of deaths and the population years at risk for your areas into columns B to AQ.</t>
  </si>
  <si>
    <t>Life expectancy at age specified in cell D6 is calculated by the function in cells AR to AT.</t>
  </si>
  <si>
    <t>If additional metadata fields are required to identify rows, eg for males and females, insert columns between columns B &amp; C.</t>
  </si>
  <si>
    <t>Eg1</t>
  </si>
  <si>
    <t>Example Area</t>
  </si>
  <si>
    <r>
      <t>This template is for an abridged life table using 5 year age intervals with a final age interval of 90+.  The table has been completed using the methods described by Chiang.</t>
    </r>
    <r>
      <rPr>
        <vertAlign val="superscript"/>
        <sz val="11"/>
        <color rgb="FF000000"/>
        <rFont val="Calibri"/>
        <family val="2"/>
        <scheme val="minor"/>
      </rPr>
      <t>1,2</t>
    </r>
    <r>
      <rPr>
        <sz val="11"/>
        <color rgb="FF000000"/>
        <rFont val="Calibri"/>
        <family val="2"/>
        <scheme val="minor"/>
      </rPr>
      <t xml:space="preserve">  This age structure and methodology is used by The Office for National Statistics to produce life expectancy at national and local authority level.</t>
    </r>
    <r>
      <rPr>
        <vertAlign val="superscript"/>
        <sz val="11"/>
        <color rgb="FF000000"/>
        <rFont val="Calibri"/>
        <family val="2"/>
        <scheme val="minor"/>
      </rPr>
      <t>3</t>
    </r>
  </si>
  <si>
    <r>
      <t>Life expectancy cannot be calculated if the person-years in any given age interval is zero.  It will also not be calculated if the total person-years is less than 5,000 as this is considered to be the minimum size for robust calculation of life expectancy.</t>
    </r>
    <r>
      <rPr>
        <vertAlign val="superscript"/>
        <sz val="11"/>
        <color rgb="FF000000"/>
        <rFont val="Calibri"/>
        <family val="2"/>
        <scheme val="minor"/>
      </rPr>
      <t>5</t>
    </r>
    <r>
      <rPr>
        <sz val="11"/>
        <color rgb="FF000000"/>
        <rFont val="Calibri"/>
        <family val="2"/>
        <scheme val="minor"/>
      </rPr>
      <t xml:space="preserve">  Zero death counts are not a problem, except for the final age interval - there must be at least one death in the 90+ interval for the calculations to be possible.</t>
    </r>
  </si>
  <si>
    <t xml:space="preserve">6
</t>
  </si>
  <si>
    <r>
      <t xml:space="preserve">Eayres DP, Williams ES. Evaluation of methodologies for small area life expectancy estimation.
</t>
    </r>
    <r>
      <rPr>
        <i/>
        <sz val="11"/>
        <rFont val="Calibri"/>
        <family val="2"/>
        <scheme val="minor"/>
      </rPr>
      <t>J Epidemiol Community Health</t>
    </r>
    <r>
      <rPr>
        <sz val="11"/>
        <rFont val="Calibri"/>
        <family val="2"/>
        <scheme val="minor"/>
      </rPr>
      <t xml:space="preserve"> 2004;</t>
    </r>
    <r>
      <rPr>
        <b/>
        <sz val="11"/>
        <rFont val="Calibri"/>
        <family val="2"/>
        <scheme val="minor"/>
      </rPr>
      <t>58</t>
    </r>
    <r>
      <rPr>
        <sz val="11"/>
        <rFont val="Calibri"/>
        <family val="2"/>
        <scheme val="minor"/>
      </rPr>
      <t>:243-249</t>
    </r>
  </si>
  <si>
    <r>
      <t xml:space="preserve">Silcocks PBS, Jenner DA, Reza R.  Life expectancy as a summary of mortality in a population: statistical considerations and suitability for use by health authorities. </t>
    </r>
    <r>
      <rPr>
        <i/>
        <sz val="11"/>
        <color rgb="FF000000"/>
        <rFont val="Calibri"/>
        <family val="2"/>
        <scheme val="minor"/>
      </rPr>
      <t xml:space="preserve"> J Epidemiol Community Health</t>
    </r>
    <r>
      <rPr>
        <sz val="11"/>
        <color rgb="FF000000"/>
        <rFont val="Calibri"/>
        <family val="2"/>
        <scheme val="minor"/>
      </rPr>
      <t xml:space="preserve"> 2001;</t>
    </r>
    <r>
      <rPr>
        <b/>
        <sz val="11"/>
        <color rgb="FF000000"/>
        <rFont val="Calibri"/>
        <family val="2"/>
        <scheme val="minor"/>
      </rPr>
      <t>55</t>
    </r>
    <r>
      <rPr>
        <sz val="11"/>
        <color rgb="FF000000"/>
        <rFont val="Calibri"/>
        <family val="2"/>
        <scheme val="minor"/>
      </rPr>
      <t>:38-43</t>
    </r>
  </si>
  <si>
    <r>
      <t xml:space="preserve">Office for National Statistics Report. Life expectancy at birth by health and local authorities in the United Kingdom, 1998 to 2000 (3-year aggregate figures.) </t>
    </r>
    <r>
      <rPr>
        <i/>
        <sz val="11"/>
        <color rgb="FF000000"/>
        <rFont val="Calibri"/>
        <family val="2"/>
        <scheme val="minor"/>
      </rPr>
      <t>Health Statistics Quarterly</t>
    </r>
    <r>
      <rPr>
        <sz val="11"/>
        <color rgb="FF000000"/>
        <rFont val="Calibri"/>
        <family val="2"/>
        <scheme val="minor"/>
      </rPr>
      <t xml:space="preserve"> 2002;</t>
    </r>
    <r>
      <rPr>
        <b/>
        <sz val="11"/>
        <color rgb="FF000000"/>
        <rFont val="Calibri"/>
        <family val="2"/>
        <scheme val="minor"/>
      </rPr>
      <t>13</t>
    </r>
    <r>
      <rPr>
        <sz val="11"/>
        <color rgb="FF000000"/>
        <rFont val="Calibri"/>
        <family val="2"/>
        <scheme val="minor"/>
      </rPr>
      <t>:83-90</t>
    </r>
  </si>
  <si>
    <t>Toson B, Baker A. Life expectancy at birth: methodological options for small populations. National Statistics  Methodological Series No 33. HMSO 2003.</t>
  </si>
  <si>
    <t xml:space="preserve">5
</t>
  </si>
  <si>
    <r>
      <t>The methodology used in this spreadsheet, along with discussion of alternative options for life expectancy calculation for small areas, were described in full in a paper which accompanied the original version of this tool.</t>
    </r>
    <r>
      <rPr>
        <vertAlign val="superscript"/>
        <sz val="11"/>
        <color rgb="FF000000"/>
        <rFont val="Calibri"/>
        <family val="2"/>
        <scheme val="minor"/>
      </rPr>
      <t>6</t>
    </r>
  </si>
  <si>
    <r>
      <t xml:space="preserve">This template includes an adjustment to the method for calculating the variance of the life expectancy estimate to include a term for the variance associated with the final age interval.  In the Chiang method the variance of the life expectancy is the weighted sum of the variance of the probability of survival across all the age intervals.  For the final age interval the probability of survival is, by definition, zero and has zero variance.  However, Silcocks </t>
    </r>
    <r>
      <rPr>
        <i/>
        <sz val="11"/>
        <color rgb="FF000000"/>
        <rFont val="Calibri"/>
        <family val="2"/>
        <scheme val="minor"/>
      </rPr>
      <t>et al</t>
    </r>
    <r>
      <rPr>
        <sz val="11"/>
        <color rgb="FF000000"/>
        <rFont val="Calibri"/>
        <family val="2"/>
        <scheme val="minor"/>
      </rPr>
      <t xml:space="preserve"> argue</t>
    </r>
    <r>
      <rPr>
        <vertAlign val="superscript"/>
        <sz val="11"/>
        <color rgb="FF000000"/>
        <rFont val="Calibri"/>
        <family val="2"/>
        <scheme val="minor"/>
      </rPr>
      <t>4</t>
    </r>
    <r>
      <rPr>
        <sz val="11"/>
        <color rgb="FF000000"/>
        <rFont val="Calibri"/>
        <family val="2"/>
        <scheme val="minor"/>
      </rPr>
      <t xml:space="preserve"> that in the case of the final age interval the life expectancy is dependent not on the probability of survival but on the mean length of survival (1/</t>
    </r>
    <r>
      <rPr>
        <i/>
        <sz val="11"/>
        <color rgb="FF000000"/>
        <rFont val="Calibri"/>
        <family val="2"/>
        <scheme val="minor"/>
      </rPr>
      <t>M</t>
    </r>
    <r>
      <rPr>
        <i/>
        <vertAlign val="subscript"/>
        <sz val="11"/>
        <color rgb="FF000000"/>
        <rFont val="Calibri"/>
        <family val="2"/>
        <scheme val="minor"/>
      </rPr>
      <t>ω</t>
    </r>
    <r>
      <rPr>
        <sz val="11"/>
        <color rgb="FF000000"/>
        <rFont val="Calibri"/>
        <family val="2"/>
        <scheme val="minor"/>
      </rPr>
      <t xml:space="preserve">).  Therefore the variance associated with the final age interval depends on the age-specific mortality rate </t>
    </r>
    <r>
      <rPr>
        <i/>
        <sz val="11"/>
        <color rgb="FF000000"/>
        <rFont val="Calibri"/>
        <family val="2"/>
        <scheme val="minor"/>
      </rPr>
      <t>M</t>
    </r>
    <r>
      <rPr>
        <i/>
        <vertAlign val="subscript"/>
        <sz val="11"/>
        <color rgb="FF000000"/>
        <rFont val="Calibri"/>
        <family val="2"/>
        <scheme val="minor"/>
      </rPr>
      <t>ω</t>
    </r>
    <r>
      <rPr>
        <i/>
        <sz val="11"/>
        <color rgb="FF000000"/>
        <rFont val="Calibri"/>
        <family val="2"/>
        <scheme val="minor"/>
      </rPr>
      <t>.</t>
    </r>
  </si>
  <si>
    <t>The template was originally developed with a final age interval of 85+.  The availability of mid-year estimates of population for the 85-89 and 90+ age groups enabled the possibility of separating these two age groups in the life table, something that became more important as the numbers of deaths above age 85 increased.  Following analysis of the impact of the change, PHE and ONS agreed to change the method to use 90+ as the final age interval.  The methodology for estimating the variance associated with the final age interval was modified in this spreadsheet to match the Silcocks method used by ONS.  It had previously used a method based on a binomial assumption for the final age band, for consistency with the Chiang method.  However, the difference between the two approaches was negligible and for consistency with ONS outputs the PHE calculator was changed in February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</si>
</sst>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 #,##0.00_-;_-* &quot;-&quot;??_-;_-@_-"/>
    <numFmt numFmtId="164" formatCode="0.000"/>
    <numFmt numFmtId="165" formatCode="?0"/>
    <numFmt numFmtId="166" formatCode="?0.0"/>
    <numFmt numFmtId="167" formatCode="???,??0"/>
    <numFmt numFmtId="168" formatCode="??,??0"/>
    <numFmt numFmtId="169" formatCode="0.0000"/>
    <numFmt numFmtId="170" formatCode="???,???,??0"/>
    <numFmt numFmtId="171" formatCode="??0.0"/>
    <numFmt numFmtId="172" formatCode="?,???,???,??0"/>
    <numFmt numFmtId="173" formatCode="??,???,???,??0"/>
    <numFmt numFmtId="174" formatCode="?,??0.00"/>
    <numFmt numFmtId="175" formatCode="0.000000"/>
    <numFmt numFmtId="176" formatCode="?0&quot; – 4&quot;"/>
    <numFmt numFmtId="177" formatCode="?0&quot; – 9&quot;"/>
    <numFmt numFmtId="178" formatCode="0.0"/>
    <numFmt numFmtId="179" formatCode="_-* #,##0_-;\-* #,##0_-;_-* &quot;-&quot;??_-;_-@_-"/>
  </numFmts>
  <fonts count="39" x14ac:knownFonts="1">
    <font>
      <sz val="11"/>
      <color theme="1"/>
      <name val="Calibri"/>
      <family val="2"/>
      <scheme val="minor"/>
    </font>
    <font>
      <sz val="11"/>
      <color theme="1"/>
      <name val="Calibri"/>
      <family val="2"/>
      <scheme val="minor"/>
    </font>
    <font>
      <sz val="11"/>
      <color theme="0"/>
      <name val="Calibri"/>
      <family val="2"/>
      <scheme val="minor"/>
    </font>
    <font>
      <sz val="11"/>
      <name val="Calibri"/>
      <family val="2"/>
      <scheme val="minor"/>
    </font>
    <font>
      <b/>
      <i/>
      <sz val="20"/>
      <color theme="0"/>
      <name val="Calibri"/>
      <family val="2"/>
      <scheme val="minor"/>
    </font>
    <font>
      <b/>
      <sz val="11"/>
      <color indexed="9"/>
      <name val="Calibri"/>
      <family val="2"/>
      <scheme val="minor"/>
    </font>
    <font>
      <u/>
      <sz val="10"/>
      <color indexed="12"/>
      <name val="Arial"/>
      <family val="2"/>
    </font>
    <font>
      <i/>
      <sz val="11"/>
      <name val="Calibri"/>
      <family val="2"/>
      <scheme val="minor"/>
    </font>
    <font>
      <b/>
      <sz val="11"/>
      <name val="Calibri"/>
      <family val="2"/>
      <scheme val="minor"/>
    </font>
    <font>
      <sz val="9"/>
      <name val="Calibri"/>
      <family val="2"/>
      <scheme val="minor"/>
    </font>
    <font>
      <sz val="9"/>
      <color theme="0"/>
      <name val="Calibri"/>
      <family val="2"/>
      <scheme val="minor"/>
    </font>
    <font>
      <i/>
      <sz val="11"/>
      <color theme="0"/>
      <name val="Calibri"/>
      <family val="2"/>
      <scheme val="minor"/>
    </font>
    <font>
      <i/>
      <vertAlign val="subscript"/>
      <sz val="11"/>
      <color theme="0"/>
      <name val="Calibri"/>
      <family val="2"/>
      <scheme val="minor"/>
    </font>
    <font>
      <i/>
      <vertAlign val="subscript"/>
      <sz val="11"/>
      <name val="Calibri"/>
      <family val="2"/>
      <scheme val="minor"/>
    </font>
    <font>
      <i/>
      <vertAlign val="superscript"/>
      <sz val="11"/>
      <name val="Calibri"/>
      <family val="2"/>
      <scheme val="minor"/>
    </font>
    <font>
      <i/>
      <sz val="9"/>
      <name val="Calibri"/>
      <family val="2"/>
      <scheme val="minor"/>
    </font>
    <font>
      <sz val="11"/>
      <color indexed="81"/>
      <name val="Calibri"/>
      <family val="2"/>
      <scheme val="minor"/>
    </font>
    <font>
      <i/>
      <sz val="11"/>
      <color indexed="81"/>
      <name val="Calibri"/>
      <family val="2"/>
      <scheme val="minor"/>
    </font>
    <font>
      <i/>
      <vertAlign val="subscript"/>
      <sz val="11"/>
      <color indexed="81"/>
      <name val="Calibri"/>
      <family val="2"/>
      <scheme val="minor"/>
    </font>
    <font>
      <i/>
      <sz val="11"/>
      <color indexed="81"/>
      <name val="Times New Roman"/>
      <family val="1"/>
    </font>
    <font>
      <i/>
      <vertAlign val="subscript"/>
      <sz val="9"/>
      <color indexed="81"/>
      <name val="Calibri"/>
      <family val="2"/>
      <scheme val="minor"/>
    </font>
    <font>
      <i/>
      <sz val="11"/>
      <color indexed="81"/>
      <name val="Symbol"/>
      <family val="1"/>
      <charset val="2"/>
    </font>
    <font>
      <sz val="11"/>
      <color indexed="81"/>
      <name val="Symbol"/>
      <family val="1"/>
      <charset val="2"/>
    </font>
    <font>
      <sz val="8"/>
      <color indexed="81"/>
      <name val="Calibri"/>
      <family val="2"/>
      <scheme val="minor"/>
    </font>
    <font>
      <i/>
      <vertAlign val="superscript"/>
      <sz val="11"/>
      <color indexed="81"/>
      <name val="Calibri"/>
      <family val="2"/>
      <scheme val="minor"/>
    </font>
    <font>
      <i/>
      <vertAlign val="subscript"/>
      <sz val="10"/>
      <color indexed="81"/>
      <name val="Calibri"/>
      <family val="2"/>
      <scheme val="minor"/>
    </font>
    <font>
      <sz val="8"/>
      <color indexed="81"/>
      <name val="Tahoma"/>
      <family val="2"/>
    </font>
    <font>
      <i/>
      <vertAlign val="subscript"/>
      <sz val="11"/>
      <color indexed="81"/>
      <name val="Symbol"/>
      <family val="1"/>
      <charset val="2"/>
    </font>
    <font>
      <u/>
      <sz val="11"/>
      <color indexed="12"/>
      <name val="Calibri"/>
      <family val="2"/>
      <scheme val="minor"/>
    </font>
    <font>
      <sz val="10"/>
      <name val="Calibri"/>
      <family val="2"/>
      <scheme val="minor"/>
    </font>
    <font>
      <sz val="11"/>
      <color rgb="FF000000"/>
      <name val="Calibri"/>
      <family val="2"/>
      <scheme val="minor"/>
    </font>
    <font>
      <b/>
      <sz val="11"/>
      <color rgb="FF000000"/>
      <name val="Calibri"/>
      <family val="2"/>
      <scheme val="minor"/>
    </font>
    <font>
      <i/>
      <sz val="11"/>
      <color rgb="FF000000"/>
      <name val="Calibri"/>
      <family val="2"/>
      <scheme val="minor"/>
    </font>
    <font>
      <vertAlign val="superscript"/>
      <sz val="11"/>
      <color rgb="FF000000"/>
      <name val="Calibri"/>
      <family val="2"/>
      <scheme val="minor"/>
    </font>
    <font>
      <b/>
      <sz val="11"/>
      <color theme="0"/>
      <name val="Calibri"/>
      <family val="2"/>
      <scheme val="minor"/>
    </font>
    <font>
      <sz val="9"/>
      <color indexed="81"/>
      <name val="Tahoma"/>
      <family val="2"/>
    </font>
    <font>
      <i/>
      <u/>
      <sz val="11"/>
      <color indexed="12"/>
      <name val="Calibri"/>
      <family val="2"/>
      <scheme val="minor"/>
    </font>
    <font>
      <i/>
      <vertAlign val="superscript"/>
      <sz val="11"/>
      <color indexed="81"/>
      <name val="Symbol"/>
      <family val="1"/>
      <charset val="2"/>
    </font>
    <font>
      <i/>
      <vertAlign val="subscript"/>
      <sz val="11"/>
      <color rgb="FF000000"/>
      <name val="Calibri"/>
      <family val="2"/>
      <scheme val="minor"/>
    </font>
  </fonts>
  <fills count="4">
    <fill>
      <patternFill patternType="none"/>
    </fill>
    <fill>
      <patternFill patternType="gray125"/>
    </fill>
    <fill>
      <patternFill patternType="solid">
        <fgColor rgb="FF98002E"/>
        <bgColor indexed="64"/>
      </patternFill>
    </fill>
    <fill>
      <patternFill patternType="solid">
        <fgColor rgb="FF01D1AE"/>
        <bgColor indexed="64"/>
      </patternFill>
    </fill>
  </fills>
  <borders count="17">
    <border>
      <left/>
      <right/>
      <top/>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theme="0" tint="-0.34998626667073579"/>
      </right>
      <top/>
      <bottom/>
      <diagonal/>
    </border>
    <border>
      <left style="thin">
        <color theme="0" tint="-0.34998626667073579"/>
      </left>
      <right style="thin">
        <color indexed="64"/>
      </right>
      <top/>
      <bottom/>
      <diagonal/>
    </border>
    <border>
      <left style="thin">
        <color theme="0" tint="-0.34998626667073579"/>
      </left>
      <right style="thin">
        <color theme="0" tint="-0.34998626667073579"/>
      </right>
      <top/>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3">
    <xf numFmtId="0" fontId="0" fillId="0" borderId="0"/>
    <xf numFmtId="43"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03">
    <xf numFmtId="0" fontId="0" fillId="0" borderId="0" xfId="0"/>
    <xf numFmtId="0" fontId="3" fillId="0" borderId="0" xfId="0" applyFont="1"/>
    <xf numFmtId="0" fontId="3" fillId="2" borderId="0" xfId="0" applyFont="1" applyFill="1"/>
    <xf numFmtId="0" fontId="5" fillId="0" borderId="0" xfId="0" applyFont="1"/>
    <xf numFmtId="0" fontId="5" fillId="0" borderId="0" xfId="0" applyFont="1" applyAlignment="1">
      <alignment horizontal="left" vertical="top"/>
    </xf>
    <xf numFmtId="0" fontId="7" fillId="0" borderId="0" xfId="0" applyFont="1" applyAlignment="1">
      <alignment horizontal="left" indent="1"/>
    </xf>
    <xf numFmtId="0" fontId="8" fillId="0" borderId="0" xfId="0" applyFont="1"/>
    <xf numFmtId="0" fontId="9" fillId="0" borderId="0" xfId="0" applyFont="1" applyAlignment="1">
      <alignment horizontal="center" vertical="top" wrapText="1"/>
    </xf>
    <xf numFmtId="0" fontId="9" fillId="0" borderId="1" xfId="0" applyFont="1" applyBorder="1" applyAlignment="1">
      <alignment horizontal="center" vertical="top" wrapText="1"/>
    </xf>
    <xf numFmtId="0" fontId="9" fillId="3" borderId="1" xfId="0" applyFont="1" applyFill="1" applyBorder="1" applyAlignment="1">
      <alignment horizontal="center" vertical="top" wrapText="1"/>
    </xf>
    <xf numFmtId="0" fontId="3" fillId="0" borderId="1" xfId="0" applyFont="1" applyBorder="1" applyAlignment="1">
      <alignment horizontal="center" vertical="top" wrapText="1"/>
    </xf>
    <xf numFmtId="0" fontId="7" fillId="0" borderId="0" xfId="0" applyFont="1" applyAlignment="1">
      <alignment horizontal="center" vertical="center"/>
    </xf>
    <xf numFmtId="0" fontId="7" fillId="0" borderId="2" xfId="0" applyFont="1" applyBorder="1" applyAlignment="1">
      <alignment horizontal="center" vertical="center"/>
    </xf>
    <xf numFmtId="0" fontId="11" fillId="2" borderId="2" xfId="0" applyFont="1" applyFill="1" applyBorder="1" applyAlignment="1">
      <alignment horizontal="center" vertical="center"/>
    </xf>
    <xf numFmtId="0" fontId="7" fillId="3" borderId="2" xfId="0" applyFont="1" applyFill="1" applyBorder="1" applyAlignment="1">
      <alignment horizontal="center" vertical="center"/>
    </xf>
    <xf numFmtId="0" fontId="10" fillId="2" borderId="2" xfId="0" applyFont="1" applyFill="1" applyBorder="1" applyAlignment="1">
      <alignment horizontal="center" vertical="center"/>
    </xf>
    <xf numFmtId="0" fontId="7" fillId="0" borderId="2" xfId="0" applyFont="1" applyBorder="1" applyAlignment="1">
      <alignment horizontal="left" vertical="center" wrapText="1"/>
    </xf>
    <xf numFmtId="0" fontId="3" fillId="0" borderId="0" xfId="0" applyFont="1" applyAlignment="1">
      <alignment horizontal="right"/>
    </xf>
    <xf numFmtId="0" fontId="3" fillId="0" borderId="0" xfId="0" applyFont="1" applyAlignment="1">
      <alignment horizontal="center"/>
    </xf>
    <xf numFmtId="0" fontId="2" fillId="2" borderId="0" xfId="0" applyFont="1" applyFill="1" applyAlignment="1">
      <alignment horizontal="center"/>
    </xf>
    <xf numFmtId="0" fontId="3" fillId="3" borderId="0" xfId="0" applyFont="1" applyFill="1" applyAlignment="1">
      <alignment horizontal="right"/>
    </xf>
    <xf numFmtId="0" fontId="2" fillId="2" borderId="0" xfId="0" applyFont="1" applyFill="1" applyAlignment="1">
      <alignment horizontal="right"/>
    </xf>
    <xf numFmtId="165" fontId="3" fillId="0" borderId="0" xfId="0" applyNumberFormat="1" applyFont="1" applyAlignment="1">
      <alignment horizontal="center"/>
    </xf>
    <xf numFmtId="165" fontId="2" fillId="2" borderId="0" xfId="0" applyNumberFormat="1" applyFont="1" applyFill="1" applyAlignment="1">
      <alignment horizontal="center"/>
    </xf>
    <xf numFmtId="165" fontId="3" fillId="0" borderId="0" xfId="0" quotePrefix="1" applyNumberFormat="1" applyFont="1" applyAlignment="1">
      <alignment horizontal="left" vertical="top" indent="1"/>
    </xf>
    <xf numFmtId="166" fontId="3" fillId="0" borderId="0" xfId="0" applyNumberFormat="1" applyFont="1" applyAlignment="1">
      <alignment horizontal="center"/>
    </xf>
    <xf numFmtId="2" fontId="3" fillId="0" borderId="0" xfId="0" applyNumberFormat="1" applyFont="1" applyAlignment="1">
      <alignment horizontal="center"/>
    </xf>
    <xf numFmtId="169" fontId="3" fillId="0" borderId="0" xfId="0" applyNumberFormat="1" applyFont="1" applyAlignment="1">
      <alignment horizontal="center"/>
    </xf>
    <xf numFmtId="167" fontId="3" fillId="0" borderId="0" xfId="1" applyNumberFormat="1" applyFont="1" applyFill="1" applyAlignment="1">
      <alignment horizontal="center"/>
    </xf>
    <xf numFmtId="168" fontId="3" fillId="0" borderId="0" xfId="1" applyNumberFormat="1" applyFont="1" applyAlignment="1">
      <alignment horizontal="center"/>
    </xf>
    <xf numFmtId="170" fontId="3" fillId="0" borderId="0" xfId="1" applyNumberFormat="1" applyFont="1" applyAlignment="1">
      <alignment horizontal="center"/>
    </xf>
    <xf numFmtId="171" fontId="2" fillId="2" borderId="0" xfId="0" applyNumberFormat="1" applyFont="1" applyFill="1" applyAlignment="1">
      <alignment horizontal="center"/>
    </xf>
    <xf numFmtId="11" fontId="3" fillId="0" borderId="0" xfId="0" applyNumberFormat="1" applyFont="1" applyAlignment="1">
      <alignment horizontal="center"/>
    </xf>
    <xf numFmtId="172" fontId="3" fillId="0" borderId="0" xfId="1" applyNumberFormat="1" applyFont="1" applyAlignment="1">
      <alignment horizontal="center"/>
    </xf>
    <xf numFmtId="173" fontId="3" fillId="0" borderId="0" xfId="1" applyNumberFormat="1" applyFont="1" applyAlignment="1">
      <alignment horizontal="center"/>
    </xf>
    <xf numFmtId="174" fontId="3" fillId="0" borderId="0" xfId="0" applyNumberFormat="1" applyFont="1" applyAlignment="1">
      <alignment horizontal="center"/>
    </xf>
    <xf numFmtId="2" fontId="3" fillId="0" borderId="0" xfId="0" applyNumberFormat="1" applyFont="1"/>
    <xf numFmtId="175" fontId="3" fillId="0" borderId="0" xfId="0" applyNumberFormat="1" applyFont="1"/>
    <xf numFmtId="165" fontId="2" fillId="2" borderId="0" xfId="0" quotePrefix="1" applyNumberFormat="1" applyFont="1" applyFill="1" applyAlignment="1">
      <alignment horizontal="center"/>
    </xf>
    <xf numFmtId="176" fontId="3" fillId="0" borderId="0" xfId="0" quotePrefix="1" applyNumberFormat="1" applyFont="1" applyAlignment="1">
      <alignment horizontal="left" vertical="top" indent="1"/>
    </xf>
    <xf numFmtId="167" fontId="3" fillId="0" borderId="0" xfId="1" applyNumberFormat="1" applyFont="1" applyAlignment="1">
      <alignment horizontal="center"/>
    </xf>
    <xf numFmtId="177" fontId="3" fillId="0" borderId="0" xfId="0" quotePrefix="1" applyNumberFormat="1" applyFont="1" applyAlignment="1">
      <alignment horizontal="left" vertical="top" indent="1"/>
    </xf>
    <xf numFmtId="49" fontId="3" fillId="0" borderId="0" xfId="0" quotePrefix="1" applyNumberFormat="1" applyFont="1" applyAlignment="1">
      <alignment horizontal="left" indent="1"/>
    </xf>
    <xf numFmtId="49" fontId="3" fillId="0" borderId="0" xfId="0" applyNumberFormat="1" applyFont="1" applyAlignment="1">
      <alignment horizontal="left" indent="1"/>
    </xf>
    <xf numFmtId="169" fontId="3" fillId="0" borderId="0" xfId="1" applyNumberFormat="1" applyFont="1" applyFill="1" applyAlignment="1">
      <alignment horizontal="center"/>
    </xf>
    <xf numFmtId="168" fontId="3" fillId="0" borderId="0" xfId="1" applyNumberFormat="1" applyFont="1" applyFill="1" applyAlignment="1">
      <alignment horizontal="center"/>
    </xf>
    <xf numFmtId="172" fontId="3" fillId="0" borderId="0" xfId="1" applyNumberFormat="1" applyFont="1" applyFill="1" applyAlignment="1">
      <alignment horizontal="center"/>
    </xf>
    <xf numFmtId="173" fontId="3" fillId="0" borderId="0" xfId="1" applyNumberFormat="1" applyFont="1" applyFill="1" applyAlignment="1">
      <alignment horizontal="center"/>
    </xf>
    <xf numFmtId="0" fontId="3" fillId="0" borderId="2" xfId="0" applyFont="1" applyBorder="1" applyAlignment="1">
      <alignment horizontal="center"/>
    </xf>
    <xf numFmtId="178" fontId="3" fillId="0" borderId="2" xfId="0" applyNumberFormat="1" applyFont="1" applyBorder="1" applyAlignment="1">
      <alignment horizontal="center"/>
    </xf>
    <xf numFmtId="0" fontId="3" fillId="0" borderId="2" xfId="0" applyFont="1" applyBorder="1"/>
    <xf numFmtId="43" fontId="3" fillId="0" borderId="2" xfId="0" applyNumberFormat="1" applyFont="1" applyBorder="1"/>
    <xf numFmtId="179" fontId="3" fillId="0" borderId="2" xfId="0" applyNumberFormat="1" applyFont="1" applyBorder="1"/>
    <xf numFmtId="43" fontId="3" fillId="0" borderId="0" xfId="0" applyNumberFormat="1" applyFont="1"/>
    <xf numFmtId="179" fontId="3" fillId="0" borderId="0" xfId="0" applyNumberFormat="1" applyFont="1"/>
    <xf numFmtId="164" fontId="3" fillId="0" borderId="0" xfId="0" applyNumberFormat="1" applyFont="1"/>
    <xf numFmtId="0" fontId="28" fillId="0" borderId="0" xfId="2" applyFont="1" applyBorder="1" applyAlignment="1" applyProtection="1">
      <alignment horizontal="left" vertical="top"/>
    </xf>
    <xf numFmtId="0" fontId="29" fillId="0" borderId="0" xfId="0" applyFont="1"/>
    <xf numFmtId="0" fontId="3" fillId="0" borderId="0" xfId="0" applyFont="1" applyAlignment="1">
      <alignment horizontal="center" wrapText="1"/>
    </xf>
    <xf numFmtId="49" fontId="3" fillId="0" borderId="13" xfId="0" quotePrefix="1" applyNumberFormat="1" applyFont="1" applyBorder="1" applyAlignment="1">
      <alignment horizontal="center" vertical="top"/>
    </xf>
    <xf numFmtId="49" fontId="3" fillId="0" borderId="14" xfId="0" quotePrefix="1" applyNumberFormat="1" applyFont="1" applyBorder="1" applyAlignment="1">
      <alignment horizontal="center"/>
    </xf>
    <xf numFmtId="49" fontId="3" fillId="0" borderId="14" xfId="0" applyNumberFormat="1" applyFont="1" applyBorder="1" applyAlignment="1">
      <alignment horizontal="center"/>
    </xf>
    <xf numFmtId="49" fontId="3" fillId="0" borderId="15" xfId="0" applyNumberFormat="1" applyFont="1" applyBorder="1" applyAlignment="1">
      <alignment horizontal="center"/>
    </xf>
    <xf numFmtId="0" fontId="0" fillId="3" borderId="16" xfId="0" applyFill="1" applyBorder="1" applyAlignment="1">
      <alignment horizontal="center"/>
    </xf>
    <xf numFmtId="0" fontId="0" fillId="0" borderId="6" xfId="0" applyBorder="1"/>
    <xf numFmtId="0" fontId="0" fillId="0" borderId="8" xfId="0" applyBorder="1"/>
    <xf numFmtId="0" fontId="7" fillId="0" borderId="0" xfId="0" applyFont="1"/>
    <xf numFmtId="0" fontId="36" fillId="0" borderId="0" xfId="2" applyFont="1" applyFill="1" applyAlignment="1" applyProtection="1"/>
    <xf numFmtId="0" fontId="10" fillId="2" borderId="1" xfId="0" applyFont="1" applyFill="1" applyBorder="1" applyAlignment="1">
      <alignment horizontal="center" vertical="top" wrapText="1"/>
    </xf>
    <xf numFmtId="167" fontId="3" fillId="3" borderId="0" xfId="1" applyNumberFormat="1" applyFont="1" applyFill="1" applyAlignment="1" applyProtection="1">
      <alignment horizontal="center"/>
      <protection locked="0"/>
    </xf>
    <xf numFmtId="168" fontId="3" fillId="3" borderId="0" xfId="1" applyNumberFormat="1" applyFont="1" applyFill="1" applyAlignment="1" applyProtection="1">
      <alignment horizontal="center"/>
      <protection locked="0"/>
    </xf>
    <xf numFmtId="0" fontId="0" fillId="0" borderId="0" xfId="0" applyProtection="1">
      <protection locked="0"/>
    </xf>
    <xf numFmtId="0" fontId="0" fillId="3" borderId="10" xfId="0" applyFill="1" applyBorder="1" applyProtection="1">
      <protection locked="0"/>
    </xf>
    <xf numFmtId="0" fontId="0" fillId="3" borderId="11" xfId="0" applyFill="1" applyBorder="1" applyProtection="1">
      <protection locked="0"/>
    </xf>
    <xf numFmtId="165" fontId="0" fillId="3" borderId="10" xfId="0" applyNumberFormat="1" applyFill="1" applyBorder="1" applyProtection="1">
      <protection locked="0"/>
    </xf>
    <xf numFmtId="0" fontId="0" fillId="3" borderId="12" xfId="0" applyFill="1" applyBorder="1" applyProtection="1">
      <protection locked="0"/>
    </xf>
    <xf numFmtId="169" fontId="2" fillId="2" borderId="10" xfId="0" applyNumberFormat="1" applyFont="1" applyFill="1" applyBorder="1" applyAlignment="1" applyProtection="1">
      <alignment horizontal="center"/>
      <protection locked="0"/>
    </xf>
    <xf numFmtId="169" fontId="2" fillId="2" borderId="12" xfId="0" applyNumberFormat="1" applyFont="1" applyFill="1" applyBorder="1" applyAlignment="1" applyProtection="1">
      <alignment horizontal="center"/>
      <protection locked="0"/>
    </xf>
    <xf numFmtId="169" fontId="2" fillId="2" borderId="11" xfId="0" applyNumberFormat="1" applyFont="1" applyFill="1" applyBorder="1" applyAlignment="1" applyProtection="1">
      <alignment horizontal="center"/>
      <protection locked="0"/>
    </xf>
    <xf numFmtId="0" fontId="3" fillId="0" borderId="0" xfId="2" applyFont="1" applyAlignment="1" applyProtection="1">
      <alignment horizontal="left" wrapText="1"/>
    </xf>
    <xf numFmtId="0" fontId="3" fillId="0" borderId="0" xfId="0" applyFont="1" applyAlignment="1">
      <alignment horizontal="left" wrapText="1"/>
    </xf>
    <xf numFmtId="0" fontId="3" fillId="0" borderId="0" xfId="0" applyFont="1" applyAlignment="1">
      <alignment horizontal="left"/>
    </xf>
    <xf numFmtId="0" fontId="30" fillId="0" borderId="0" xfId="0" applyFont="1" applyAlignment="1">
      <alignment horizontal="left" wrapText="1" readingOrder="1"/>
    </xf>
    <xf numFmtId="0" fontId="31" fillId="0" borderId="0" xfId="0" applyFont="1" applyAlignment="1">
      <alignment horizontal="left" wrapText="1" readingOrder="1"/>
    </xf>
    <xf numFmtId="0" fontId="31" fillId="0" borderId="0" xfId="0" quotePrefix="1" applyFont="1" applyAlignment="1">
      <alignment horizontal="left" wrapText="1" readingOrder="1"/>
    </xf>
    <xf numFmtId="0" fontId="4" fillId="2" borderId="0" xfId="0" applyFont="1" applyFill="1" applyAlignment="1">
      <alignment horizontal="left" vertical="center" wrapText="1" indent="1"/>
    </xf>
    <xf numFmtId="0" fontId="32" fillId="0" borderId="0" xfId="0" applyFont="1" applyAlignment="1">
      <alignment horizontal="left" wrapText="1" readingOrder="1"/>
    </xf>
    <xf numFmtId="0" fontId="10" fillId="2" borderId="1" xfId="0" applyFont="1" applyFill="1" applyBorder="1" applyAlignment="1">
      <alignment horizontal="center" vertical="top" wrapText="1"/>
    </xf>
    <xf numFmtId="0" fontId="36" fillId="0" borderId="0" xfId="2" applyFont="1" applyFill="1" applyAlignment="1" applyProtection="1">
      <alignment horizontal="left"/>
    </xf>
    <xf numFmtId="0" fontId="34"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11" xfId="0" applyFont="1" applyFill="1" applyBorder="1" applyAlignment="1">
      <alignment horizontal="center" vertical="center"/>
    </xf>
    <xf numFmtId="0" fontId="34" fillId="2" borderId="13" xfId="0" applyFont="1" applyFill="1" applyBorder="1" applyAlignment="1">
      <alignment horizontal="center" vertical="center" wrapText="1"/>
    </xf>
    <xf numFmtId="0" fontId="34" fillId="2" borderId="10" xfId="0" applyFont="1" applyFill="1" applyBorder="1" applyAlignment="1">
      <alignment horizontal="center" vertical="center" wrapText="1"/>
    </xf>
    <xf numFmtId="0" fontId="36" fillId="0" borderId="0" xfId="2" applyFont="1" applyFill="1" applyAlignment="1" applyProtection="1">
      <alignment horizontal="center"/>
    </xf>
    <xf numFmtId="0" fontId="34" fillId="2" borderId="9" xfId="0" applyFont="1" applyFill="1" applyBorder="1" applyAlignment="1">
      <alignment horizontal="left" vertical="center"/>
    </xf>
    <xf numFmtId="0" fontId="34" fillId="2" borderId="3" xfId="0" applyFont="1" applyFill="1" applyBorder="1" applyAlignment="1">
      <alignment horizontal="left" vertical="center"/>
    </xf>
    <xf numFmtId="0" fontId="34" fillId="2" borderId="5" xfId="0" applyFont="1" applyFill="1" applyBorder="1" applyAlignment="1">
      <alignment horizontal="left" vertical="center"/>
    </xf>
    <xf numFmtId="0" fontId="34" fillId="2" borderId="4" xfId="0" applyFont="1" applyFill="1" applyBorder="1" applyAlignment="1">
      <alignment horizontal="left" vertical="center"/>
    </xf>
    <xf numFmtId="0" fontId="34" fillId="2" borderId="6" xfId="0" applyFont="1" applyFill="1" applyBorder="1" applyAlignment="1">
      <alignment horizontal="center"/>
    </xf>
    <xf numFmtId="0" fontId="34" fillId="2" borderId="7" xfId="0" applyFont="1" applyFill="1" applyBorder="1" applyAlignment="1">
      <alignment horizontal="center"/>
    </xf>
    <xf numFmtId="0" fontId="34" fillId="2" borderId="8" xfId="0" applyFont="1" applyFill="1" applyBorder="1" applyAlignment="1">
      <alignment horizontal="center"/>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98002E"/>
      <color rgb="FF01D1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503844</xdr:colOff>
      <xdr:row>1</xdr:row>
      <xdr:rowOff>28575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2494" cy="733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456219</xdr:colOff>
      <xdr:row>1</xdr:row>
      <xdr:rowOff>28575</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2494" cy="7334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257700</xdr:colOff>
      <xdr:row>1</xdr:row>
      <xdr:rowOff>29550</xdr:rowOff>
    </xdr:to>
    <xdr:pic>
      <xdr:nvPicPr>
        <xdr:cNvPr id="7" name="Picture 6">
          <a:extLst>
            <a:ext uri="{FF2B5EF4-FFF2-40B4-BE49-F238E27FC236}">
              <a16:creationId xmlns:a16="http://schemas.microsoft.com/office/drawing/2014/main" id="{00000000-0008-0000-02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4000" cy="734400"/>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ons.gov.uk/ons/guide-method/method-quality/specific/gss-methodology-series/gss-methodology-series--33--life-expectancy-at-birth--methodological-options-for-small-populations.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2"/>
  <sheetViews>
    <sheetView showGridLines="0" zoomScaleNormal="100" workbookViewId="0">
      <pane ySplit="3" topLeftCell="A4" activePane="bottomLeft" state="frozen"/>
      <selection pane="bottomLeft" activeCell="A4" sqref="A4"/>
    </sheetView>
  </sheetViews>
  <sheetFormatPr defaultColWidth="9.109375" defaultRowHeight="14.4" x14ac:dyDescent="0.3"/>
  <cols>
    <col min="1" max="1" width="3.109375" style="57" customWidth="1"/>
    <col min="2" max="3" width="3.109375" style="1" customWidth="1"/>
    <col min="4" max="4" width="18.109375" style="1" customWidth="1"/>
    <col min="5" max="5" width="73" style="57" customWidth="1"/>
    <col min="6" max="16384" width="9.109375" style="57"/>
  </cols>
  <sheetData>
    <row r="1" spans="1:11" s="2" customFormat="1" ht="55.5" customHeight="1" x14ac:dyDescent="0.3">
      <c r="A1" s="1"/>
      <c r="B1" s="1"/>
      <c r="C1" s="1"/>
      <c r="D1" s="1"/>
      <c r="E1" s="85" t="s">
        <v>53</v>
      </c>
      <c r="F1" s="85"/>
      <c r="G1" s="85"/>
      <c r="H1" s="85"/>
      <c r="I1" s="85"/>
      <c r="J1" s="85"/>
      <c r="K1" s="85"/>
    </row>
    <row r="4" spans="1:11" x14ac:dyDescent="0.3">
      <c r="B4" s="83" t="s">
        <v>66</v>
      </c>
      <c r="C4" s="83"/>
      <c r="D4" s="83"/>
      <c r="E4" s="83"/>
    </row>
    <row r="5" spans="1:11" ht="51" customHeight="1" x14ac:dyDescent="0.3">
      <c r="B5" s="86" t="s">
        <v>57</v>
      </c>
      <c r="C5" s="86"/>
      <c r="D5" s="86"/>
      <c r="E5" s="86"/>
    </row>
    <row r="6" spans="1:11" ht="126" customHeight="1" x14ac:dyDescent="0.3">
      <c r="B6" s="82" t="s">
        <v>65</v>
      </c>
      <c r="C6" s="82"/>
      <c r="D6" s="82"/>
      <c r="E6" s="82"/>
    </row>
    <row r="7" spans="1:11" ht="66" customHeight="1" x14ac:dyDescent="0.3">
      <c r="B7" s="82" t="s">
        <v>61</v>
      </c>
      <c r="C7" s="82"/>
      <c r="D7" s="82"/>
      <c r="E7" s="82"/>
    </row>
    <row r="8" spans="1:11" ht="30" customHeight="1" x14ac:dyDescent="0.3">
      <c r="B8" s="83" t="s">
        <v>63</v>
      </c>
      <c r="C8" s="83"/>
      <c r="D8" s="83"/>
      <c r="E8" s="83"/>
    </row>
    <row r="9" spans="1:11" ht="55.5" customHeight="1" x14ac:dyDescent="0.3">
      <c r="B9" s="82" t="s">
        <v>96</v>
      </c>
      <c r="C9" s="82"/>
      <c r="D9" s="82"/>
      <c r="E9" s="82"/>
    </row>
    <row r="10" spans="1:11" ht="120.75" customHeight="1" x14ac:dyDescent="0.3">
      <c r="B10" s="82" t="s">
        <v>105</v>
      </c>
      <c r="C10" s="82"/>
      <c r="D10" s="82"/>
      <c r="E10" s="82"/>
    </row>
    <row r="11" spans="1:11" ht="144.75" customHeight="1" x14ac:dyDescent="0.3">
      <c r="B11" s="82" t="s">
        <v>106</v>
      </c>
      <c r="C11" s="82"/>
      <c r="D11" s="82"/>
      <c r="E11" s="82"/>
    </row>
    <row r="12" spans="1:11" ht="30" customHeight="1" x14ac:dyDescent="0.3">
      <c r="B12" s="84" t="s">
        <v>64</v>
      </c>
      <c r="C12" s="83"/>
      <c r="D12" s="83"/>
      <c r="E12" s="83"/>
    </row>
    <row r="13" spans="1:11" ht="67.5" customHeight="1" x14ac:dyDescent="0.3">
      <c r="B13" s="82" t="s">
        <v>97</v>
      </c>
      <c r="C13" s="82"/>
      <c r="D13" s="82"/>
      <c r="E13" s="82"/>
    </row>
    <row r="14" spans="1:11" ht="30" customHeight="1" x14ac:dyDescent="0.3">
      <c r="B14" s="83" t="s">
        <v>54</v>
      </c>
      <c r="C14" s="83"/>
      <c r="D14" s="83"/>
      <c r="E14" s="83"/>
    </row>
    <row r="15" spans="1:11" ht="52.5" customHeight="1" x14ac:dyDescent="0.3">
      <c r="B15" s="82" t="s">
        <v>104</v>
      </c>
      <c r="C15" s="82"/>
      <c r="D15" s="82"/>
      <c r="E15" s="82"/>
    </row>
    <row r="16" spans="1:11" ht="30" customHeight="1" x14ac:dyDescent="0.3">
      <c r="B16" s="83" t="s">
        <v>55</v>
      </c>
      <c r="C16" s="83"/>
      <c r="D16" s="83"/>
      <c r="E16" s="83"/>
    </row>
    <row r="17" spans="2:5" ht="36" customHeight="1" x14ac:dyDescent="0.3">
      <c r="B17" s="58" t="s">
        <v>58</v>
      </c>
      <c r="C17" s="82" t="s">
        <v>62</v>
      </c>
      <c r="D17" s="82"/>
      <c r="E17" s="82"/>
    </row>
    <row r="18" spans="2:5" x14ac:dyDescent="0.3">
      <c r="B18" s="58">
        <v>2</v>
      </c>
      <c r="C18" s="82" t="s">
        <v>56</v>
      </c>
      <c r="D18" s="82"/>
      <c r="E18" s="82"/>
    </row>
    <row r="19" spans="2:5" ht="30" customHeight="1" x14ac:dyDescent="0.3">
      <c r="B19" s="58" t="s">
        <v>59</v>
      </c>
      <c r="C19" s="82" t="s">
        <v>101</v>
      </c>
      <c r="D19" s="82"/>
      <c r="E19" s="82"/>
    </row>
    <row r="20" spans="2:5" ht="30" customHeight="1" x14ac:dyDescent="0.3">
      <c r="B20" s="58" t="s">
        <v>60</v>
      </c>
      <c r="C20" s="82" t="s">
        <v>100</v>
      </c>
      <c r="D20" s="82"/>
      <c r="E20" s="82"/>
    </row>
    <row r="21" spans="2:5" ht="30" customHeight="1" x14ac:dyDescent="0.3">
      <c r="B21" s="58" t="s">
        <v>103</v>
      </c>
      <c r="C21" s="79" t="s">
        <v>102</v>
      </c>
      <c r="D21" s="79"/>
      <c r="E21" s="79"/>
    </row>
    <row r="22" spans="2:5" ht="30" customHeight="1" x14ac:dyDescent="0.3">
      <c r="B22" s="58" t="s">
        <v>98</v>
      </c>
      <c r="C22" s="80" t="s">
        <v>99</v>
      </c>
      <c r="D22" s="81"/>
      <c r="E22" s="81"/>
    </row>
  </sheetData>
  <sheetProtection sheet="1" objects="1" scenarios="1"/>
  <mergeCells count="20">
    <mergeCell ref="E1:K1"/>
    <mergeCell ref="B4:E4"/>
    <mergeCell ref="B5:E5"/>
    <mergeCell ref="B6:E6"/>
    <mergeCell ref="B7:E7"/>
    <mergeCell ref="B14:E14"/>
    <mergeCell ref="B15:E15"/>
    <mergeCell ref="B16:E16"/>
    <mergeCell ref="C17:E17"/>
    <mergeCell ref="B8:E8"/>
    <mergeCell ref="B9:E9"/>
    <mergeCell ref="B10:E10"/>
    <mergeCell ref="B12:E12"/>
    <mergeCell ref="B13:E13"/>
    <mergeCell ref="B11:E11"/>
    <mergeCell ref="C21:E21"/>
    <mergeCell ref="C22:E22"/>
    <mergeCell ref="C18:E18"/>
    <mergeCell ref="C19:E19"/>
    <mergeCell ref="C20:E20"/>
  </mergeCells>
  <hyperlinks>
    <hyperlink ref="C21:E21" r:id="rId1" display="Toson B, Baker A. Life expectancy at birth: methodological options for small populations. National Statistics  Methodological Series No 33. HMSO 2003."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32"/>
  <sheetViews>
    <sheetView showGridLines="0" workbookViewId="0">
      <pane xSplit="4" ySplit="4" topLeftCell="E5" activePane="bottomRight" state="frozen"/>
      <selection pane="topRight" activeCell="E1" sqref="E1"/>
      <selection pane="bottomLeft" activeCell="A4" sqref="A4"/>
      <selection pane="bottomRight" activeCell="E5" sqref="E5"/>
    </sheetView>
  </sheetViews>
  <sheetFormatPr defaultColWidth="9.109375" defaultRowHeight="14.4" x14ac:dyDescent="0.3"/>
  <cols>
    <col min="1" max="1" width="2.44140625" style="1" customWidth="1"/>
    <col min="2" max="3" width="7.6640625" style="18" customWidth="1"/>
    <col min="4" max="4" width="9.6640625" style="18" customWidth="1"/>
    <col min="5" max="5" width="7.6640625" style="18" customWidth="1"/>
    <col min="6" max="6" width="9.6640625" style="18" customWidth="1"/>
    <col min="7" max="7" width="10" style="1" customWidth="1"/>
    <col min="8" max="8" width="8.88671875" style="1" customWidth="1"/>
    <col min="9" max="9" width="7.6640625" style="1" customWidth="1"/>
    <col min="10" max="10" width="10.33203125" style="1" customWidth="1"/>
    <col min="11" max="11" width="8" style="1" customWidth="1"/>
    <col min="12" max="12" width="7.6640625" style="1" customWidth="1"/>
    <col min="13" max="13" width="9.44140625" style="1" customWidth="1"/>
    <col min="14" max="14" width="12" style="1" customWidth="1"/>
    <col min="15" max="15" width="12.33203125" style="1" customWidth="1"/>
    <col min="16" max="16" width="13.109375" style="1" customWidth="1"/>
    <col min="17" max="17" width="14.33203125" style="1" customWidth="1"/>
    <col min="18" max="18" width="16.5546875" style="1" customWidth="1"/>
    <col min="19" max="19" width="15.6640625" style="55" customWidth="1"/>
    <col min="20" max="21" width="8.5546875" style="1" customWidth="1"/>
    <col min="22" max="23" width="9.109375" style="1"/>
    <col min="24" max="24" width="10" style="1" customWidth="1"/>
    <col min="25" max="25" width="9.109375" style="1"/>
    <col min="26" max="26" width="12.6640625" style="1" customWidth="1"/>
    <col min="27" max="16384" width="9.109375" style="1"/>
  </cols>
  <sheetData>
    <row r="1" spans="1:26" s="2" customFormat="1" ht="55.5" customHeight="1" x14ac:dyDescent="0.3">
      <c r="A1" s="1"/>
      <c r="B1" s="1"/>
      <c r="C1" s="1"/>
      <c r="D1" s="1"/>
      <c r="E1" s="85" t="s">
        <v>0</v>
      </c>
      <c r="F1" s="85"/>
      <c r="G1" s="85"/>
      <c r="H1" s="85"/>
      <c r="I1" s="85"/>
      <c r="J1" s="85"/>
    </row>
    <row r="2" spans="1:26" s="3" customFormat="1" x14ac:dyDescent="0.3">
      <c r="C2" s="4"/>
      <c r="D2" s="4"/>
    </row>
    <row r="3" spans="1:26" x14ac:dyDescent="0.3">
      <c r="B3" s="1"/>
      <c r="C3" s="1"/>
      <c r="D3" s="1"/>
      <c r="E3" s="5" t="s">
        <v>86</v>
      </c>
      <c r="F3" s="1"/>
      <c r="P3" s="88" t="s">
        <v>85</v>
      </c>
      <c r="Q3" s="88"/>
      <c r="S3" s="1"/>
    </row>
    <row r="4" spans="1:26" s="3" customFormat="1" x14ac:dyDescent="0.3">
      <c r="B4" s="56" t="s">
        <v>1</v>
      </c>
      <c r="C4" s="4"/>
      <c r="D4" s="4"/>
      <c r="E4" s="5" t="s">
        <v>84</v>
      </c>
    </row>
    <row r="5" spans="1:26" s="3" customFormat="1" x14ac:dyDescent="0.3">
      <c r="C5" s="4"/>
      <c r="D5" s="4"/>
    </row>
    <row r="6" spans="1:26" s="3" customFormat="1" x14ac:dyDescent="0.3">
      <c r="B6" s="6" t="s">
        <v>2</v>
      </c>
      <c r="C6" s="4"/>
      <c r="D6" s="4"/>
    </row>
    <row r="7" spans="1:26" s="3" customFormat="1" x14ac:dyDescent="0.3">
      <c r="C7" s="4"/>
      <c r="D7" s="4"/>
    </row>
    <row r="8" spans="1:26" s="10" customFormat="1" ht="48" x14ac:dyDescent="0.3">
      <c r="A8" s="7"/>
      <c r="B8" s="8" t="s">
        <v>3</v>
      </c>
      <c r="C8" s="68" t="s">
        <v>4</v>
      </c>
      <c r="D8" s="8" t="s">
        <v>5</v>
      </c>
      <c r="E8" s="8" t="s">
        <v>6</v>
      </c>
      <c r="F8" s="8" t="s">
        <v>75</v>
      </c>
      <c r="G8" s="9" t="s">
        <v>7</v>
      </c>
      <c r="H8" s="9" t="s">
        <v>8</v>
      </c>
      <c r="I8" s="8" t="s">
        <v>9</v>
      </c>
      <c r="J8" s="8" t="s">
        <v>10</v>
      </c>
      <c r="K8" s="8" t="s">
        <v>11</v>
      </c>
      <c r="L8" s="8" t="s">
        <v>12</v>
      </c>
      <c r="M8" s="8" t="s">
        <v>77</v>
      </c>
      <c r="N8" s="8" t="s">
        <v>76</v>
      </c>
      <c r="O8" s="68" t="s">
        <v>13</v>
      </c>
      <c r="P8" s="8" t="s">
        <v>14</v>
      </c>
      <c r="Q8" s="8" t="s">
        <v>15</v>
      </c>
      <c r="R8" s="8" t="s">
        <v>82</v>
      </c>
      <c r="S8" s="8" t="s">
        <v>80</v>
      </c>
      <c r="T8" s="87" t="s">
        <v>81</v>
      </c>
      <c r="U8" s="87"/>
    </row>
    <row r="9" spans="1:26" s="12" customFormat="1" ht="16.2" x14ac:dyDescent="0.3">
      <c r="A9" s="11"/>
      <c r="B9" s="12" t="s">
        <v>16</v>
      </c>
      <c r="C9" s="13" t="s">
        <v>17</v>
      </c>
      <c r="D9" s="12" t="s">
        <v>18</v>
      </c>
      <c r="E9" s="12" t="s">
        <v>19</v>
      </c>
      <c r="F9" s="12" t="s">
        <v>20</v>
      </c>
      <c r="G9" s="14" t="s">
        <v>21</v>
      </c>
      <c r="H9" s="14" t="s">
        <v>22</v>
      </c>
      <c r="I9" s="12" t="s">
        <v>23</v>
      </c>
      <c r="J9" s="12" t="s">
        <v>24</v>
      </c>
      <c r="K9" s="12" t="s">
        <v>25</v>
      </c>
      <c r="L9" s="12" t="s">
        <v>26</v>
      </c>
      <c r="M9" s="12" t="s">
        <v>27</v>
      </c>
      <c r="N9" s="12" t="s">
        <v>28</v>
      </c>
      <c r="O9" s="13" t="s">
        <v>29</v>
      </c>
      <c r="P9" s="12" t="s">
        <v>30</v>
      </c>
      <c r="Q9" s="12" t="s">
        <v>31</v>
      </c>
      <c r="R9" s="12" t="s">
        <v>32</v>
      </c>
      <c r="S9" s="12" t="s">
        <v>33</v>
      </c>
      <c r="T9" s="15" t="s">
        <v>34</v>
      </c>
      <c r="U9" s="15" t="s">
        <v>35</v>
      </c>
      <c r="Z9" s="16"/>
    </row>
    <row r="10" spans="1:26" s="17" customFormat="1" x14ac:dyDescent="0.3">
      <c r="B10" s="18"/>
      <c r="C10" s="19"/>
      <c r="D10" s="18"/>
      <c r="E10" s="18"/>
      <c r="F10" s="18"/>
      <c r="G10" s="20"/>
      <c r="H10" s="20"/>
      <c r="O10" s="21"/>
      <c r="T10" s="21"/>
      <c r="U10" s="21"/>
    </row>
    <row r="11" spans="1:26" x14ac:dyDescent="0.3">
      <c r="B11" s="22">
        <v>1</v>
      </c>
      <c r="C11" s="23">
        <v>0</v>
      </c>
      <c r="D11" s="24">
        <v>0</v>
      </c>
      <c r="E11" s="25">
        <v>1</v>
      </c>
      <c r="F11" s="26">
        <v>0.1</v>
      </c>
      <c r="G11" s="69">
        <v>50698</v>
      </c>
      <c r="H11" s="70">
        <v>206</v>
      </c>
      <c r="I11" s="27">
        <f t="shared" ref="I11:I29" si="0">MIN(1,H11/G11)</f>
        <v>4.0632766578563261E-3</v>
      </c>
      <c r="J11" s="27">
        <f>IF(H11&gt;G11/E11/F11,1,E11*I11/(1+E11*(1-F11)*I11))</f>
        <v>4.0484716037057283E-3</v>
      </c>
      <c r="K11" s="28">
        <v>100000</v>
      </c>
      <c r="L11" s="29">
        <f>K11-K12</f>
        <v>404.84716037056933</v>
      </c>
      <c r="M11" s="28">
        <f t="shared" ref="M11:M29" si="1">E11*(K12+F11*L11)</f>
        <v>99635.637555666486</v>
      </c>
      <c r="N11" s="30">
        <f t="shared" ref="N11:N29" si="2">N12+M11</f>
        <v>7832451.0678724507</v>
      </c>
      <c r="O11" s="31">
        <f>IF(K11=0,0,N11/K11)</f>
        <v>78.324510678724508</v>
      </c>
      <c r="P11" s="32">
        <f t="shared" ref="P11:P29" si="3">IF(H11=0,0,J11^2*(1-J11)/H11)</f>
        <v>7.9241589229094719E-8</v>
      </c>
      <c r="Q11" s="33">
        <f t="shared" ref="Q11:Q29" si="4">K11^2*((1-F11)*E11+O12)^2*P11</f>
        <v>4888352.1287823506</v>
      </c>
      <c r="R11" s="34">
        <f t="shared" ref="R11:R29" si="5">R12+Q11</f>
        <v>39590992.394603267</v>
      </c>
      <c r="S11" s="35">
        <f>R11/K11^2</f>
        <v>3.9590992394603263E-3</v>
      </c>
      <c r="T11" s="31">
        <f>O11-1.96*SQRT(S11)</f>
        <v>78.201184786721612</v>
      </c>
      <c r="U11" s="31">
        <f>O11+1.96*SQRT(S11)</f>
        <v>78.447836570727404</v>
      </c>
      <c r="W11" s="36"/>
      <c r="X11" s="37"/>
      <c r="Y11" s="37"/>
      <c r="Z11" s="37"/>
    </row>
    <row r="12" spans="1:26" x14ac:dyDescent="0.3">
      <c r="B12" s="22">
        <v>2</v>
      </c>
      <c r="C12" s="38">
        <v>1</v>
      </c>
      <c r="D12" s="39">
        <v>1</v>
      </c>
      <c r="E12" s="25">
        <v>4</v>
      </c>
      <c r="F12" s="26">
        <v>0.5</v>
      </c>
      <c r="G12" s="69">
        <v>215400</v>
      </c>
      <c r="H12" s="70">
        <v>37</v>
      </c>
      <c r="I12" s="27">
        <f t="shared" si="0"/>
        <v>1.7177344475394614E-4</v>
      </c>
      <c r="J12" s="27">
        <f t="shared" ref="J12:J29" si="6">IF(H12&gt;G12/E12/F12,1,E12*I12/(1+E12*(1-F12)*I12))</f>
        <v>6.8685781115122933E-4</v>
      </c>
      <c r="K12" s="40">
        <f t="shared" ref="K12:K30" si="7">(1-J11)*K11</f>
        <v>99595.152839629431</v>
      </c>
      <c r="L12" s="29">
        <f t="shared" ref="L12:L29" si="8">K12-K13</f>
        <v>68.407708680693759</v>
      </c>
      <c r="M12" s="28">
        <f t="shared" si="1"/>
        <v>398243.79594115634</v>
      </c>
      <c r="N12" s="30">
        <f t="shared" si="2"/>
        <v>7732815.4303167844</v>
      </c>
      <c r="O12" s="31">
        <f t="shared" ref="O12:O30" si="9">IF(K12=0,0,N12/K12)</f>
        <v>77.642487709902454</v>
      </c>
      <c r="P12" s="32">
        <f t="shared" si="3"/>
        <v>1.274188138705347E-8</v>
      </c>
      <c r="Q12" s="33">
        <f t="shared" si="4"/>
        <v>724166.40192047344</v>
      </c>
      <c r="R12" s="34">
        <f t="shared" si="5"/>
        <v>34702640.265820913</v>
      </c>
      <c r="S12" s="35">
        <f t="shared" ref="S12:S30" si="10">R12/K12^2</f>
        <v>3.4985341172364022E-3</v>
      </c>
      <c r="T12" s="31">
        <f t="shared" ref="T12:T30" si="11">O12-1.96*SQRT(S12)</f>
        <v>77.52655683107902</v>
      </c>
      <c r="U12" s="31">
        <f t="shared" ref="U12:U30" si="12">O12+1.96*SQRT(S12)</f>
        <v>77.758418588725888</v>
      </c>
      <c r="W12" s="36"/>
      <c r="X12" s="37"/>
      <c r="Y12" s="37"/>
    </row>
    <row r="13" spans="1:26" x14ac:dyDescent="0.3">
      <c r="B13" s="22">
        <v>3</v>
      </c>
      <c r="C13" s="38">
        <v>5</v>
      </c>
      <c r="D13" s="41">
        <v>5</v>
      </c>
      <c r="E13" s="25">
        <v>5</v>
      </c>
      <c r="F13" s="26">
        <v>0.5</v>
      </c>
      <c r="G13" s="69">
        <v>280458</v>
      </c>
      <c r="H13" s="70">
        <v>23</v>
      </c>
      <c r="I13" s="27">
        <f t="shared" si="0"/>
        <v>8.2008714317295287E-5</v>
      </c>
      <c r="J13" s="27">
        <f t="shared" si="6"/>
        <v>4.0995952095338763E-4</v>
      </c>
      <c r="K13" s="40">
        <f t="shared" si="7"/>
        <v>99526.745130948737</v>
      </c>
      <c r="L13" s="29">
        <f t="shared" si="8"/>
        <v>40.80193675593182</v>
      </c>
      <c r="M13" s="28">
        <f t="shared" si="1"/>
        <v>497531.72081285389</v>
      </c>
      <c r="N13" s="30">
        <f t="shared" si="2"/>
        <v>7334571.6343756281</v>
      </c>
      <c r="O13" s="31">
        <f t="shared" si="9"/>
        <v>73.694479054101777</v>
      </c>
      <c r="P13" s="32">
        <f t="shared" si="3"/>
        <v>7.304256879647779E-9</v>
      </c>
      <c r="Q13" s="33">
        <f t="shared" si="4"/>
        <v>367032.42524658708</v>
      </c>
      <c r="R13" s="34">
        <f t="shared" si="5"/>
        <v>33978473.863900438</v>
      </c>
      <c r="S13" s="35">
        <f t="shared" si="10"/>
        <v>3.4302380969161161E-3</v>
      </c>
      <c r="T13" s="31">
        <f t="shared" si="11"/>
        <v>73.579685314407001</v>
      </c>
      <c r="U13" s="31">
        <f t="shared" si="12"/>
        <v>73.809272793796552</v>
      </c>
      <c r="W13" s="36"/>
      <c r="X13" s="37"/>
      <c r="Y13" s="37"/>
    </row>
    <row r="14" spans="1:26" x14ac:dyDescent="0.3">
      <c r="B14" s="22">
        <v>4</v>
      </c>
      <c r="C14" s="38">
        <v>10</v>
      </c>
      <c r="D14" s="42" t="s">
        <v>36</v>
      </c>
      <c r="E14" s="25">
        <v>5</v>
      </c>
      <c r="F14" s="26">
        <v>0.5</v>
      </c>
      <c r="G14" s="69">
        <v>258105</v>
      </c>
      <c r="H14" s="70">
        <v>23</v>
      </c>
      <c r="I14" s="27">
        <f t="shared" si="0"/>
        <v>8.9111020708626336E-5</v>
      </c>
      <c r="J14" s="27">
        <f t="shared" si="6"/>
        <v>4.4545586597588728E-4</v>
      </c>
      <c r="K14" s="40">
        <f t="shared" si="7"/>
        <v>99485.943194192805</v>
      </c>
      <c r="L14" s="29">
        <f t="shared" si="8"/>
        <v>44.316596977994777</v>
      </c>
      <c r="M14" s="28">
        <f t="shared" si="1"/>
        <v>497318.92447851901</v>
      </c>
      <c r="N14" s="30">
        <f t="shared" si="2"/>
        <v>6837039.9135627747</v>
      </c>
      <c r="O14" s="31">
        <f t="shared" si="9"/>
        <v>68.723677878965589</v>
      </c>
      <c r="P14" s="32">
        <f t="shared" si="3"/>
        <v>8.6235885352705176E-9</v>
      </c>
      <c r="Q14" s="33">
        <f t="shared" si="4"/>
        <v>374649.42234979401</v>
      </c>
      <c r="R14" s="34">
        <f t="shared" si="5"/>
        <v>33611441.438653849</v>
      </c>
      <c r="S14" s="35">
        <f t="shared" si="10"/>
        <v>3.3959688215961965E-3</v>
      </c>
      <c r="T14" s="31">
        <f t="shared" si="11"/>
        <v>68.609458993377245</v>
      </c>
      <c r="U14" s="31">
        <f t="shared" si="12"/>
        <v>68.837896764553932</v>
      </c>
      <c r="W14" s="36"/>
      <c r="X14" s="37"/>
      <c r="Y14" s="37"/>
    </row>
    <row r="15" spans="1:26" x14ac:dyDescent="0.3">
      <c r="B15" s="22">
        <v>5</v>
      </c>
      <c r="C15" s="38">
        <v>15</v>
      </c>
      <c r="D15" s="43" t="s">
        <v>37</v>
      </c>
      <c r="E15" s="25">
        <v>5</v>
      </c>
      <c r="F15" s="26">
        <v>0.5</v>
      </c>
      <c r="G15" s="69">
        <v>282062</v>
      </c>
      <c r="H15" s="70">
        <v>105</v>
      </c>
      <c r="I15" s="27">
        <f t="shared" si="0"/>
        <v>3.7225858144663231E-4</v>
      </c>
      <c r="J15" s="27">
        <f t="shared" si="6"/>
        <v>1.8595623121620689E-3</v>
      </c>
      <c r="K15" s="40">
        <f t="shared" si="7"/>
        <v>99441.62659721481</v>
      </c>
      <c r="L15" s="29">
        <f t="shared" si="8"/>
        <v>184.91790108027635</v>
      </c>
      <c r="M15" s="28">
        <f t="shared" si="1"/>
        <v>496745.83823337336</v>
      </c>
      <c r="N15" s="30">
        <f t="shared" si="2"/>
        <v>6339720.9890842559</v>
      </c>
      <c r="O15" s="31">
        <f t="shared" si="9"/>
        <v>63.753190751425429</v>
      </c>
      <c r="P15" s="32">
        <f t="shared" si="3"/>
        <v>3.2871825508754205E-8</v>
      </c>
      <c r="Q15" s="33">
        <f t="shared" si="4"/>
        <v>1224149.3156143788</v>
      </c>
      <c r="R15" s="34">
        <f t="shared" si="5"/>
        <v>33236792.016304057</v>
      </c>
      <c r="S15" s="35">
        <f t="shared" si="10"/>
        <v>3.3611094915492511E-3</v>
      </c>
      <c r="T15" s="31">
        <f t="shared" si="11"/>
        <v>63.639559601546814</v>
      </c>
      <c r="U15" s="31">
        <f t="shared" si="12"/>
        <v>63.866821901304043</v>
      </c>
      <c r="W15" s="36"/>
      <c r="X15" s="37"/>
      <c r="Y15" s="37"/>
    </row>
    <row r="16" spans="1:26" x14ac:dyDescent="0.3">
      <c r="B16" s="22">
        <v>6</v>
      </c>
      <c r="C16" s="38">
        <v>20</v>
      </c>
      <c r="D16" s="43" t="s">
        <v>38</v>
      </c>
      <c r="E16" s="25">
        <v>5</v>
      </c>
      <c r="F16" s="26">
        <v>0.5</v>
      </c>
      <c r="G16" s="69">
        <v>329060</v>
      </c>
      <c r="H16" s="70">
        <v>162</v>
      </c>
      <c r="I16" s="27">
        <f t="shared" si="0"/>
        <v>4.9231143256548955E-4</v>
      </c>
      <c r="J16" s="27">
        <f t="shared" si="6"/>
        <v>2.4585312552167912E-3</v>
      </c>
      <c r="K16" s="40">
        <f t="shared" si="7"/>
        <v>99256.708696134534</v>
      </c>
      <c r="L16" s="29">
        <f t="shared" si="8"/>
        <v>244.02572061939281</v>
      </c>
      <c r="M16" s="28">
        <f t="shared" si="1"/>
        <v>495673.47917912417</v>
      </c>
      <c r="N16" s="30">
        <f t="shared" si="2"/>
        <v>5842975.1508508828</v>
      </c>
      <c r="O16" s="31">
        <f t="shared" si="9"/>
        <v>58.86730708287562</v>
      </c>
      <c r="P16" s="32">
        <f t="shared" si="3"/>
        <v>3.7219232381040688E-8</v>
      </c>
      <c r="Q16" s="33">
        <f t="shared" si="4"/>
        <v>1170792.1687396688</v>
      </c>
      <c r="R16" s="34">
        <f t="shared" si="5"/>
        <v>32012642.700689677</v>
      </c>
      <c r="S16" s="35">
        <f t="shared" si="10"/>
        <v>3.2493896079230488E-3</v>
      </c>
      <c r="T16" s="31">
        <f t="shared" si="11"/>
        <v>58.755580384554236</v>
      </c>
      <c r="U16" s="31">
        <f t="shared" si="12"/>
        <v>58.979033781197003</v>
      </c>
      <c r="W16" s="36"/>
      <c r="X16" s="37"/>
      <c r="Y16" s="37"/>
    </row>
    <row r="17" spans="2:25" x14ac:dyDescent="0.3">
      <c r="B17" s="22">
        <v>7</v>
      </c>
      <c r="C17" s="38">
        <v>25</v>
      </c>
      <c r="D17" s="43" t="s">
        <v>39</v>
      </c>
      <c r="E17" s="25">
        <v>5</v>
      </c>
      <c r="F17" s="26">
        <v>0.5</v>
      </c>
      <c r="G17" s="69">
        <v>306097</v>
      </c>
      <c r="H17" s="70">
        <v>268</v>
      </c>
      <c r="I17" s="27">
        <f t="shared" si="0"/>
        <v>8.7553945317987432E-4</v>
      </c>
      <c r="J17" s="27">
        <f t="shared" si="6"/>
        <v>4.3681360772182144E-3</v>
      </c>
      <c r="K17" s="40">
        <f t="shared" si="7"/>
        <v>99012.682975515141</v>
      </c>
      <c r="L17" s="29">
        <f t="shared" si="8"/>
        <v>432.50087260751752</v>
      </c>
      <c r="M17" s="28">
        <f t="shared" si="1"/>
        <v>493982.16269605688</v>
      </c>
      <c r="N17" s="30">
        <f t="shared" si="2"/>
        <v>5347301.6716717584</v>
      </c>
      <c r="O17" s="31">
        <f t="shared" si="9"/>
        <v>54.006229414004402</v>
      </c>
      <c r="P17" s="32">
        <f t="shared" si="3"/>
        <v>7.0885321179088986E-8</v>
      </c>
      <c r="Q17" s="33">
        <f t="shared" si="4"/>
        <v>1859772.8812245692</v>
      </c>
      <c r="R17" s="34">
        <f t="shared" si="5"/>
        <v>30841850.531950008</v>
      </c>
      <c r="S17" s="35">
        <f t="shared" si="10"/>
        <v>3.1460003773116406E-3</v>
      </c>
      <c r="T17" s="31">
        <f t="shared" si="11"/>
        <v>53.89629454669889</v>
      </c>
      <c r="U17" s="31">
        <f t="shared" si="12"/>
        <v>54.116164281309914</v>
      </c>
      <c r="W17" s="36"/>
      <c r="X17" s="37"/>
      <c r="Y17" s="37"/>
    </row>
    <row r="18" spans="2:25" x14ac:dyDescent="0.3">
      <c r="B18" s="22">
        <v>8</v>
      </c>
      <c r="C18" s="38">
        <v>30</v>
      </c>
      <c r="D18" s="43" t="s">
        <v>40</v>
      </c>
      <c r="E18" s="25">
        <v>5</v>
      </c>
      <c r="F18" s="26">
        <v>0.5</v>
      </c>
      <c r="G18" s="69">
        <v>274544</v>
      </c>
      <c r="H18" s="70">
        <v>314</v>
      </c>
      <c r="I18" s="27">
        <f t="shared" si="0"/>
        <v>1.1437146686869865E-3</v>
      </c>
      <c r="J18" s="27">
        <f t="shared" si="6"/>
        <v>5.7022689219079726E-3</v>
      </c>
      <c r="K18" s="40">
        <f t="shared" si="7"/>
        <v>98580.182102907624</v>
      </c>
      <c r="L18" s="29">
        <f t="shared" si="8"/>
        <v>562.13070872143726</v>
      </c>
      <c r="M18" s="28">
        <f t="shared" si="1"/>
        <v>491495.58374273451</v>
      </c>
      <c r="N18" s="30">
        <f t="shared" si="2"/>
        <v>4853319.5089757014</v>
      </c>
      <c r="O18" s="31">
        <f t="shared" si="9"/>
        <v>49.232202715037921</v>
      </c>
      <c r="P18" s="32">
        <f t="shared" si="3"/>
        <v>1.029632376366132E-7</v>
      </c>
      <c r="Q18" s="33">
        <f t="shared" si="4"/>
        <v>2210349.9063964216</v>
      </c>
      <c r="R18" s="34">
        <f t="shared" si="5"/>
        <v>28982077.650725439</v>
      </c>
      <c r="S18" s="35">
        <f t="shared" si="10"/>
        <v>2.9822928242996911E-3</v>
      </c>
      <c r="T18" s="31">
        <f t="shared" si="11"/>
        <v>49.125166384225295</v>
      </c>
      <c r="U18" s="31">
        <f t="shared" si="12"/>
        <v>49.339239045850547</v>
      </c>
      <c r="W18" s="36"/>
      <c r="X18" s="37"/>
      <c r="Y18" s="37"/>
    </row>
    <row r="19" spans="2:25" x14ac:dyDescent="0.3">
      <c r="B19" s="22">
        <v>9</v>
      </c>
      <c r="C19" s="38">
        <v>35</v>
      </c>
      <c r="D19" s="43" t="s">
        <v>41</v>
      </c>
      <c r="E19" s="25">
        <v>5</v>
      </c>
      <c r="F19" s="26">
        <v>0.5</v>
      </c>
      <c r="G19" s="69">
        <v>260415</v>
      </c>
      <c r="H19" s="70">
        <v>413</v>
      </c>
      <c r="I19" s="27">
        <f t="shared" si="0"/>
        <v>1.5859301499529597E-3</v>
      </c>
      <c r="J19" s="27">
        <f t="shared" si="6"/>
        <v>7.8983352298262564E-3</v>
      </c>
      <c r="K19" s="40">
        <f t="shared" si="7"/>
        <v>98018.051394186186</v>
      </c>
      <c r="L19" s="29">
        <f t="shared" si="8"/>
        <v>774.17942848562961</v>
      </c>
      <c r="M19" s="28">
        <f t="shared" si="1"/>
        <v>488154.80839971686</v>
      </c>
      <c r="N19" s="30">
        <f t="shared" si="2"/>
        <v>4361823.9252329664</v>
      </c>
      <c r="O19" s="31">
        <f t="shared" si="9"/>
        <v>44.500210555008877</v>
      </c>
      <c r="P19" s="32">
        <f t="shared" si="3"/>
        <v>1.4985707513790612E-7</v>
      </c>
      <c r="Q19" s="33">
        <f t="shared" si="4"/>
        <v>2580357.9697950385</v>
      </c>
      <c r="R19" s="34">
        <f t="shared" si="5"/>
        <v>26771727.744329017</v>
      </c>
      <c r="S19" s="35">
        <f t="shared" si="10"/>
        <v>2.7865335148491068E-3</v>
      </c>
      <c r="T19" s="31">
        <f t="shared" si="11"/>
        <v>44.396746807006764</v>
      </c>
      <c r="U19" s="31">
        <f t="shared" si="12"/>
        <v>44.60367430301099</v>
      </c>
      <c r="W19" s="36"/>
      <c r="X19" s="37"/>
      <c r="Y19" s="37"/>
    </row>
    <row r="20" spans="2:25" x14ac:dyDescent="0.3">
      <c r="B20" s="22">
        <v>10</v>
      </c>
      <c r="C20" s="38">
        <v>40</v>
      </c>
      <c r="D20" s="43" t="s">
        <v>42</v>
      </c>
      <c r="E20" s="25">
        <v>5</v>
      </c>
      <c r="F20" s="26">
        <v>0.5</v>
      </c>
      <c r="G20" s="69">
        <v>267450</v>
      </c>
      <c r="H20" s="70">
        <v>584</v>
      </c>
      <c r="I20" s="27">
        <f t="shared" si="0"/>
        <v>2.1835857169564404E-3</v>
      </c>
      <c r="J20" s="27">
        <f t="shared" si="6"/>
        <v>1.0858651593469935E-2</v>
      </c>
      <c r="K20" s="40">
        <f t="shared" si="7"/>
        <v>97243.871965700557</v>
      </c>
      <c r="L20" s="29">
        <f t="shared" si="8"/>
        <v>1055.9373252755322</v>
      </c>
      <c r="M20" s="28">
        <f t="shared" si="1"/>
        <v>483579.51651531394</v>
      </c>
      <c r="N20" s="30">
        <f t="shared" si="2"/>
        <v>3873669.1168332496</v>
      </c>
      <c r="O20" s="31">
        <f t="shared" si="9"/>
        <v>39.834583285613654</v>
      </c>
      <c r="P20" s="32">
        <f t="shared" si="3"/>
        <v>1.9970884829574151E-7</v>
      </c>
      <c r="Q20" s="33">
        <f t="shared" si="4"/>
        <v>2690467.1627602531</v>
      </c>
      <c r="R20" s="34">
        <f t="shared" si="5"/>
        <v>24191369.77453398</v>
      </c>
      <c r="S20" s="35">
        <f t="shared" si="10"/>
        <v>2.5582087154346149E-3</v>
      </c>
      <c r="T20" s="31">
        <f t="shared" si="11"/>
        <v>39.735448959564529</v>
      </c>
      <c r="U20" s="31">
        <f t="shared" si="12"/>
        <v>39.933717611662779</v>
      </c>
      <c r="W20" s="36"/>
      <c r="X20" s="37"/>
      <c r="Y20" s="37"/>
    </row>
    <row r="21" spans="2:25" x14ac:dyDescent="0.3">
      <c r="B21" s="22">
        <v>11</v>
      </c>
      <c r="C21" s="38">
        <v>45</v>
      </c>
      <c r="D21" s="43" t="s">
        <v>43</v>
      </c>
      <c r="E21" s="25">
        <v>5</v>
      </c>
      <c r="F21" s="26">
        <v>0.5</v>
      </c>
      <c r="G21" s="69">
        <v>311314</v>
      </c>
      <c r="H21" s="70">
        <v>954</v>
      </c>
      <c r="I21" s="27">
        <f t="shared" si="0"/>
        <v>3.0644301252112016E-3</v>
      </c>
      <c r="J21" s="27">
        <f t="shared" si="6"/>
        <v>1.5205658927825719E-2</v>
      </c>
      <c r="K21" s="40">
        <f t="shared" si="7"/>
        <v>96187.934640425025</v>
      </c>
      <c r="L21" s="29">
        <f t="shared" si="8"/>
        <v>1462.6009271142975</v>
      </c>
      <c r="M21" s="28">
        <f t="shared" si="1"/>
        <v>477283.17088433937</v>
      </c>
      <c r="N21" s="30">
        <f t="shared" si="2"/>
        <v>3390089.6003179355</v>
      </c>
      <c r="O21" s="31">
        <f t="shared" si="9"/>
        <v>35.244436976331315</v>
      </c>
      <c r="P21" s="32">
        <f t="shared" si="3"/>
        <v>2.3867540005540909E-7</v>
      </c>
      <c r="Q21" s="33">
        <f t="shared" si="4"/>
        <v>2441365.6200520187</v>
      </c>
      <c r="R21" s="34">
        <f t="shared" si="5"/>
        <v>21500902.611773726</v>
      </c>
      <c r="S21" s="35">
        <f t="shared" si="10"/>
        <v>2.3238896025181309E-3</v>
      </c>
      <c r="T21" s="31">
        <f t="shared" si="11"/>
        <v>35.149951769568382</v>
      </c>
      <c r="U21" s="31">
        <f t="shared" si="12"/>
        <v>35.338922183094247</v>
      </c>
      <c r="W21" s="36"/>
      <c r="X21" s="37"/>
      <c r="Y21" s="37"/>
    </row>
    <row r="22" spans="2:25" x14ac:dyDescent="0.3">
      <c r="B22" s="22">
        <v>12</v>
      </c>
      <c r="C22" s="38">
        <v>50</v>
      </c>
      <c r="D22" s="43" t="s">
        <v>44</v>
      </c>
      <c r="E22" s="25">
        <v>5</v>
      </c>
      <c r="F22" s="26">
        <v>0.5</v>
      </c>
      <c r="G22" s="69">
        <v>324311</v>
      </c>
      <c r="H22" s="70">
        <v>1359</v>
      </c>
      <c r="I22" s="27">
        <f t="shared" si="0"/>
        <v>4.1904221565102632E-3</v>
      </c>
      <c r="J22" s="27">
        <f t="shared" si="6"/>
        <v>2.073489091677512E-2</v>
      </c>
      <c r="K22" s="40">
        <f t="shared" si="7"/>
        <v>94725.333713310727</v>
      </c>
      <c r="L22" s="29">
        <f t="shared" si="8"/>
        <v>1964.1194616006251</v>
      </c>
      <c r="M22" s="28">
        <f t="shared" si="1"/>
        <v>468716.36991255207</v>
      </c>
      <c r="N22" s="30">
        <f t="shared" si="2"/>
        <v>2912806.4294335959</v>
      </c>
      <c r="O22" s="31">
        <f t="shared" si="9"/>
        <v>30.750025523787524</v>
      </c>
      <c r="P22" s="32">
        <f t="shared" si="3"/>
        <v>3.0980208348951206E-7</v>
      </c>
      <c r="Q22" s="33">
        <f t="shared" si="4"/>
        <v>2313416.0757619916</v>
      </c>
      <c r="R22" s="34">
        <f t="shared" si="5"/>
        <v>19059536.991721708</v>
      </c>
      <c r="S22" s="35">
        <f t="shared" si="10"/>
        <v>2.124124940864028E-3</v>
      </c>
      <c r="T22" s="31">
        <f t="shared" si="11"/>
        <v>30.659692593065536</v>
      </c>
      <c r="U22" s="31">
        <f t="shared" si="12"/>
        <v>30.840358454509513</v>
      </c>
      <c r="W22" s="36"/>
      <c r="X22" s="37"/>
      <c r="Y22" s="37"/>
    </row>
    <row r="23" spans="2:25" x14ac:dyDescent="0.3">
      <c r="B23" s="22">
        <v>13</v>
      </c>
      <c r="C23" s="23">
        <v>55</v>
      </c>
      <c r="D23" s="43" t="s">
        <v>45</v>
      </c>
      <c r="E23" s="25">
        <v>5</v>
      </c>
      <c r="F23" s="26">
        <v>0.5</v>
      </c>
      <c r="G23" s="69">
        <v>296825</v>
      </c>
      <c r="H23" s="70">
        <v>1912</v>
      </c>
      <c r="I23" s="27">
        <f t="shared" si="0"/>
        <v>6.4415059378421626E-3</v>
      </c>
      <c r="J23" s="27">
        <f t="shared" si="6"/>
        <v>3.169708724987981E-2</v>
      </c>
      <c r="K23" s="40">
        <f t="shared" si="7"/>
        <v>92761.214251710102</v>
      </c>
      <c r="L23" s="29">
        <f t="shared" si="8"/>
        <v>2940.2603015412606</v>
      </c>
      <c r="M23" s="28">
        <f t="shared" si="1"/>
        <v>456455.42050469737</v>
      </c>
      <c r="N23" s="30">
        <f t="shared" si="2"/>
        <v>2444090.0595210437</v>
      </c>
      <c r="O23" s="31">
        <f t="shared" si="9"/>
        <v>26.348189588042025</v>
      </c>
      <c r="P23" s="32">
        <f t="shared" si="3"/>
        <v>5.0881752473853739E-7</v>
      </c>
      <c r="Q23" s="33">
        <f t="shared" si="4"/>
        <v>2655726.0003712485</v>
      </c>
      <c r="R23" s="34">
        <f t="shared" si="5"/>
        <v>16746120.915959716</v>
      </c>
      <c r="S23" s="35">
        <f t="shared" si="10"/>
        <v>1.9461726849131704E-3</v>
      </c>
      <c r="T23" s="31">
        <f t="shared" si="11"/>
        <v>26.261723311457668</v>
      </c>
      <c r="U23" s="31">
        <f t="shared" si="12"/>
        <v>26.434655864626382</v>
      </c>
      <c r="W23" s="36"/>
      <c r="X23" s="37"/>
      <c r="Y23" s="37"/>
    </row>
    <row r="24" spans="2:25" x14ac:dyDescent="0.3">
      <c r="B24" s="22">
        <v>14</v>
      </c>
      <c r="C24" s="23">
        <v>60</v>
      </c>
      <c r="D24" s="43" t="s">
        <v>46</v>
      </c>
      <c r="E24" s="25">
        <v>5</v>
      </c>
      <c r="F24" s="26">
        <v>0.5</v>
      </c>
      <c r="G24" s="69">
        <v>271339</v>
      </c>
      <c r="H24" s="70">
        <v>2824</v>
      </c>
      <c r="I24" s="27">
        <f t="shared" si="0"/>
        <v>1.040764504918202E-2</v>
      </c>
      <c r="J24" s="27">
        <f t="shared" si="6"/>
        <v>5.0718572983379971E-2</v>
      </c>
      <c r="K24" s="40">
        <f t="shared" si="7"/>
        <v>89820.953950168841</v>
      </c>
      <c r="L24" s="29">
        <f t="shared" si="8"/>
        <v>4555.5906083584559</v>
      </c>
      <c r="M24" s="28">
        <f t="shared" si="1"/>
        <v>437715.79322994803</v>
      </c>
      <c r="N24" s="30">
        <f t="shared" si="2"/>
        <v>1987634.6390163461</v>
      </c>
      <c r="O24" s="31">
        <f t="shared" si="9"/>
        <v>22.128852473767452</v>
      </c>
      <c r="P24" s="32">
        <f t="shared" si="3"/>
        <v>8.6469777797171571E-7</v>
      </c>
      <c r="Q24" s="33">
        <f t="shared" si="4"/>
        <v>2982768.3324390259</v>
      </c>
      <c r="R24" s="34">
        <f t="shared" si="5"/>
        <v>14090394.915588468</v>
      </c>
      <c r="S24" s="35">
        <f t="shared" si="10"/>
        <v>1.7464969798312488E-3</v>
      </c>
      <c r="T24" s="31">
        <f t="shared" si="11"/>
        <v>22.046941895709917</v>
      </c>
      <c r="U24" s="31">
        <f t="shared" si="12"/>
        <v>22.210763051824987</v>
      </c>
      <c r="W24" s="36"/>
      <c r="X24" s="37"/>
      <c r="Y24" s="37"/>
    </row>
    <row r="25" spans="2:25" x14ac:dyDescent="0.3">
      <c r="B25" s="22">
        <v>15</v>
      </c>
      <c r="C25" s="23">
        <v>65</v>
      </c>
      <c r="D25" s="43" t="s">
        <v>47</v>
      </c>
      <c r="E25" s="25">
        <v>5</v>
      </c>
      <c r="F25" s="26">
        <v>0.5</v>
      </c>
      <c r="G25" s="69">
        <v>284608</v>
      </c>
      <c r="H25" s="70">
        <v>4507</v>
      </c>
      <c r="I25" s="27">
        <f t="shared" si="0"/>
        <v>1.5835816280638633E-2</v>
      </c>
      <c r="J25" s="27">
        <f t="shared" si="6"/>
        <v>7.6163791865159508E-2</v>
      </c>
      <c r="K25" s="40">
        <f t="shared" si="7"/>
        <v>85265.363341810385</v>
      </c>
      <c r="L25" s="29">
        <f t="shared" si="8"/>
        <v>6494.1333868728543</v>
      </c>
      <c r="M25" s="28">
        <f t="shared" si="1"/>
        <v>410091.48324186978</v>
      </c>
      <c r="N25" s="30">
        <f t="shared" si="2"/>
        <v>1549918.845786398</v>
      </c>
      <c r="O25" s="31">
        <f t="shared" si="9"/>
        <v>18.177590349003836</v>
      </c>
      <c r="P25" s="32">
        <f t="shared" si="3"/>
        <v>1.1890621000028758E-6</v>
      </c>
      <c r="Q25" s="33">
        <f t="shared" si="4"/>
        <v>2489536.488725761</v>
      </c>
      <c r="R25" s="34">
        <f t="shared" si="5"/>
        <v>11107626.583149442</v>
      </c>
      <c r="S25" s="35">
        <f t="shared" si="10"/>
        <v>1.5278333196144598E-3</v>
      </c>
      <c r="T25" s="31">
        <f t="shared" si="11"/>
        <v>18.100978832371993</v>
      </c>
      <c r="U25" s="31">
        <f t="shared" si="12"/>
        <v>18.254201865635679</v>
      </c>
      <c r="W25" s="36"/>
      <c r="X25" s="37"/>
      <c r="Y25" s="37"/>
    </row>
    <row r="26" spans="2:25" x14ac:dyDescent="0.3">
      <c r="B26" s="22">
        <v>16</v>
      </c>
      <c r="C26" s="23">
        <v>70</v>
      </c>
      <c r="D26" s="43" t="s">
        <v>48</v>
      </c>
      <c r="E26" s="25">
        <v>5</v>
      </c>
      <c r="F26" s="26">
        <v>0.5</v>
      </c>
      <c r="G26" s="69">
        <v>228062</v>
      </c>
      <c r="H26" s="70">
        <v>5851</v>
      </c>
      <c r="I26" s="27">
        <f t="shared" si="0"/>
        <v>2.5655304259368066E-2</v>
      </c>
      <c r="J26" s="27">
        <f t="shared" si="6"/>
        <v>0.12054497619386087</v>
      </c>
      <c r="K26" s="40">
        <f t="shared" si="7"/>
        <v>78771.229954937531</v>
      </c>
      <c r="L26" s="29">
        <f t="shared" si="8"/>
        <v>9495.4760396790807</v>
      </c>
      <c r="M26" s="28">
        <f t="shared" si="1"/>
        <v>370117.45967548992</v>
      </c>
      <c r="N26" s="30">
        <f t="shared" si="2"/>
        <v>1139827.3625445282</v>
      </c>
      <c r="O26" s="31">
        <f t="shared" si="9"/>
        <v>14.470097308326739</v>
      </c>
      <c r="P26" s="32">
        <f t="shared" si="3"/>
        <v>2.1841465104234499E-6</v>
      </c>
      <c r="Q26" s="33">
        <f t="shared" si="4"/>
        <v>2510643.8749592816</v>
      </c>
      <c r="R26" s="34">
        <f t="shared" si="5"/>
        <v>8618090.0944236815</v>
      </c>
      <c r="S26" s="35">
        <f t="shared" si="10"/>
        <v>1.3889153463043479E-3</v>
      </c>
      <c r="T26" s="31">
        <f t="shared" si="11"/>
        <v>14.397051725336645</v>
      </c>
      <c r="U26" s="31">
        <f t="shared" si="12"/>
        <v>14.543142891316833</v>
      </c>
      <c r="W26" s="36"/>
      <c r="X26" s="37"/>
      <c r="Y26" s="37"/>
    </row>
    <row r="27" spans="2:25" x14ac:dyDescent="0.3">
      <c r="B27" s="22">
        <v>17</v>
      </c>
      <c r="C27" s="23">
        <v>75</v>
      </c>
      <c r="D27" s="43" t="s">
        <v>49</v>
      </c>
      <c r="E27" s="25">
        <v>5</v>
      </c>
      <c r="F27" s="26">
        <v>0.5</v>
      </c>
      <c r="G27" s="69">
        <v>162785</v>
      </c>
      <c r="H27" s="70">
        <v>7117</v>
      </c>
      <c r="I27" s="27">
        <f t="shared" si="0"/>
        <v>4.3720244494271587E-2</v>
      </c>
      <c r="J27" s="27">
        <f t="shared" si="6"/>
        <v>0.19706220320914844</v>
      </c>
      <c r="K27" s="40">
        <f t="shared" si="7"/>
        <v>69275.75391525845</v>
      </c>
      <c r="L27" s="29">
        <f t="shared" si="8"/>
        <v>13651.632695515626</v>
      </c>
      <c r="M27" s="28">
        <f t="shared" si="1"/>
        <v>312249.68783750321</v>
      </c>
      <c r="N27" s="30">
        <f t="shared" si="2"/>
        <v>769709.90286903828</v>
      </c>
      <c r="O27" s="31">
        <f t="shared" si="9"/>
        <v>11.110812360275224</v>
      </c>
      <c r="P27" s="32">
        <f t="shared" si="3"/>
        <v>4.3811851220529892E-6</v>
      </c>
      <c r="Q27" s="33">
        <f t="shared" si="4"/>
        <v>2418124.0305281235</v>
      </c>
      <c r="R27" s="34">
        <f t="shared" si="5"/>
        <v>6107446.2194643989</v>
      </c>
      <c r="S27" s="35">
        <f t="shared" si="10"/>
        <v>1.2726152692225342E-3</v>
      </c>
      <c r="T27" s="31">
        <f t="shared" si="11"/>
        <v>11.040891842412115</v>
      </c>
      <c r="U27" s="31">
        <f t="shared" si="12"/>
        <v>11.180732878138333</v>
      </c>
      <c r="W27" s="36"/>
      <c r="X27" s="37"/>
      <c r="Y27" s="37"/>
    </row>
    <row r="28" spans="2:25" x14ac:dyDescent="0.3">
      <c r="B28" s="22">
        <v>18</v>
      </c>
      <c r="C28" s="23">
        <v>80</v>
      </c>
      <c r="D28" s="43" t="s">
        <v>50</v>
      </c>
      <c r="E28" s="25">
        <v>5</v>
      </c>
      <c r="F28" s="26">
        <v>0.5</v>
      </c>
      <c r="G28" s="69">
        <v>111263</v>
      </c>
      <c r="H28" s="70">
        <v>8192</v>
      </c>
      <c r="I28" s="27">
        <f t="shared" si="0"/>
        <v>7.3627351410621683E-2</v>
      </c>
      <c r="J28" s="27">
        <f t="shared" si="6"/>
        <v>0.31090835945742851</v>
      </c>
      <c r="K28" s="40">
        <f t="shared" si="7"/>
        <v>55624.121219742825</v>
      </c>
      <c r="L28" s="29">
        <f t="shared" si="8"/>
        <v>17294.004274691375</v>
      </c>
      <c r="M28" s="28">
        <f t="shared" si="1"/>
        <v>234885.59541198571</v>
      </c>
      <c r="N28" s="30">
        <f t="shared" si="2"/>
        <v>457460.21503153513</v>
      </c>
      <c r="O28" s="31">
        <f t="shared" si="9"/>
        <v>8.2241337930417053</v>
      </c>
      <c r="P28" s="32">
        <f t="shared" si="3"/>
        <v>8.1311474414928669E-6</v>
      </c>
      <c r="Q28" s="33">
        <f t="shared" si="4"/>
        <v>1735976.1380117079</v>
      </c>
      <c r="R28" s="34">
        <f t="shared" si="5"/>
        <v>3689322.1889362754</v>
      </c>
      <c r="S28" s="35">
        <f t="shared" si="10"/>
        <v>1.1923953074085959E-3</v>
      </c>
      <c r="T28" s="31">
        <f t="shared" si="11"/>
        <v>8.1564528813092174</v>
      </c>
      <c r="U28" s="31">
        <f t="shared" si="12"/>
        <v>8.2918147047741932</v>
      </c>
      <c r="W28" s="36"/>
      <c r="X28" s="37"/>
      <c r="Y28" s="37"/>
    </row>
    <row r="29" spans="2:25" x14ac:dyDescent="0.3">
      <c r="B29" s="22">
        <v>19</v>
      </c>
      <c r="C29" s="23">
        <v>85</v>
      </c>
      <c r="D29" s="43" t="s">
        <v>51</v>
      </c>
      <c r="E29" s="25">
        <v>5</v>
      </c>
      <c r="F29" s="26">
        <v>0.5</v>
      </c>
      <c r="G29" s="69">
        <v>58987</v>
      </c>
      <c r="H29" s="70">
        <v>7745</v>
      </c>
      <c r="I29" s="27">
        <f t="shared" si="0"/>
        <v>0.13130011697492669</v>
      </c>
      <c r="J29" s="27">
        <f t="shared" si="6"/>
        <v>0.49425969533947256</v>
      </c>
      <c r="K29" s="40">
        <f t="shared" si="7"/>
        <v>38330.11694505145</v>
      </c>
      <c r="L29" s="29">
        <f t="shared" si="8"/>
        <v>18945.031923587485</v>
      </c>
      <c r="M29" s="28">
        <f t="shared" si="1"/>
        <v>144288.00491628854</v>
      </c>
      <c r="N29" s="30">
        <f t="shared" si="2"/>
        <v>222574.61961954943</v>
      </c>
      <c r="O29" s="31">
        <f t="shared" si="9"/>
        <v>5.8067816474085809</v>
      </c>
      <c r="P29" s="32">
        <f t="shared" si="3"/>
        <v>1.5952051315094822E-5</v>
      </c>
      <c r="Q29" s="33">
        <f t="shared" si="4"/>
        <v>1001965.4173174859</v>
      </c>
      <c r="R29" s="34">
        <f t="shared" si="5"/>
        <v>1953346.0509245677</v>
      </c>
      <c r="S29" s="35">
        <f t="shared" si="10"/>
        <v>1.3295323233376885E-3</v>
      </c>
      <c r="T29" s="31">
        <f t="shared" si="11"/>
        <v>5.7353146524155489</v>
      </c>
      <c r="U29" s="31">
        <f t="shared" si="12"/>
        <v>5.8782486424016129</v>
      </c>
      <c r="W29" s="36"/>
      <c r="X29" s="37"/>
      <c r="Y29" s="37"/>
    </row>
    <row r="30" spans="2:25" x14ac:dyDescent="0.3">
      <c r="B30" s="22">
        <v>20</v>
      </c>
      <c r="C30" s="23">
        <v>90</v>
      </c>
      <c r="D30" s="43" t="s">
        <v>52</v>
      </c>
      <c r="E30" s="25">
        <f>1/F30/I30</f>
        <v>8.0769947221359821</v>
      </c>
      <c r="F30" s="26">
        <v>0.5</v>
      </c>
      <c r="G30" s="69">
        <v>26016</v>
      </c>
      <c r="H30" s="70">
        <v>6442</v>
      </c>
      <c r="I30" s="27">
        <f>MIN(1,H30/G30)</f>
        <v>0.24761685116851168</v>
      </c>
      <c r="J30" s="44">
        <v>1</v>
      </c>
      <c r="K30" s="40">
        <f t="shared" si="7"/>
        <v>19385.085021463965</v>
      </c>
      <c r="L30" s="45">
        <f>K30</f>
        <v>19385.085021463965</v>
      </c>
      <c r="M30" s="40">
        <f>K30/I30</f>
        <v>78286.614703260871</v>
      </c>
      <c r="N30" s="30">
        <f>M30</f>
        <v>78286.614703260871</v>
      </c>
      <c r="O30" s="31">
        <f t="shared" si="9"/>
        <v>4.0384973610679911</v>
      </c>
      <c r="P30" s="32">
        <f>4/H30/I30^2</f>
        <v>1.0126954942783688E-2</v>
      </c>
      <c r="Q30" s="46">
        <f>(K30/2)^2*P30</f>
        <v>951380.63360708184</v>
      </c>
      <c r="R30" s="47">
        <f>Q30</f>
        <v>951380.63360708184</v>
      </c>
      <c r="S30" s="35">
        <f t="shared" si="10"/>
        <v>2.5317387356959221E-3</v>
      </c>
      <c r="T30" s="31">
        <f t="shared" si="11"/>
        <v>3.9398772438147174</v>
      </c>
      <c r="U30" s="31">
        <f t="shared" si="12"/>
        <v>4.1371174783212652</v>
      </c>
      <c r="W30" s="36"/>
      <c r="X30" s="37"/>
      <c r="Y30" s="37"/>
    </row>
    <row r="31" spans="2:25" x14ac:dyDescent="0.3">
      <c r="B31" s="48"/>
      <c r="C31" s="48"/>
      <c r="D31" s="48"/>
      <c r="E31" s="49"/>
      <c r="F31" s="48"/>
      <c r="G31" s="50"/>
      <c r="H31" s="50"/>
      <c r="I31" s="50"/>
      <c r="J31" s="50"/>
      <c r="K31" s="50"/>
      <c r="L31" s="50"/>
      <c r="M31" s="51"/>
      <c r="N31" s="52"/>
      <c r="O31" s="50"/>
      <c r="P31" s="50"/>
      <c r="Q31" s="50"/>
      <c r="R31" s="50"/>
      <c r="S31" s="50"/>
      <c r="T31" s="50"/>
      <c r="U31" s="50"/>
    </row>
    <row r="32" spans="2:25" x14ac:dyDescent="0.3">
      <c r="M32" s="53"/>
      <c r="N32" s="54"/>
      <c r="S32" s="1"/>
    </row>
  </sheetData>
  <sheetProtection sheet="1" objects="1" scenarios="1"/>
  <mergeCells count="3">
    <mergeCell ref="E1:J1"/>
    <mergeCell ref="T8:U8"/>
    <mergeCell ref="P3:Q3"/>
  </mergeCells>
  <hyperlinks>
    <hyperlink ref="B4" location="Notes!A1" display="Technical Notes" xr:uid="{00000000-0004-0000-0100-000000000000}"/>
    <hyperlink ref="P3:Q3" location="'Batch Calculator'!A1" display="the Batch Calculator." xr:uid="{00000000-0004-0000-0100-000001000000}"/>
  </hyperlinks>
  <pageMargins left="0.7" right="0.7" top="0.75" bottom="0.75" header="0.3" footer="0.3"/>
  <pageSetup paperSize="9" orientation="portrait" r:id="rId1"/>
  <ignoredErrors>
    <ignoredError sqref="M30" formula="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T10"/>
  <sheetViews>
    <sheetView showGridLines="0" tabSelected="1" workbookViewId="0">
      <pane xSplit="3" ySplit="9" topLeftCell="AE10" activePane="bottomRight" state="frozen"/>
      <selection pane="topRight" activeCell="D1" sqref="D1"/>
      <selection pane="bottomLeft" activeCell="A8" sqref="A8"/>
      <selection pane="bottomRight" activeCell="AR10" sqref="AR10"/>
    </sheetView>
  </sheetViews>
  <sheetFormatPr defaultColWidth="9.109375" defaultRowHeight="14.4" x14ac:dyDescent="0.3"/>
  <cols>
    <col min="1" max="1" width="2.44140625" style="71" customWidth="1"/>
    <col min="2" max="2" width="10.6640625" style="71" customWidth="1"/>
    <col min="3" max="3" width="19.6640625" style="71" customWidth="1"/>
    <col min="4" max="41" width="7.6640625" style="71" customWidth="1"/>
    <col min="42" max="43" width="9.109375" style="71"/>
    <col min="44" max="44" width="11.44140625" style="71" customWidth="1"/>
    <col min="45" max="45" width="9.109375" style="71"/>
    <col min="46" max="46" width="9.109375" style="71" customWidth="1"/>
    <col min="47" max="16384" width="9.109375" style="71"/>
  </cols>
  <sheetData>
    <row r="1" spans="1:46" s="2" customFormat="1" ht="55.5" customHeight="1" x14ac:dyDescent="0.3">
      <c r="A1" s="1"/>
      <c r="B1" s="1"/>
      <c r="C1" s="1"/>
      <c r="D1" s="85" t="s">
        <v>83</v>
      </c>
      <c r="E1" s="85"/>
      <c r="F1" s="85"/>
      <c r="G1" s="85"/>
      <c r="H1" s="85"/>
      <c r="I1" s="85"/>
      <c r="J1" s="85"/>
    </row>
    <row r="2" spans="1:46" s="1" customFormat="1" x14ac:dyDescent="0.3">
      <c r="F2" s="5"/>
      <c r="L2" s="67"/>
      <c r="M2" s="67"/>
      <c r="N2" s="66"/>
    </row>
    <row r="3" spans="1:46" s="1" customFormat="1" x14ac:dyDescent="0.3">
      <c r="F3" s="5" t="s">
        <v>87</v>
      </c>
      <c r="L3" s="95" t="s">
        <v>88</v>
      </c>
      <c r="M3" s="95"/>
      <c r="N3" s="66" t="s">
        <v>89</v>
      </c>
    </row>
    <row r="4" spans="1:46" s="3" customFormat="1" x14ac:dyDescent="0.3">
      <c r="B4" s="56" t="s">
        <v>1</v>
      </c>
      <c r="C4" s="4"/>
      <c r="F4" s="5" t="s">
        <v>90</v>
      </c>
    </row>
    <row r="5" spans="1:46" customFormat="1" x14ac:dyDescent="0.3">
      <c r="F5" s="5" t="s">
        <v>91</v>
      </c>
    </row>
    <row r="6" spans="1:46" customFormat="1" x14ac:dyDescent="0.3">
      <c r="B6" s="64" t="s">
        <v>74</v>
      </c>
      <c r="C6" s="65"/>
      <c r="D6" s="63">
        <v>0</v>
      </c>
      <c r="F6" s="5" t="s">
        <v>92</v>
      </c>
    </row>
    <row r="7" spans="1:46" customFormat="1" x14ac:dyDescent="0.3">
      <c r="F7" s="5" t="s">
        <v>93</v>
      </c>
    </row>
    <row r="8" spans="1:46" customFormat="1" x14ac:dyDescent="0.3">
      <c r="B8" s="96" t="s">
        <v>72</v>
      </c>
      <c r="C8" s="98" t="s">
        <v>73</v>
      </c>
      <c r="D8" s="100" t="s">
        <v>70</v>
      </c>
      <c r="E8" s="101"/>
      <c r="F8" s="101"/>
      <c r="G8" s="101"/>
      <c r="H8" s="101"/>
      <c r="I8" s="101"/>
      <c r="J8" s="101"/>
      <c r="K8" s="101"/>
      <c r="L8" s="101"/>
      <c r="M8" s="101"/>
      <c r="N8" s="101"/>
      <c r="O8" s="101"/>
      <c r="P8" s="101"/>
      <c r="Q8" s="101"/>
      <c r="R8" s="101"/>
      <c r="S8" s="101"/>
      <c r="T8" s="101"/>
      <c r="U8" s="101"/>
      <c r="V8" s="101"/>
      <c r="W8" s="102"/>
      <c r="X8" s="100" t="s">
        <v>71</v>
      </c>
      <c r="Y8" s="101"/>
      <c r="Z8" s="101"/>
      <c r="AA8" s="101"/>
      <c r="AB8" s="101"/>
      <c r="AC8" s="101"/>
      <c r="AD8" s="101"/>
      <c r="AE8" s="101"/>
      <c r="AF8" s="101"/>
      <c r="AG8" s="101"/>
      <c r="AH8" s="101"/>
      <c r="AI8" s="101"/>
      <c r="AJ8" s="101"/>
      <c r="AK8" s="101"/>
      <c r="AL8" s="101"/>
      <c r="AM8" s="101"/>
      <c r="AN8" s="101"/>
      <c r="AO8" s="101"/>
      <c r="AP8" s="101"/>
      <c r="AQ8" s="102"/>
      <c r="AR8" s="93" t="s">
        <v>79</v>
      </c>
      <c r="AS8" s="89" t="s">
        <v>78</v>
      </c>
      <c r="AT8" s="90"/>
    </row>
    <row r="9" spans="1:46" customFormat="1" x14ac:dyDescent="0.3">
      <c r="B9" s="97"/>
      <c r="C9" s="99"/>
      <c r="D9" s="59" t="s">
        <v>69</v>
      </c>
      <c r="E9" s="60" t="s">
        <v>67</v>
      </c>
      <c r="F9" s="60" t="s">
        <v>68</v>
      </c>
      <c r="G9" s="60" t="s">
        <v>36</v>
      </c>
      <c r="H9" s="61" t="s">
        <v>37</v>
      </c>
      <c r="I9" s="61" t="s">
        <v>38</v>
      </c>
      <c r="J9" s="61" t="s">
        <v>39</v>
      </c>
      <c r="K9" s="61" t="s">
        <v>40</v>
      </c>
      <c r="L9" s="61" t="s">
        <v>41</v>
      </c>
      <c r="M9" s="61" t="s">
        <v>42</v>
      </c>
      <c r="N9" s="61" t="s">
        <v>43</v>
      </c>
      <c r="O9" s="61" t="s">
        <v>44</v>
      </c>
      <c r="P9" s="61" t="s">
        <v>45</v>
      </c>
      <c r="Q9" s="61" t="s">
        <v>46</v>
      </c>
      <c r="R9" s="61" t="s">
        <v>47</v>
      </c>
      <c r="S9" s="61" t="s">
        <v>48</v>
      </c>
      <c r="T9" s="61" t="s">
        <v>49</v>
      </c>
      <c r="U9" s="61" t="s">
        <v>50</v>
      </c>
      <c r="V9" s="61" t="s">
        <v>51</v>
      </c>
      <c r="W9" s="62" t="s">
        <v>52</v>
      </c>
      <c r="X9" s="59" t="s">
        <v>69</v>
      </c>
      <c r="Y9" s="60" t="s">
        <v>67</v>
      </c>
      <c r="Z9" s="60" t="s">
        <v>68</v>
      </c>
      <c r="AA9" s="60" t="s">
        <v>36</v>
      </c>
      <c r="AB9" s="61" t="s">
        <v>37</v>
      </c>
      <c r="AC9" s="61" t="s">
        <v>38</v>
      </c>
      <c r="AD9" s="61" t="s">
        <v>39</v>
      </c>
      <c r="AE9" s="61" t="s">
        <v>40</v>
      </c>
      <c r="AF9" s="61" t="s">
        <v>41</v>
      </c>
      <c r="AG9" s="61" t="s">
        <v>42</v>
      </c>
      <c r="AH9" s="61" t="s">
        <v>43</v>
      </c>
      <c r="AI9" s="61" t="s">
        <v>44</v>
      </c>
      <c r="AJ9" s="61" t="s">
        <v>45</v>
      </c>
      <c r="AK9" s="61" t="s">
        <v>46</v>
      </c>
      <c r="AL9" s="61" t="s">
        <v>47</v>
      </c>
      <c r="AM9" s="61" t="s">
        <v>48</v>
      </c>
      <c r="AN9" s="61" t="s">
        <v>49</v>
      </c>
      <c r="AO9" s="61" t="s">
        <v>50</v>
      </c>
      <c r="AP9" s="61" t="s">
        <v>51</v>
      </c>
      <c r="AQ9" s="62" t="s">
        <v>52</v>
      </c>
      <c r="AR9" s="94"/>
      <c r="AS9" s="91"/>
      <c r="AT9" s="92"/>
    </row>
    <row r="10" spans="1:46" x14ac:dyDescent="0.3">
      <c r="B10" s="72" t="s">
        <v>94</v>
      </c>
      <c r="C10" s="73" t="s">
        <v>95</v>
      </c>
      <c r="D10" s="74">
        <v>206</v>
      </c>
      <c r="E10" s="75">
        <v>37</v>
      </c>
      <c r="F10" s="75">
        <v>23</v>
      </c>
      <c r="G10" s="75">
        <v>23</v>
      </c>
      <c r="H10" s="75">
        <v>105</v>
      </c>
      <c r="I10" s="75">
        <v>162</v>
      </c>
      <c r="J10" s="75">
        <v>268</v>
      </c>
      <c r="K10" s="75">
        <v>314</v>
      </c>
      <c r="L10" s="75">
        <v>413</v>
      </c>
      <c r="M10" s="75">
        <v>584</v>
      </c>
      <c r="N10" s="75">
        <v>954</v>
      </c>
      <c r="O10" s="75">
        <v>1359</v>
      </c>
      <c r="P10" s="75">
        <v>1912</v>
      </c>
      <c r="Q10" s="75">
        <v>2824</v>
      </c>
      <c r="R10" s="75">
        <v>4507</v>
      </c>
      <c r="S10" s="75">
        <v>5851</v>
      </c>
      <c r="T10" s="75">
        <v>7117</v>
      </c>
      <c r="U10" s="75">
        <v>8192</v>
      </c>
      <c r="V10" s="75">
        <v>7745</v>
      </c>
      <c r="W10" s="73">
        <v>6442</v>
      </c>
      <c r="X10" s="74">
        <v>50698</v>
      </c>
      <c r="Y10" s="75">
        <v>215400</v>
      </c>
      <c r="Z10" s="75">
        <v>280458</v>
      </c>
      <c r="AA10" s="75">
        <v>258105</v>
      </c>
      <c r="AB10" s="75">
        <v>282062</v>
      </c>
      <c r="AC10" s="75">
        <v>329060</v>
      </c>
      <c r="AD10" s="75">
        <v>306097</v>
      </c>
      <c r="AE10" s="75">
        <v>274544</v>
      </c>
      <c r="AF10" s="75">
        <v>260415</v>
      </c>
      <c r="AG10" s="75">
        <v>267450</v>
      </c>
      <c r="AH10" s="75">
        <v>311314</v>
      </c>
      <c r="AI10" s="75">
        <v>324311</v>
      </c>
      <c r="AJ10" s="75">
        <v>296825</v>
      </c>
      <c r="AK10" s="75">
        <v>271339</v>
      </c>
      <c r="AL10" s="75">
        <v>284608</v>
      </c>
      <c r="AM10" s="75">
        <v>228062</v>
      </c>
      <c r="AN10" s="75">
        <v>162785</v>
      </c>
      <c r="AO10" s="75">
        <v>111263</v>
      </c>
      <c r="AP10" s="75">
        <v>58987</v>
      </c>
      <c r="AQ10" s="73">
        <v>26016</v>
      </c>
      <c r="AR10" s="76" t="e">
        <f t="array" aca="1" ref="AR10:AT10" ca="1">le(D10:W10,X10:AQ10,$D$6)</f>
        <v>#NAME?</v>
      </c>
      <c r="AS10" s="77" t="e">
        <f ca="1"/>
        <v>#NAME?</v>
      </c>
      <c r="AT10" s="78" t="e">
        <f ca="1"/>
        <v>#NAME?</v>
      </c>
    </row>
  </sheetData>
  <sheetProtection sheet="1" objects="1" scenarios="1" formatColumns="0" insertColumns="0"/>
  <mergeCells count="8">
    <mergeCell ref="D1:J1"/>
    <mergeCell ref="AS8:AT9"/>
    <mergeCell ref="AR8:AR9"/>
    <mergeCell ref="L3:M3"/>
    <mergeCell ref="B8:B9"/>
    <mergeCell ref="C8:C9"/>
    <mergeCell ref="D8:W8"/>
    <mergeCell ref="X8:AQ8"/>
  </mergeCells>
  <dataValidations count="1">
    <dataValidation type="list" allowBlank="1" showInputMessage="1" showErrorMessage="1" sqref="D6" xr:uid="{00000000-0002-0000-0200-000000000000}">
      <formula1>Ages</formula1>
    </dataValidation>
  </dataValidations>
  <hyperlinks>
    <hyperlink ref="B4" location="Notes!A1" display="Technical Notes" xr:uid="{00000000-0004-0000-0200-000000000000}"/>
    <hyperlink ref="L3:M3" location="'Life Table'!A1" display="Life Table sheet," xr:uid="{00000000-0004-0000-0200-000001000000}"/>
  </hyperlinks>
  <pageMargins left="0.7" right="0.7" top="0.75" bottom="0.75" header="0.3" footer="0.3"/>
  <pageSetup paperSize="9" orientation="portrait" r:id="rId1"/>
  <ignoredErrors>
    <ignoredError sqref="D9" numberStoredAsText="1"/>
  </ignoredError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Notes</vt:lpstr>
      <vt:lpstr>Life Table</vt:lpstr>
      <vt:lpstr>Batch Calculator</vt:lpstr>
      <vt:lpstr>Ages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Fryers</dc:creator>
  <cp:lastModifiedBy>Stefano Sanfilippo</cp:lastModifiedBy>
  <dcterms:created xsi:type="dcterms:W3CDTF">2017-02-02T16:35:50Z</dcterms:created>
  <dcterms:modified xsi:type="dcterms:W3CDTF">2023-11-29T15:39:16Z</dcterms:modified>
</cp:coreProperties>
</file>