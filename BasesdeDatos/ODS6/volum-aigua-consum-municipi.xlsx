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DataPortatil\rprojects\odsCat25\BasesdeDatos\ODS6\"/>
    </mc:Choice>
  </mc:AlternateContent>
  <xr:revisionPtr revIDLastSave="0" documentId="8_{949C592C-93A9-4E52-B671-4A2EC4AA96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um municipis" sheetId="1" r:id="rId1"/>
  </sheets>
  <definedNames>
    <definedName name="_xlnm._FilterDatabase" localSheetId="0" hidden="1">'Consum municipis'!$A$7:$AT$956</definedName>
    <definedName name="_xlnm.Print_Titles" localSheetId="0">'Consum municipis'!$6:$7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17" i="1" l="1"/>
  <c r="G691" i="1"/>
  <c r="G67" i="1"/>
  <c r="G833" i="1"/>
  <c r="G936" i="1" l="1"/>
  <c r="M936" i="1"/>
  <c r="O936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" i="1"/>
  <c r="I8" i="1"/>
  <c r="G770" i="1" l="1"/>
  <c r="I770" i="1" s="1"/>
  <c r="G482" i="1" l="1"/>
  <c r="I482" i="1" s="1"/>
  <c r="H31" i="1"/>
  <c r="I31" i="1" s="1"/>
  <c r="H833" i="1"/>
  <c r="I833" i="1" s="1"/>
  <c r="H796" i="1"/>
  <c r="I796" i="1" s="1"/>
  <c r="H149" i="1"/>
  <c r="I149" i="1" s="1"/>
  <c r="S956" i="1"/>
  <c r="T956" i="1"/>
  <c r="U956" i="1" l="1"/>
  <c r="AA956" i="1" l="1"/>
  <c r="W956" i="1"/>
  <c r="X956" i="1"/>
  <c r="Y956" i="1"/>
  <c r="Z956" i="1"/>
  <c r="AB956" i="1"/>
  <c r="AC956" i="1"/>
  <c r="AD956" i="1"/>
  <c r="AI956" i="1"/>
  <c r="AL956" i="1"/>
  <c r="V956" i="1"/>
  <c r="AK956" i="1" l="1"/>
  <c r="AN956" i="1"/>
  <c r="AO956" i="1"/>
  <c r="AE956" i="1" l="1"/>
  <c r="AH956" i="1"/>
  <c r="AF956" i="1"/>
  <c r="AP956" i="1"/>
  <c r="AM956" i="1"/>
  <c r="AG956" i="1" l="1"/>
  <c r="AJ956" i="1"/>
  <c r="P956" i="1" l="1"/>
  <c r="Q956" i="1" l="1"/>
  <c r="R956" i="1" l="1"/>
  <c r="M956" i="1" l="1"/>
  <c r="N956" i="1" l="1"/>
  <c r="O956" i="1"/>
  <c r="J956" i="1" l="1"/>
  <c r="K956" i="1" l="1"/>
  <c r="L956" i="1"/>
  <c r="G956" i="1" l="1"/>
  <c r="H956" i="1" l="1"/>
  <c r="I956" i="1"/>
  <c r="F665" i="1" l="1"/>
  <c r="F439" i="1"/>
  <c r="F741" i="1"/>
  <c r="D956" i="1" l="1"/>
  <c r="F355" i="1" l="1"/>
  <c r="F946" i="1"/>
  <c r="F197" i="1"/>
  <c r="F471" i="1"/>
  <c r="F475" i="1"/>
  <c r="F66" i="1"/>
  <c r="F238" i="1"/>
  <c r="F311" i="1"/>
  <c r="F640" i="1" l="1"/>
  <c r="F876" i="1"/>
  <c r="F891" i="1"/>
  <c r="F838" i="1"/>
  <c r="F659" i="1"/>
  <c r="F144" i="1"/>
  <c r="F544" i="1"/>
  <c r="F821" i="1"/>
  <c r="F65" i="1"/>
  <c r="F549" i="1"/>
  <c r="F97" i="1"/>
  <c r="F45" i="1"/>
  <c r="F104" i="1"/>
  <c r="F752" i="1"/>
  <c r="F541" i="1"/>
  <c r="F284" i="1"/>
  <c r="F928" i="1"/>
  <c r="F365" i="1"/>
  <c r="F56" i="1"/>
  <c r="F153" i="1"/>
  <c r="F691" i="1"/>
  <c r="F183" i="1"/>
  <c r="F251" i="1"/>
  <c r="F23" i="1"/>
  <c r="F68" i="1"/>
  <c r="F43" i="1"/>
  <c r="F714" i="1"/>
  <c r="F125" i="1"/>
  <c r="F576" i="1"/>
  <c r="F651" i="1"/>
  <c r="F164" i="1"/>
  <c r="F561" i="1"/>
  <c r="F862" i="1"/>
  <c r="F255" i="1"/>
  <c r="F502" i="1"/>
  <c r="F725" i="1"/>
  <c r="F935" i="1"/>
  <c r="F828" i="1"/>
  <c r="F92" i="1"/>
  <c r="F268" i="1"/>
  <c r="F466" i="1"/>
  <c r="F682" i="1"/>
  <c r="F234" i="1"/>
  <c r="F78" i="1"/>
  <c r="F726" i="1"/>
  <c r="F442" i="1"/>
  <c r="F523" i="1"/>
  <c r="F151" i="1"/>
  <c r="F100" i="1"/>
  <c r="F567" i="1"/>
  <c r="F607" i="1"/>
  <c r="F31" i="1"/>
  <c r="F26" i="1"/>
  <c r="F823" i="1"/>
  <c r="F109" i="1"/>
  <c r="F534" i="1"/>
  <c r="F107" i="1"/>
  <c r="F331" i="1"/>
  <c r="F429" i="1"/>
  <c r="F371" i="1"/>
  <c r="F237" i="1"/>
  <c r="F855" i="1"/>
  <c r="F870" i="1"/>
  <c r="F573" i="1"/>
  <c r="F893" i="1"/>
  <c r="F87" i="1"/>
  <c r="F306" i="1"/>
  <c r="F837" i="1"/>
  <c r="F141" i="1"/>
  <c r="F943" i="1"/>
  <c r="F186" i="1"/>
  <c r="F303" i="1"/>
  <c r="F542" i="1"/>
  <c r="F409" i="1"/>
  <c r="F434" i="1"/>
  <c r="F433" i="1"/>
  <c r="F600" i="1"/>
  <c r="F814" i="1"/>
  <c r="F684" i="1"/>
  <c r="F675" i="1"/>
  <c r="F757" i="1"/>
  <c r="F233" i="1"/>
  <c r="F80" i="1"/>
  <c r="F332" i="1"/>
  <c r="F825" i="1"/>
  <c r="F535" i="1"/>
  <c r="F611" i="1"/>
  <c r="F278" i="1"/>
  <c r="F15" i="1"/>
  <c r="F790" i="1"/>
  <c r="F289" i="1"/>
  <c r="F216" i="1"/>
  <c r="F326" i="1"/>
  <c r="F455" i="1"/>
  <c r="F343" i="1"/>
  <c r="F536" i="1"/>
  <c r="F295" i="1"/>
  <c r="F598" i="1"/>
  <c r="F491" i="1"/>
  <c r="F10" i="1"/>
  <c r="F262" i="1"/>
  <c r="F397" i="1"/>
  <c r="F603" i="1"/>
  <c r="F556" i="1"/>
  <c r="F921" i="1"/>
  <c r="F123" i="1"/>
  <c r="F213" i="1"/>
  <c r="F836" i="1"/>
  <c r="F367" i="1"/>
  <c r="F704" i="1"/>
  <c r="F577" i="1"/>
  <c r="F939" i="1"/>
  <c r="F312" i="1"/>
  <c r="F768" i="1"/>
  <c r="F807" i="1"/>
  <c r="F845" i="1"/>
  <c r="F547" i="1"/>
  <c r="F900" i="1"/>
  <c r="F581" i="1"/>
  <c r="F608" i="1"/>
  <c r="F178" i="1"/>
  <c r="F551" i="1"/>
  <c r="F405" i="1"/>
  <c r="F889" i="1"/>
  <c r="F574" i="1"/>
  <c r="F242" i="1"/>
  <c r="F527" i="1"/>
  <c r="F596" i="1"/>
  <c r="F348" i="1"/>
  <c r="F703" i="1"/>
  <c r="F67" i="1"/>
  <c r="F636" i="1"/>
  <c r="F90" i="1"/>
  <c r="F259" i="1"/>
  <c r="F580" i="1"/>
  <c r="F54" i="1"/>
  <c r="F920" i="1"/>
  <c r="F871" i="1"/>
  <c r="F614" i="1"/>
  <c r="F296" i="1"/>
  <c r="F674" i="1"/>
  <c r="F858" i="1"/>
  <c r="F622" i="1"/>
  <c r="F460" i="1"/>
  <c r="F780" i="1"/>
  <c r="F166" i="1"/>
  <c r="F161" i="1"/>
  <c r="F347" i="1"/>
  <c r="F369" i="1"/>
  <c r="F345" i="1"/>
  <c r="F28" i="1"/>
  <c r="F47" i="1"/>
  <c r="F515" i="1"/>
  <c r="F310" i="1"/>
  <c r="F723" i="1"/>
  <c r="F470" i="1"/>
  <c r="F175" i="1"/>
  <c r="F381" i="1"/>
  <c r="F753" i="1"/>
  <c r="F505" i="1"/>
  <c r="F271" i="1"/>
  <c r="F495" i="1"/>
  <c r="F594" i="1"/>
  <c r="F668" i="1"/>
  <c r="F497" i="1"/>
  <c r="F428" i="1"/>
  <c r="F528" i="1"/>
  <c r="F169" i="1"/>
  <c r="F886" i="1"/>
  <c r="F167" i="1"/>
  <c r="F248" i="1"/>
  <c r="F380" i="1"/>
  <c r="F626" i="1"/>
  <c r="F593" i="1"/>
  <c r="F378" i="1"/>
  <c r="F713" i="1"/>
  <c r="F820" i="1"/>
  <c r="F806" i="1"/>
  <c r="F42" i="1"/>
  <c r="F764" i="1"/>
  <c r="F288" i="1"/>
  <c r="F627" i="1"/>
  <c r="F349" i="1"/>
  <c r="F771" i="1"/>
  <c r="F759" i="1"/>
  <c r="F864" i="1"/>
  <c r="F595" i="1"/>
  <c r="F468" i="1"/>
  <c r="F919" i="1"/>
  <c r="F339" i="1"/>
  <c r="F826" i="1"/>
  <c r="F908" i="1"/>
  <c r="F902" i="1"/>
  <c r="F951" i="1"/>
  <c r="F692" i="1"/>
  <c r="F930" i="1"/>
  <c r="F422" i="1"/>
  <c r="F440" i="1"/>
  <c r="F865" i="1"/>
  <c r="F40" i="1"/>
  <c r="F376" i="1"/>
  <c r="F827" i="1"/>
  <c r="F399" i="1"/>
  <c r="F869" i="1"/>
  <c r="F513" i="1"/>
  <c r="F218" i="1"/>
  <c r="F559" i="1"/>
  <c r="F342" i="1"/>
  <c r="F791" i="1"/>
  <c r="F585" i="1"/>
  <c r="F516" i="1"/>
  <c r="F504" i="1"/>
  <c r="F206" i="1"/>
  <c r="F282" i="1"/>
  <c r="F564" i="1"/>
  <c r="F221" i="1"/>
  <c r="F808" i="1"/>
  <c r="F899" i="1"/>
  <c r="F952" i="1"/>
  <c r="F147" i="1"/>
  <c r="F181" i="1"/>
  <c r="F99" i="1"/>
  <c r="F906" i="1"/>
  <c r="F518" i="1"/>
  <c r="F643" i="1"/>
  <c r="F134" i="1"/>
  <c r="F235" i="1"/>
  <c r="F38" i="1"/>
  <c r="F322" i="1"/>
  <c r="F254" i="1"/>
  <c r="F868" i="1"/>
  <c r="F407" i="1"/>
  <c r="F126" i="1"/>
  <c r="F641" i="1"/>
  <c r="F174" i="1"/>
  <c r="F708" i="1"/>
  <c r="F680" i="1"/>
  <c r="F829" i="1"/>
  <c r="F357" i="1"/>
  <c r="F500" i="1"/>
  <c r="F940" i="1"/>
  <c r="F506" i="1"/>
  <c r="F933" i="1"/>
  <c r="F115" i="1"/>
  <c r="F620" i="1"/>
  <c r="F701" i="1"/>
  <c r="F615" i="1"/>
  <c r="F720" i="1"/>
  <c r="F679" i="1"/>
  <c r="F938" i="1"/>
  <c r="F657" i="1"/>
  <c r="F146" i="1"/>
  <c r="F279" i="1"/>
  <c r="F563" i="1"/>
  <c r="F386" i="1"/>
  <c r="F327" i="1"/>
  <c r="F391" i="1"/>
  <c r="F424" i="1"/>
  <c r="F276" i="1"/>
  <c r="F443" i="1"/>
  <c r="F272" i="1"/>
  <c r="F352" i="1"/>
  <c r="F795" i="1"/>
  <c r="F24" i="1"/>
  <c r="F450" i="1"/>
  <c r="F949" i="1"/>
  <c r="F286" i="1"/>
  <c r="F63" i="1"/>
  <c r="F565" i="1"/>
  <c r="F948" i="1"/>
  <c r="F139" i="1"/>
  <c r="F533" i="1"/>
  <c r="F612" i="1"/>
  <c r="F901" i="1"/>
  <c r="F676" i="1"/>
  <c r="E956" i="1"/>
  <c r="F8" i="1"/>
  <c r="F61" i="1"/>
  <c r="F441" i="1"/>
  <c r="F457" i="1"/>
  <c r="F138" i="1"/>
  <c r="F633" i="1"/>
  <c r="F132" i="1"/>
  <c r="F532" i="1"/>
  <c r="F754" i="1"/>
  <c r="F119" i="1"/>
  <c r="F543" i="1"/>
  <c r="F314" i="1"/>
  <c r="F267" i="1"/>
  <c r="F187" i="1"/>
  <c r="F833" i="1"/>
  <c r="F329" i="1"/>
  <c r="F162" i="1"/>
  <c r="F732" i="1"/>
  <c r="F685" i="1"/>
  <c r="F157" i="1"/>
  <c r="F934" i="1"/>
  <c r="F417" i="1"/>
  <c r="F25" i="1"/>
  <c r="F33" i="1"/>
  <c r="F765" i="1"/>
  <c r="F647" i="1"/>
  <c r="F154" i="1"/>
  <c r="F955" i="1"/>
  <c r="F766" i="1"/>
  <c r="F550" i="1"/>
  <c r="F560" i="1"/>
  <c r="F89" i="1"/>
  <c r="F412" i="1"/>
  <c r="F388" i="1"/>
  <c r="F85" i="1"/>
  <c r="F207" i="1"/>
  <c r="F834" i="1"/>
  <c r="F664" i="1"/>
  <c r="F64" i="1"/>
  <c r="F522" i="1"/>
  <c r="F395" i="1"/>
  <c r="F243" i="1"/>
  <c r="F447" i="1"/>
  <c r="F247" i="1"/>
  <c r="F816" i="1"/>
  <c r="F82" i="1"/>
  <c r="F667" i="1"/>
  <c r="F517" i="1"/>
  <c r="F283" i="1"/>
  <c r="F140" i="1"/>
  <c r="F750" i="1"/>
  <c r="F813" i="1"/>
  <c r="F786" i="1"/>
  <c r="F832" i="1"/>
  <c r="F456" i="1"/>
  <c r="F265" i="1"/>
  <c r="F892" i="1"/>
  <c r="F176" i="1"/>
  <c r="F776" i="1"/>
  <c r="F911" i="1"/>
  <c r="F618" i="1"/>
  <c r="F873" i="1"/>
  <c r="F637" i="1"/>
  <c r="F903" i="1"/>
  <c r="F372" i="1"/>
  <c r="F366" i="1"/>
  <c r="F617" i="1"/>
  <c r="F464" i="1"/>
  <c r="F709" i="1"/>
  <c r="F333" i="1"/>
  <c r="F49" i="1"/>
  <c r="F170" i="1"/>
  <c r="F642" i="1"/>
  <c r="F660" i="1"/>
  <c r="F198" i="1"/>
  <c r="F436" i="1"/>
  <c r="F16" i="1"/>
  <c r="F36" i="1"/>
  <c r="F253" i="1"/>
  <c r="F653" i="1"/>
  <c r="F788" i="1"/>
  <c r="F779" i="1"/>
  <c r="F898" i="1"/>
  <c r="F292" i="1"/>
  <c r="F131" i="1"/>
  <c r="F106" i="1"/>
  <c r="F818" i="1"/>
  <c r="F189" i="1"/>
  <c r="F309" i="1"/>
  <c r="F192" i="1"/>
  <c r="F377" i="1"/>
  <c r="F148" i="1"/>
  <c r="F929" i="1"/>
  <c r="F110" i="1"/>
  <c r="F444" i="1"/>
  <c r="F17" i="1"/>
  <c r="F356" i="1"/>
  <c r="F743" i="1"/>
  <c r="F778" i="1"/>
  <c r="F678" i="1"/>
  <c r="F403" i="1"/>
  <c r="F50" i="1"/>
  <c r="F177" i="1"/>
  <c r="F941" i="1"/>
  <c r="F512" i="1"/>
  <c r="F800" i="1"/>
  <c r="F467" i="1"/>
  <c r="F700" i="1"/>
  <c r="F774" i="1"/>
  <c r="F588" i="1"/>
  <c r="F738" i="1"/>
  <c r="F705" i="1"/>
  <c r="F55" i="1"/>
  <c r="F171" i="1"/>
  <c r="F718" i="1"/>
  <c r="F739" i="1"/>
  <c r="F448" i="1"/>
  <c r="F925" i="1"/>
  <c r="F344" i="1"/>
  <c r="F483" i="1"/>
  <c r="F454" i="1"/>
  <c r="F32" i="1"/>
  <c r="F874" i="1"/>
  <c r="F474" i="1"/>
  <c r="F205" i="1"/>
  <c r="F850" i="1"/>
  <c r="F498" i="1"/>
  <c r="F606" i="1"/>
  <c r="F658" i="1"/>
  <c r="F918" i="1"/>
  <c r="F819" i="1"/>
  <c r="F885" i="1"/>
  <c r="F277" i="1"/>
  <c r="F252" i="1"/>
  <c r="F185" i="1"/>
  <c r="F22" i="1"/>
  <c r="F605" i="1"/>
  <c r="F135" i="1"/>
  <c r="F649" i="1"/>
  <c r="F260" i="1"/>
  <c r="F401" i="1"/>
  <c r="F932" i="1"/>
  <c r="F236" i="1"/>
  <c r="F655" i="1"/>
  <c r="F731" i="1"/>
  <c r="F693" i="1"/>
  <c r="F539" i="1"/>
  <c r="F689" i="1"/>
  <c r="F830" i="1"/>
  <c r="F729" i="1"/>
  <c r="F180" i="1"/>
  <c r="F613" i="1"/>
  <c r="F793" i="1"/>
  <c r="F936" i="1"/>
  <c r="F666" i="1"/>
  <c r="F245" i="1"/>
  <c r="F393" i="1"/>
  <c r="F438" i="1"/>
  <c r="F628" i="1"/>
  <c r="F554" i="1"/>
  <c r="F62" i="1"/>
  <c r="F719" i="1"/>
  <c r="F553" i="1"/>
  <c r="F635" i="1"/>
  <c r="F302" i="1"/>
  <c r="F300" i="1"/>
  <c r="F669" i="1"/>
  <c r="F57" i="1"/>
  <c r="F128" i="1"/>
  <c r="F575" i="1"/>
  <c r="F214" i="1"/>
  <c r="F190" i="1"/>
  <c r="F843" i="1"/>
  <c r="F111" i="1"/>
  <c r="F193" i="1"/>
  <c r="F809" i="1"/>
  <c r="F687" i="1"/>
  <c r="F9" i="1"/>
  <c r="F634" i="1"/>
  <c r="F775" i="1"/>
  <c r="F872" i="1"/>
  <c r="F884" i="1"/>
  <c r="F142" i="1"/>
  <c r="F638" i="1"/>
  <c r="F321" i="1"/>
  <c r="F851" i="1"/>
  <c r="F112" i="1"/>
  <c r="F756" i="1"/>
  <c r="F117" i="1"/>
  <c r="F425" i="1"/>
  <c r="F48" i="1"/>
  <c r="F670" i="1"/>
  <c r="F172" i="1"/>
  <c r="F792" i="1"/>
  <c r="F882" i="1"/>
  <c r="F469" i="1"/>
  <c r="F624" i="1"/>
  <c r="F354" i="1"/>
  <c r="F264" i="1"/>
  <c r="F746" i="1"/>
  <c r="F116" i="1"/>
  <c r="F747" i="1"/>
  <c r="F526" i="1"/>
  <c r="F328" i="1"/>
  <c r="F926" i="1"/>
  <c r="F363" i="1"/>
  <c r="F430" i="1"/>
  <c r="F761" i="1"/>
  <c r="F734" i="1"/>
  <c r="F852" i="1"/>
  <c r="F274" i="1"/>
  <c r="F822" i="1"/>
  <c r="F801" i="1"/>
  <c r="F494" i="1"/>
  <c r="F44" i="1"/>
  <c r="F592" i="1"/>
  <c r="F621" i="1"/>
  <c r="F275" i="1"/>
  <c r="F702" i="1"/>
  <c r="F877" i="1"/>
  <c r="F815" i="1"/>
  <c r="F150" i="1"/>
  <c r="F760" i="1"/>
  <c r="F465" i="1"/>
  <c r="F887" i="1"/>
  <c r="F587" i="1"/>
  <c r="F285" i="1"/>
  <c r="F414" i="1"/>
  <c r="F70" i="1"/>
  <c r="F79" i="1"/>
  <c r="F81" i="1"/>
  <c r="F681" i="1"/>
  <c r="F696" i="1"/>
  <c r="F656" i="1"/>
  <c r="F149" i="1"/>
  <c r="F72" i="1"/>
  <c r="F479" i="1"/>
  <c r="F557" i="1"/>
  <c r="F883" i="1"/>
  <c r="F773" i="1"/>
  <c r="F353" i="1"/>
  <c r="F589" i="1"/>
  <c r="F854" i="1"/>
  <c r="F11" i="1"/>
  <c r="F697" i="1"/>
  <c r="F462" i="1"/>
  <c r="F35" i="1"/>
  <c r="F568" i="1"/>
  <c r="F728" i="1"/>
  <c r="F511" i="1"/>
  <c r="F493" i="1"/>
  <c r="F742" i="1"/>
  <c r="F509" i="1"/>
  <c r="F250" i="1"/>
  <c r="F273" i="1"/>
  <c r="F261" i="1"/>
  <c r="F102" i="1"/>
  <c r="F18" i="1"/>
  <c r="F510" i="1"/>
  <c r="F196" i="1"/>
  <c r="F299" i="1"/>
  <c r="F711" i="1"/>
  <c r="F558" i="1"/>
  <c r="F392" i="1"/>
  <c r="F202" i="1"/>
  <c r="F690" i="1"/>
  <c r="F552" i="1"/>
  <c r="F860" i="1"/>
  <c r="F859" i="1"/>
  <c r="F158" i="1"/>
  <c r="F400" i="1"/>
  <c r="F294" i="1"/>
  <c r="F583" i="1"/>
  <c r="F226" i="1"/>
  <c r="F287" i="1"/>
  <c r="F631" i="1"/>
  <c r="F350" i="1"/>
  <c r="F383" i="1"/>
  <c r="F867" i="1"/>
  <c r="F453" i="1"/>
  <c r="F199" i="1"/>
  <c r="F201" i="1"/>
  <c r="F698" i="1"/>
  <c r="F280" i="1"/>
  <c r="F683" i="1"/>
  <c r="F423" i="1"/>
  <c r="F155" i="1"/>
  <c r="F707" i="1"/>
  <c r="F212" i="1"/>
  <c r="F686" i="1"/>
  <c r="F338" i="1"/>
  <c r="F501" i="1"/>
  <c r="F755" i="1"/>
  <c r="F772" i="1"/>
  <c r="F530" i="1"/>
  <c r="F848" i="1"/>
  <c r="F896" i="1"/>
  <c r="F672" i="1"/>
  <c r="F942" i="1"/>
  <c r="F59" i="1"/>
  <c r="F362" i="1"/>
  <c r="F136" i="1"/>
  <c r="F419" i="1"/>
  <c r="F21" i="1"/>
  <c r="F842" i="1"/>
  <c r="F304" i="1"/>
  <c r="F841" i="1"/>
  <c r="F281" i="1"/>
  <c r="F645" i="1"/>
  <c r="F53" i="1"/>
  <c r="F301" i="1"/>
  <c r="F486" i="1"/>
  <c r="F584" i="1"/>
  <c r="F944" i="1"/>
  <c r="F625" i="1"/>
  <c r="F519" i="1"/>
  <c r="F240" i="1"/>
  <c r="F798" i="1"/>
  <c r="F545" i="1"/>
  <c r="F586" i="1"/>
  <c r="F817" i="1"/>
  <c r="F179" i="1"/>
  <c r="F227" i="1"/>
  <c r="F866" i="1"/>
  <c r="F76" i="1"/>
  <c r="F120" i="1"/>
  <c r="F601" i="1"/>
  <c r="F646" i="1"/>
  <c r="F130" i="1"/>
  <c r="F337" i="1"/>
  <c r="F74" i="1"/>
  <c r="F159" i="1"/>
  <c r="F320" i="1"/>
  <c r="F875" i="1"/>
  <c r="F671" i="1"/>
  <c r="F569" i="1"/>
  <c r="F562" i="1"/>
  <c r="F591" i="1"/>
  <c r="F578" i="1"/>
  <c r="F629" i="1"/>
  <c r="F122" i="1"/>
  <c r="F484" i="1"/>
  <c r="F695" i="1"/>
  <c r="F812" i="1"/>
  <c r="F508" i="1"/>
  <c r="F706" i="1"/>
  <c r="F361" i="1"/>
  <c r="F224" i="1"/>
  <c r="F431" i="1"/>
  <c r="F572" i="1"/>
  <c r="F639" i="1"/>
  <c r="F895" i="1"/>
  <c r="F796" i="1"/>
  <c r="F654" i="1"/>
  <c r="F490" i="1"/>
  <c r="F480" i="1"/>
  <c r="F415" i="1"/>
  <c r="F30" i="1"/>
  <c r="F805" i="1"/>
  <c r="F810" i="1"/>
  <c r="F427" i="1"/>
  <c r="F156" i="1"/>
  <c r="F168" i="1"/>
  <c r="F223" i="1"/>
  <c r="F644" i="1"/>
  <c r="F947" i="1"/>
  <c r="F803" i="1"/>
  <c r="F931" i="1"/>
  <c r="F358" i="1"/>
  <c r="F923" i="1"/>
  <c r="F811" i="1"/>
  <c r="F335" i="1"/>
  <c r="F203" i="1"/>
  <c r="F597" i="1"/>
  <c r="F699" i="1"/>
  <c r="F802" i="1"/>
  <c r="F204" i="1"/>
  <c r="F426" i="1"/>
  <c r="F797" i="1"/>
  <c r="F194" i="1"/>
  <c r="F121" i="1"/>
  <c r="F458" i="1"/>
  <c r="F258" i="1"/>
  <c r="F745" i="1"/>
  <c r="F113" i="1"/>
  <c r="F241" i="1"/>
  <c r="F804" i="1"/>
  <c r="F499" i="1"/>
  <c r="F909" i="1"/>
  <c r="F477" i="1"/>
  <c r="F73" i="1"/>
  <c r="F922" i="1"/>
  <c r="F694" i="1"/>
  <c r="F418" i="1"/>
  <c r="F751" i="1"/>
  <c r="F58" i="1"/>
  <c r="F847" i="1"/>
  <c r="F710" i="1"/>
  <c r="F373" i="1"/>
  <c r="F297" i="1"/>
  <c r="F165" i="1"/>
  <c r="F270" i="1"/>
  <c r="F152" i="1"/>
  <c r="F370" i="1"/>
  <c r="F323" i="1"/>
  <c r="F266" i="1"/>
  <c r="F71" i="1"/>
  <c r="F566" i="1"/>
  <c r="F51" i="1"/>
  <c r="F368" i="1"/>
  <c r="F319" i="1"/>
  <c r="F856" i="1"/>
  <c r="F413" i="1"/>
  <c r="F485" i="1"/>
  <c r="F145" i="1"/>
  <c r="F95" i="1"/>
  <c r="F12" i="1"/>
  <c r="F421" i="1"/>
  <c r="F228" i="1"/>
  <c r="F863" i="1"/>
  <c r="F210" i="1"/>
  <c r="F27" i="1"/>
  <c r="F782" i="1"/>
  <c r="F736" i="1"/>
  <c r="F257" i="1"/>
  <c r="F781" i="1"/>
  <c r="F86" i="1"/>
  <c r="F324" i="1"/>
  <c r="F404" i="1"/>
  <c r="F537" i="1"/>
  <c r="F524" i="1"/>
  <c r="F853" i="1"/>
  <c r="F953" i="1"/>
  <c r="F663" i="1"/>
  <c r="F894" i="1"/>
  <c r="F835" i="1"/>
  <c r="F857" i="1"/>
  <c r="F19" i="1"/>
  <c r="F246" i="1"/>
  <c r="F913" i="1"/>
  <c r="F599" i="1"/>
  <c r="F408" i="1"/>
  <c r="F904" i="1"/>
  <c r="F298" i="1"/>
  <c r="F96" i="1"/>
  <c r="F789" i="1"/>
  <c r="F133" i="1"/>
  <c r="F662" i="1"/>
  <c r="F540" i="1"/>
  <c r="F446" i="1"/>
  <c r="F336" i="1"/>
  <c r="F799" i="1"/>
  <c r="F937" i="1"/>
  <c r="F489" i="1"/>
  <c r="F290" i="1"/>
  <c r="F785" i="1"/>
  <c r="F230" i="1"/>
  <c r="F394" i="1"/>
  <c r="F432" i="1"/>
  <c r="F217" i="1"/>
  <c r="F317" i="1"/>
  <c r="F610" i="1"/>
  <c r="F114" i="1"/>
  <c r="F763" i="1"/>
  <c r="F762" i="1"/>
  <c r="F570" i="1"/>
  <c r="F451" i="1"/>
  <c r="F60" i="1"/>
  <c r="F521" i="1"/>
  <c r="F37" i="1"/>
  <c r="F616" i="1"/>
  <c r="F478" i="1"/>
  <c r="F385" i="1"/>
  <c r="F507" i="1"/>
  <c r="F881" i="1"/>
  <c r="F824" i="1"/>
  <c r="F315" i="1"/>
  <c r="F263" i="1"/>
  <c r="F461" i="1"/>
  <c r="F364" i="1"/>
  <c r="F571" i="1"/>
  <c r="F341" i="1"/>
  <c r="F69" i="1"/>
  <c r="F445" i="1"/>
  <c r="F546" i="1"/>
  <c r="F724" i="1"/>
  <c r="F722" i="1"/>
  <c r="F661" i="1"/>
  <c r="F334" i="1"/>
  <c r="F514" i="1"/>
  <c r="F94" i="1"/>
  <c r="F379" i="1"/>
  <c r="F39" i="1"/>
  <c r="F648" i="1"/>
  <c r="F907" i="1"/>
  <c r="F313" i="1"/>
  <c r="F387" i="1"/>
  <c r="F748" i="1"/>
  <c r="F382" i="1"/>
  <c r="F360" i="1"/>
  <c r="F191" i="1"/>
  <c r="F912" i="1"/>
  <c r="F924" i="1"/>
  <c r="F619" i="1"/>
  <c r="F160" i="1"/>
  <c r="F293" i="1"/>
  <c r="F890" i="1"/>
  <c r="F249" i="1"/>
  <c r="F783" i="1"/>
  <c r="F173" i="1"/>
  <c r="F307" i="1"/>
  <c r="F794" i="1"/>
  <c r="F402" i="1"/>
  <c r="F914" i="1"/>
  <c r="F188" i="1"/>
  <c r="F735" i="1"/>
  <c r="F13" i="1"/>
  <c r="F225" i="1"/>
  <c r="F650" i="1"/>
  <c r="F487" i="1"/>
  <c r="F878" i="1"/>
  <c r="F14" i="1"/>
  <c r="F103" i="1"/>
  <c r="F579" i="1"/>
  <c r="F888" i="1"/>
  <c r="F291" i="1"/>
  <c r="F351" i="1"/>
  <c r="F463" i="1"/>
  <c r="F98" i="1"/>
  <c r="F20" i="1"/>
  <c r="F398" i="1"/>
  <c r="F496" i="1"/>
  <c r="F390" i="1"/>
  <c r="F215" i="1"/>
  <c r="F330" i="1"/>
  <c r="F91" i="1"/>
  <c r="F84" i="1"/>
  <c r="F758" i="1"/>
  <c r="F359" i="1"/>
  <c r="F839" i="1"/>
  <c r="F41" i="1"/>
  <c r="F396" i="1"/>
  <c r="F529" i="1"/>
  <c r="F472" i="1"/>
  <c r="F105" i="1"/>
  <c r="F127" i="1"/>
  <c r="F927" i="1"/>
  <c r="F897" i="1"/>
  <c r="F83" i="1"/>
  <c r="F602" i="1"/>
  <c r="F915" i="1"/>
  <c r="F231" i="1"/>
  <c r="F124" i="1"/>
  <c r="F777" i="1"/>
  <c r="F770" i="1"/>
  <c r="F744" i="1"/>
  <c r="F548" i="1"/>
  <c r="F416" i="1"/>
  <c r="F715" i="1"/>
  <c r="F688" i="1"/>
  <c r="F623" i="1"/>
  <c r="F730" i="1"/>
  <c r="F256" i="1"/>
  <c r="F520" i="1"/>
  <c r="F318" i="1"/>
  <c r="F861" i="1"/>
  <c r="F184" i="1"/>
  <c r="F916" i="1"/>
  <c r="F945" i="1"/>
  <c r="F727" i="1"/>
  <c r="F34" i="1"/>
  <c r="F652" i="1"/>
  <c r="F182" i="1"/>
  <c r="F406" i="1"/>
  <c r="F195" i="1"/>
  <c r="F325" i="1"/>
  <c r="F582" i="1"/>
  <c r="F46" i="1"/>
  <c r="F905" i="1"/>
  <c r="F849" i="1"/>
  <c r="F749" i="1"/>
  <c r="F473" i="1"/>
  <c r="F75" i="1"/>
  <c r="F488" i="1"/>
  <c r="F232" i="1"/>
  <c r="F108" i="1"/>
  <c r="F209" i="1"/>
  <c r="F129" i="1"/>
  <c r="F846" i="1"/>
  <c r="F88" i="1"/>
  <c r="F239" i="1"/>
  <c r="F721" i="1"/>
  <c r="F420" i="1"/>
  <c r="F137" i="1"/>
  <c r="F767" i="1"/>
  <c r="F222" i="1"/>
  <c r="F525" i="1"/>
  <c r="F481" i="1"/>
  <c r="F375" i="1"/>
  <c r="F538" i="1"/>
  <c r="F459" i="1"/>
  <c r="F346" i="1"/>
  <c r="F52" i="1"/>
  <c r="F632" i="1"/>
  <c r="F163" i="1"/>
  <c r="F411" i="1"/>
  <c r="F712" i="1"/>
  <c r="F737" i="1"/>
  <c r="F208" i="1"/>
  <c r="F604" i="1"/>
  <c r="F244" i="1"/>
  <c r="F910" i="1"/>
  <c r="F880" i="1"/>
  <c r="F220" i="1"/>
  <c r="F503" i="1"/>
  <c r="F784" i="1"/>
  <c r="F482" i="1"/>
  <c r="F492" i="1"/>
  <c r="F305" i="1"/>
  <c r="F374" i="1"/>
  <c r="F308" i="1"/>
  <c r="F733" i="1"/>
  <c r="F917" i="1"/>
  <c r="F229" i="1"/>
  <c r="F316" i="1"/>
  <c r="F950" i="1"/>
  <c r="F435" i="1"/>
  <c r="F143" i="1"/>
  <c r="F844" i="1"/>
  <c r="F787" i="1"/>
  <c r="F93" i="1"/>
  <c r="F29" i="1"/>
  <c r="F437" i="1"/>
  <c r="F384" i="1"/>
  <c r="F630" i="1"/>
  <c r="F677" i="1"/>
  <c r="F740" i="1"/>
  <c r="F717" i="1"/>
  <c r="F954" i="1"/>
  <c r="F219" i="1"/>
  <c r="F476" i="1"/>
  <c r="F101" i="1"/>
  <c r="F410" i="1"/>
  <c r="F769" i="1"/>
  <c r="F269" i="1"/>
  <c r="F590" i="1"/>
  <c r="F879" i="1"/>
  <c r="F200" i="1"/>
  <c r="F531" i="1"/>
  <c r="F389" i="1"/>
  <c r="F452" i="1"/>
  <c r="F118" i="1"/>
  <c r="F609" i="1"/>
  <c r="F211" i="1"/>
  <c r="F77" i="1"/>
  <c r="F555" i="1"/>
  <c r="F716" i="1"/>
  <c r="F840" i="1"/>
  <c r="F449" i="1"/>
  <c r="F340" i="1"/>
  <c r="F673" i="1"/>
  <c r="F831" i="1"/>
  <c r="F956" i="1" l="1"/>
</calcChain>
</file>

<file path=xl/sharedStrings.xml><?xml version="1.0" encoding="utf-8"?>
<sst xmlns="http://schemas.openxmlformats.org/spreadsheetml/2006/main" count="2929" uniqueCount="1952">
  <si>
    <t>Volum consumit per municipi  (m³/any)</t>
  </si>
  <si>
    <t>Codi Ine</t>
  </si>
  <si>
    <t>Municipi</t>
  </si>
  <si>
    <t>Domèstic Xarxa</t>
  </si>
  <si>
    <t>Activitats Econom.
 i Fonts Pròpies</t>
  </si>
  <si>
    <t>Total</t>
  </si>
  <si>
    <t>25001</t>
  </si>
  <si>
    <t>ABELLA DE LA CONCA</t>
  </si>
  <si>
    <t xml:space="preserve">PALLARS JUSSÀ, EL        </t>
  </si>
  <si>
    <t>08001</t>
  </si>
  <si>
    <t>ABRERA</t>
  </si>
  <si>
    <t xml:space="preserve">BAIX LLOBREGAT, EL       </t>
  </si>
  <si>
    <t>25002</t>
  </si>
  <si>
    <t>AGER</t>
  </si>
  <si>
    <t xml:space="preserve">NOGUERA, LA              </t>
  </si>
  <si>
    <t>25003</t>
  </si>
  <si>
    <t>AGRAMUNT</t>
  </si>
  <si>
    <t xml:space="preserve">URGELL, L'               </t>
  </si>
  <si>
    <t>08002</t>
  </si>
  <si>
    <t>AGUILAR DE SEGARRA</t>
  </si>
  <si>
    <t xml:space="preserve">BAGES, EL                </t>
  </si>
  <si>
    <t>17001</t>
  </si>
  <si>
    <t>AGULLANA</t>
  </si>
  <si>
    <t xml:space="preserve">ALT EMPORDÀ, L'          </t>
  </si>
  <si>
    <t>08014</t>
  </si>
  <si>
    <t>AIGUAFREDA</t>
  </si>
  <si>
    <t xml:space="preserve">VALLÈS ORIENTAL, EL      </t>
  </si>
  <si>
    <t>43001</t>
  </si>
  <si>
    <t>AIGUAMURCIA</t>
  </si>
  <si>
    <t xml:space="preserve">ALT CAMP, L'             </t>
  </si>
  <si>
    <t>17002</t>
  </si>
  <si>
    <t>AIGUAVIVA</t>
  </si>
  <si>
    <t>25038</t>
  </si>
  <si>
    <t>AITONA</t>
  </si>
  <si>
    <t xml:space="preserve">SEGRIÀ, EL               </t>
  </si>
  <si>
    <t>25004</t>
  </si>
  <si>
    <t>ALAMUS, ELS</t>
  </si>
  <si>
    <t>25005</t>
  </si>
  <si>
    <t>ALAS I CERC</t>
  </si>
  <si>
    <t xml:space="preserve">ALT URGELL, L'           </t>
  </si>
  <si>
    <t>25006</t>
  </si>
  <si>
    <t>ALBAGES, L'</t>
  </si>
  <si>
    <t xml:space="preserve">GARRIGUES, LES           </t>
  </si>
  <si>
    <t>17003</t>
  </si>
  <si>
    <t>ALBANYA</t>
  </si>
  <si>
    <t>25007</t>
  </si>
  <si>
    <t>ALBATARREC</t>
  </si>
  <si>
    <t>25008</t>
  </si>
  <si>
    <t>ALBESA</t>
  </si>
  <si>
    <t>25009</t>
  </si>
  <si>
    <t>ALBI, L'</t>
  </si>
  <si>
    <t>43002</t>
  </si>
  <si>
    <t>ALBINYANA</t>
  </si>
  <si>
    <t xml:space="preserve">BAIX PENEDÈS, EL         </t>
  </si>
  <si>
    <t>43003</t>
  </si>
  <si>
    <t>ALBIOL, L'</t>
  </si>
  <si>
    <t xml:space="preserve">BAIX CAMP, EL            </t>
  </si>
  <si>
    <t>17004</t>
  </si>
  <si>
    <t>ALBONS</t>
  </si>
  <si>
    <t xml:space="preserve">BAIX EMPORDÀ, EL         </t>
  </si>
  <si>
    <t>43004</t>
  </si>
  <si>
    <t>ALCANAR</t>
  </si>
  <si>
    <t xml:space="preserve">MONTSIÀ, EL              </t>
  </si>
  <si>
    <t>25010</t>
  </si>
  <si>
    <t>ALCANO</t>
  </si>
  <si>
    <t>25011</t>
  </si>
  <si>
    <t>ALCARRAS</t>
  </si>
  <si>
    <t>25012</t>
  </si>
  <si>
    <t>ALCOLETGE</t>
  </si>
  <si>
    <t>43005</t>
  </si>
  <si>
    <t>ALCOVER</t>
  </si>
  <si>
    <t>43904</t>
  </si>
  <si>
    <t>ALDEA, L'</t>
  </si>
  <si>
    <t xml:space="preserve">BAIX EBRE, EL            </t>
  </si>
  <si>
    <t>43006</t>
  </si>
  <si>
    <t>ALDOVER</t>
  </si>
  <si>
    <t>43007</t>
  </si>
  <si>
    <t>ALEIXAR, L'</t>
  </si>
  <si>
    <t>08003</t>
  </si>
  <si>
    <t>ALELLA</t>
  </si>
  <si>
    <t xml:space="preserve">MARESME, EL              </t>
  </si>
  <si>
    <t>43008</t>
  </si>
  <si>
    <t>ALFARA DE CARLES</t>
  </si>
  <si>
    <t>25013</t>
  </si>
  <si>
    <t>ALFARRAS</t>
  </si>
  <si>
    <t>25014</t>
  </si>
  <si>
    <t>ALFES</t>
  </si>
  <si>
    <t>43009</t>
  </si>
  <si>
    <t>ALFORJA</t>
  </si>
  <si>
    <t>25015</t>
  </si>
  <si>
    <t>ALGERRI</t>
  </si>
  <si>
    <t>25016</t>
  </si>
  <si>
    <t>ALGUAIRE</t>
  </si>
  <si>
    <t>25017</t>
  </si>
  <si>
    <t>ALINS</t>
  </si>
  <si>
    <t xml:space="preserve">PALLARS SOBIRÀ, EL       </t>
  </si>
  <si>
    <t>43010</t>
  </si>
  <si>
    <t>ALIO</t>
  </si>
  <si>
    <t>25019</t>
  </si>
  <si>
    <t>ALMACELLES</t>
  </si>
  <si>
    <t>25020</t>
  </si>
  <si>
    <t>ALMATRET</t>
  </si>
  <si>
    <t>25021</t>
  </si>
  <si>
    <t>ALMENAR</t>
  </si>
  <si>
    <t>43011</t>
  </si>
  <si>
    <t>ALMOSTER</t>
  </si>
  <si>
    <t>25022</t>
  </si>
  <si>
    <t>ALOS DE BALAGUER</t>
  </si>
  <si>
    <t>17006</t>
  </si>
  <si>
    <t>ALP</t>
  </si>
  <si>
    <t xml:space="preserve">CERDANYA, LA             </t>
  </si>
  <si>
    <t>08004</t>
  </si>
  <si>
    <t>ALPENS</t>
  </si>
  <si>
    <t xml:space="preserve">OSONA                    </t>
  </si>
  <si>
    <t>25023</t>
  </si>
  <si>
    <t>ALPICAT</t>
  </si>
  <si>
    <t>25024</t>
  </si>
  <si>
    <t>ALT ANEU</t>
  </si>
  <si>
    <t>43012</t>
  </si>
  <si>
    <t>ALTAFULLA</t>
  </si>
  <si>
    <t xml:space="preserve">TARRAGONÈS, EL           </t>
  </si>
  <si>
    <t>17007</t>
  </si>
  <si>
    <t>AMER</t>
  </si>
  <si>
    <t xml:space="preserve">SELVA, LA                </t>
  </si>
  <si>
    <t>43013</t>
  </si>
  <si>
    <t>AMETLLA DE MAR, L'</t>
  </si>
  <si>
    <t>08005</t>
  </si>
  <si>
    <t>AMETLLA DEL VALLES, L'</t>
  </si>
  <si>
    <t>43906</t>
  </si>
  <si>
    <t>AMPOLLA, L'</t>
  </si>
  <si>
    <t>43014</t>
  </si>
  <si>
    <t>AMPOSTA</t>
  </si>
  <si>
    <t>17008</t>
  </si>
  <si>
    <t>ANGLES</t>
  </si>
  <si>
    <t>25027</t>
  </si>
  <si>
    <t>ANGLESOLA</t>
  </si>
  <si>
    <t>25029</t>
  </si>
  <si>
    <t>ARBECA</t>
  </si>
  <si>
    <t>43016</t>
  </si>
  <si>
    <t>ARBOÇ, L'</t>
  </si>
  <si>
    <t>43015</t>
  </si>
  <si>
    <t>ARBOLI</t>
  </si>
  <si>
    <t>17009</t>
  </si>
  <si>
    <t>ARBUCIES</t>
  </si>
  <si>
    <t>08006</t>
  </si>
  <si>
    <t>ARENYS DE MAR</t>
  </si>
  <si>
    <t>08007</t>
  </si>
  <si>
    <t>ARENYS DE MUNT</t>
  </si>
  <si>
    <t>17010</t>
  </si>
  <si>
    <t>ARGELAGUER</t>
  </si>
  <si>
    <t xml:space="preserve">GARROTXA, LA             </t>
  </si>
  <si>
    <t>08008</t>
  </si>
  <si>
    <t>ARGENÇOLA</t>
  </si>
  <si>
    <t xml:space="preserve">ANOIA, L'                </t>
  </si>
  <si>
    <t>43017</t>
  </si>
  <si>
    <t>ARGENTERA, L'</t>
  </si>
  <si>
    <t>08009</t>
  </si>
  <si>
    <t>ARGENTONA</t>
  </si>
  <si>
    <t>17011</t>
  </si>
  <si>
    <t>ARMENTERA, L'</t>
  </si>
  <si>
    <t>Sense dades</t>
  </si>
  <si>
    <t>43018</t>
  </si>
  <si>
    <t>ARNES</t>
  </si>
  <si>
    <t xml:space="preserve">TERRA ALTA               </t>
  </si>
  <si>
    <t>25031</t>
  </si>
  <si>
    <t>ARRES</t>
  </si>
  <si>
    <t xml:space="preserve">VAL D'ARAN, LA           </t>
  </si>
  <si>
    <t>25032</t>
  </si>
  <si>
    <t>ARSEGUEL</t>
  </si>
  <si>
    <t>08010</t>
  </si>
  <si>
    <t>ARTES</t>
  </si>
  <si>
    <t>25033</t>
  </si>
  <si>
    <t>ARTESA DE LLEIDA</t>
  </si>
  <si>
    <t>25034</t>
  </si>
  <si>
    <t>ARTESA DE SEGRE</t>
  </si>
  <si>
    <t>43019</t>
  </si>
  <si>
    <t>ASCO</t>
  </si>
  <si>
    <t xml:space="preserve">RIBERA D'EBRE, LA        </t>
  </si>
  <si>
    <t>25036</t>
  </si>
  <si>
    <t>ASPA</t>
  </si>
  <si>
    <t>25037</t>
  </si>
  <si>
    <t>AVELLANES I SANTA LINYA, LES</t>
  </si>
  <si>
    <t>08011</t>
  </si>
  <si>
    <t>AVIA</t>
  </si>
  <si>
    <t xml:space="preserve">BERGUEDÀ, EL             </t>
  </si>
  <si>
    <t>08012</t>
  </si>
  <si>
    <t>AVINYO</t>
  </si>
  <si>
    <t>17012</t>
  </si>
  <si>
    <t>AVINYONET DE PUIGVENTOS</t>
  </si>
  <si>
    <t>08013</t>
  </si>
  <si>
    <t>AVINYONET DEL PENEDES</t>
  </si>
  <si>
    <t xml:space="preserve">ALT PENEDÈS, L'          </t>
  </si>
  <si>
    <t>08015</t>
  </si>
  <si>
    <t>BADALONA</t>
  </si>
  <si>
    <t xml:space="preserve">BARCELONÈS, EL           </t>
  </si>
  <si>
    <t>08904</t>
  </si>
  <si>
    <t>BADIA DEL VALLES</t>
  </si>
  <si>
    <t xml:space="preserve">VALLÈS OCCIDENTAL, EL    </t>
  </si>
  <si>
    <t>08016</t>
  </si>
  <si>
    <t>BAGA</t>
  </si>
  <si>
    <t>25039</t>
  </si>
  <si>
    <t>BAIX PALLARS</t>
  </si>
  <si>
    <t>25040</t>
  </si>
  <si>
    <t>BALAGUER</t>
  </si>
  <si>
    <t>08017</t>
  </si>
  <si>
    <t>BALENYA</t>
  </si>
  <si>
    <t>08018</t>
  </si>
  <si>
    <t>BALSARENY</t>
  </si>
  <si>
    <t>43020</t>
  </si>
  <si>
    <t>BANYERES DEL PENEDES</t>
  </si>
  <si>
    <t>17015</t>
  </si>
  <si>
    <t>BANYOLES</t>
  </si>
  <si>
    <t xml:space="preserve">PLA DE L'ESTANY, EL      </t>
  </si>
  <si>
    <t>25041</t>
  </si>
  <si>
    <t>BARBENS</t>
  </si>
  <si>
    <t xml:space="preserve">PLA D'URGELL, EL         </t>
  </si>
  <si>
    <t>43021</t>
  </si>
  <si>
    <t>BARBERA DE LA CONCA</t>
  </si>
  <si>
    <t xml:space="preserve">CONCA DE BARBERÀ, LA     </t>
  </si>
  <si>
    <t>08252</t>
  </si>
  <si>
    <t>BARBERA DEL VALLES</t>
  </si>
  <si>
    <t>08019</t>
  </si>
  <si>
    <t>BARCELONA</t>
  </si>
  <si>
    <t>25042</t>
  </si>
  <si>
    <t>BARONIA DE RIALB</t>
  </si>
  <si>
    <t>17016</t>
  </si>
  <si>
    <t>BASCARA</t>
  </si>
  <si>
    <t>25044</t>
  </si>
  <si>
    <t>BASSELLA</t>
  </si>
  <si>
    <t>43022</t>
  </si>
  <si>
    <t>BATEA</t>
  </si>
  <si>
    <t>25045</t>
  </si>
  <si>
    <t>BAUSEN</t>
  </si>
  <si>
    <t>08020</t>
  </si>
  <si>
    <t>BEGUES</t>
  </si>
  <si>
    <t>17013</t>
  </si>
  <si>
    <t>BEGUR</t>
  </si>
  <si>
    <t>25046</t>
  </si>
  <si>
    <t>BELIANES</t>
  </si>
  <si>
    <t>25170</t>
  </si>
  <si>
    <t>BELLAGUARDA</t>
  </si>
  <si>
    <t>17018</t>
  </si>
  <si>
    <t>BELLCAIRE D'EMPORDA</t>
  </si>
  <si>
    <t>25047</t>
  </si>
  <si>
    <t>BELLCAIRE D'URGELL</t>
  </si>
  <si>
    <t>25048</t>
  </si>
  <si>
    <t>BELL-LLOC D'URGELL</t>
  </si>
  <si>
    <t>43023</t>
  </si>
  <si>
    <t>BELLMUNT DE PRIORAT</t>
  </si>
  <si>
    <t xml:space="preserve">PRIORAT, EL              </t>
  </si>
  <si>
    <t>25049</t>
  </si>
  <si>
    <t>BELLMUNT D'URGELL</t>
  </si>
  <si>
    <t>08021</t>
  </si>
  <si>
    <t>BELLPRAT</t>
  </si>
  <si>
    <t>25050</t>
  </si>
  <si>
    <t>BELLPUIG</t>
  </si>
  <si>
    <t>43024</t>
  </si>
  <si>
    <t>BELLVEI</t>
  </si>
  <si>
    <t>25051</t>
  </si>
  <si>
    <t>BELLVER DE CERDANYA</t>
  </si>
  <si>
    <t>25052</t>
  </si>
  <si>
    <t>BELLVIS</t>
  </si>
  <si>
    <t>25053</t>
  </si>
  <si>
    <t>BENAVENT DE SEGRIA</t>
  </si>
  <si>
    <t>43025</t>
  </si>
  <si>
    <t>BENIFALLET</t>
  </si>
  <si>
    <t>43026</t>
  </si>
  <si>
    <t>BENISSANET</t>
  </si>
  <si>
    <t>08022</t>
  </si>
  <si>
    <t>BERGA</t>
  </si>
  <si>
    <t>17019</t>
  </si>
  <si>
    <t>BESALU</t>
  </si>
  <si>
    <t>17020</t>
  </si>
  <si>
    <t>BESCANO</t>
  </si>
  <si>
    <t xml:space="preserve">GIRONÈS, EL     </t>
  </si>
  <si>
    <t>17021</t>
  </si>
  <si>
    <t>BEUDA</t>
  </si>
  <si>
    <t>08023</t>
  </si>
  <si>
    <t>BIGUES I RIELLS</t>
  </si>
  <si>
    <t>25055</t>
  </si>
  <si>
    <t>BIOSCA</t>
  </si>
  <si>
    <t xml:space="preserve">SEGARRA, LA              </t>
  </si>
  <si>
    <t>43027</t>
  </si>
  <si>
    <t>43028</t>
  </si>
  <si>
    <t>BISBAL DEL PENEDES, LA</t>
  </si>
  <si>
    <t>17022</t>
  </si>
  <si>
    <t>BISBAL D'EMPORDA, LA</t>
  </si>
  <si>
    <t>17234</t>
  </si>
  <si>
    <t>BIURE</t>
  </si>
  <si>
    <t>43029</t>
  </si>
  <si>
    <t>BLANCAFORT</t>
  </si>
  <si>
    <t>17023</t>
  </si>
  <si>
    <t>BLANES</t>
  </si>
  <si>
    <t>17029</t>
  </si>
  <si>
    <t>BOADELLA I LES ESCAULES</t>
  </si>
  <si>
    <t>17024</t>
  </si>
  <si>
    <t>BOLVIR</t>
  </si>
  <si>
    <t>43030</t>
  </si>
  <si>
    <t>BONASTRE</t>
  </si>
  <si>
    <t>25057</t>
  </si>
  <si>
    <t>BORDES, ES</t>
  </si>
  <si>
    <t>17025</t>
  </si>
  <si>
    <t>BORDILS</t>
  </si>
  <si>
    <t>25058</t>
  </si>
  <si>
    <t>BORGES BLANQUES, LES</t>
  </si>
  <si>
    <t>43031</t>
  </si>
  <si>
    <t>BORGES DEL CAMP, LES</t>
  </si>
  <si>
    <t>17026</t>
  </si>
  <si>
    <t>BORRASSA</t>
  </si>
  <si>
    <t>08024</t>
  </si>
  <si>
    <t>BORREDA</t>
  </si>
  <si>
    <t>25059</t>
  </si>
  <si>
    <t>BOSSOST</t>
  </si>
  <si>
    <t>43032</t>
  </si>
  <si>
    <t>BOT</t>
  </si>
  <si>
    <t>43033</t>
  </si>
  <si>
    <t>BOTARELL</t>
  </si>
  <si>
    <t>25056</t>
  </si>
  <si>
    <t>BOVERA</t>
  </si>
  <si>
    <t>43034</t>
  </si>
  <si>
    <t>BRAFIM</t>
  </si>
  <si>
    <t>17027</t>
  </si>
  <si>
    <t>BREDA</t>
  </si>
  <si>
    <t>08025</t>
  </si>
  <si>
    <t>BRUC, EL</t>
  </si>
  <si>
    <t>08026</t>
  </si>
  <si>
    <t>BRULL, EL</t>
  </si>
  <si>
    <t>17028</t>
  </si>
  <si>
    <t>BRUNYOLA</t>
  </si>
  <si>
    <t>43035</t>
  </si>
  <si>
    <t>CABACES</t>
  </si>
  <si>
    <t>25060</t>
  </si>
  <si>
    <t>CABANABONA</t>
  </si>
  <si>
    <t>17031</t>
  </si>
  <si>
    <t>CABANELLES</t>
  </si>
  <si>
    <t>17030</t>
  </si>
  <si>
    <t>CABANES</t>
  </si>
  <si>
    <t>08027</t>
  </si>
  <si>
    <t>CABANYES, LES</t>
  </si>
  <si>
    <t>25061</t>
  </si>
  <si>
    <t>CABO</t>
  </si>
  <si>
    <t>43036</t>
  </si>
  <si>
    <t>CABRA DEL CAMP</t>
  </si>
  <si>
    <t>08028</t>
  </si>
  <si>
    <t>CABRERA D'ANOIA</t>
  </si>
  <si>
    <t>08029</t>
  </si>
  <si>
    <t>CABRERA DE MAR</t>
  </si>
  <si>
    <t>08030</t>
  </si>
  <si>
    <t>CABRILS</t>
  </si>
  <si>
    <t>17032</t>
  </si>
  <si>
    <t>CADAQUES</t>
  </si>
  <si>
    <t>08031</t>
  </si>
  <si>
    <t>CALAF</t>
  </si>
  <si>
    <t>43037</t>
  </si>
  <si>
    <t>CALAFELL</t>
  </si>
  <si>
    <t>08034</t>
  </si>
  <si>
    <t>CALDERS</t>
  </si>
  <si>
    <t>Moianès</t>
  </si>
  <si>
    <t>17033</t>
  </si>
  <si>
    <t>CALDES DE MALAVELLA</t>
  </si>
  <si>
    <t>08033</t>
  </si>
  <si>
    <t>CALDES DE MONTBUI</t>
  </si>
  <si>
    <t>08032</t>
  </si>
  <si>
    <t>CALDES D'ESTRAC</t>
  </si>
  <si>
    <t>08035</t>
  </si>
  <si>
    <t>CALELLA</t>
  </si>
  <si>
    <t>08037</t>
  </si>
  <si>
    <t>CALLDETENES</t>
  </si>
  <si>
    <t>08038</t>
  </si>
  <si>
    <t>CALLUS</t>
  </si>
  <si>
    <t>17034</t>
  </si>
  <si>
    <t>CALONGE</t>
  </si>
  <si>
    <t>08036</t>
  </si>
  <si>
    <t>CALONGE DE SEGARRA</t>
  </si>
  <si>
    <t>25062</t>
  </si>
  <si>
    <t>CAMARASA</t>
  </si>
  <si>
    <t>43903</t>
  </si>
  <si>
    <t>CAMARLES</t>
  </si>
  <si>
    <t>43038</t>
  </si>
  <si>
    <t>CAMBRILS</t>
  </si>
  <si>
    <t>17035</t>
  </si>
  <si>
    <t>CAMOS</t>
  </si>
  <si>
    <t>17036</t>
  </si>
  <si>
    <t>CAMPDEVANOL</t>
  </si>
  <si>
    <t xml:space="preserve">RIPOLLÈS, EL             </t>
  </si>
  <si>
    <t>17037</t>
  </si>
  <si>
    <t>CAMPELLES</t>
  </si>
  <si>
    <t>08039</t>
  </si>
  <si>
    <t>CAMPINS</t>
  </si>
  <si>
    <t>17038</t>
  </si>
  <si>
    <t>CAMPLLONG</t>
  </si>
  <si>
    <t>17039</t>
  </si>
  <si>
    <t>CAMPRODON</t>
  </si>
  <si>
    <t>25063</t>
  </si>
  <si>
    <t>CANEJAN</t>
  </si>
  <si>
    <t>17040</t>
  </si>
  <si>
    <t>CANET D'ADRI</t>
  </si>
  <si>
    <t>08040</t>
  </si>
  <si>
    <t>CANET DE MAR</t>
  </si>
  <si>
    <t>43907</t>
  </si>
  <si>
    <t>CANONJA, LA</t>
  </si>
  <si>
    <t>08041</t>
  </si>
  <si>
    <t>CANOVELLES</t>
  </si>
  <si>
    <t>08042</t>
  </si>
  <si>
    <t>CANOVES I SAMALUS</t>
  </si>
  <si>
    <t>17041</t>
  </si>
  <si>
    <t>CANTALLOPS</t>
  </si>
  <si>
    <t>08043</t>
  </si>
  <si>
    <t>CANYELLES</t>
  </si>
  <si>
    <t xml:space="preserve">GARRAF, EL               </t>
  </si>
  <si>
    <t>43039</t>
  </si>
  <si>
    <t>CAPAFONTS</t>
  </si>
  <si>
    <t>43040</t>
  </si>
  <si>
    <t>CAPÇANES</t>
  </si>
  <si>
    <t>08044</t>
  </si>
  <si>
    <t>CAPELLADES</t>
  </si>
  <si>
    <t>17042</t>
  </si>
  <si>
    <t>CAPMANY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</si>
  <si>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</si>
  <si>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</si>
  <si>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</si>
  <si>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</si>
  <si>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</si>
  <si>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</si>
  <si>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</si>
  <si>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</si>
  <si>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43041</t>
  </si>
  <si>
    <t>CASERES</t>
  </si>
  <si>
    <t>17044</t>
  </si>
  <si>
    <t>CASSA DE LA SELVA</t>
  </si>
  <si>
    <t>08049</t>
  </si>
  <si>
    <t>CASSERRES</t>
  </si>
  <si>
    <t>08057</t>
  </si>
  <si>
    <t>CASTELL DE L'ARENY</t>
  </si>
  <si>
    <t>25904</t>
  </si>
  <si>
    <t>CASTELL DE MUR</t>
  </si>
  <si>
    <t>25064</t>
  </si>
  <si>
    <t>CASTELLAR DE LA RIBERA</t>
  </si>
  <si>
    <t xml:space="preserve">SOLSONÈS, EL             </t>
  </si>
  <si>
    <t>08052</t>
  </si>
  <si>
    <t>CASTELLAR DE N'HUG</t>
  </si>
  <si>
    <t>08050</t>
  </si>
  <si>
    <t>CASTELLAR DEL RIU</t>
  </si>
  <si>
    <t>08051</t>
  </si>
  <si>
    <t>CASTELLAR DEL VALLES</t>
  </si>
  <si>
    <t>08053</t>
  </si>
  <si>
    <t>CASTELLBELL I EL VILAR</t>
  </si>
  <si>
    <t>08054</t>
  </si>
  <si>
    <t>CASTELLBISBAL</t>
  </si>
  <si>
    <t>08055</t>
  </si>
  <si>
    <t>CASTELLCIR</t>
  </si>
  <si>
    <t>25067</t>
  </si>
  <si>
    <t>CASTELLDANS</t>
  </si>
  <si>
    <t>08056</t>
  </si>
  <si>
    <t>CASTELLDEFELS</t>
  </si>
  <si>
    <t>08058</t>
  </si>
  <si>
    <t>CASTELLET I LA GORNAL</t>
  </si>
  <si>
    <t>17046</t>
  </si>
  <si>
    <t>CASTELLFOLLIT DE LA ROCA</t>
  </si>
  <si>
    <t>08060</t>
  </si>
  <si>
    <t>CASTELLFOLLIT DE RIUBREGOS</t>
  </si>
  <si>
    <t>08059</t>
  </si>
  <si>
    <t>CASTELLFOLLIT DEL BOIX</t>
  </si>
  <si>
    <t>08061</t>
  </si>
  <si>
    <t>CASTELLGALÍ</t>
  </si>
  <si>
    <t>08062</t>
  </si>
  <si>
    <t>CASTELLNOU DE BAGES</t>
  </si>
  <si>
    <t>25068</t>
  </si>
  <si>
    <t>CASTELLNOU DE SEANA</t>
  </si>
  <si>
    <t>25069</t>
  </si>
  <si>
    <t>CASTELLO DE FARFANYA</t>
  </si>
  <si>
    <t>17047</t>
  </si>
  <si>
    <t>CASTELLO D'EMPURIES</t>
  </si>
  <si>
    <t>08063</t>
  </si>
  <si>
    <t>CASTELLOLI</t>
  </si>
  <si>
    <t>17048</t>
  </si>
  <si>
    <t>25070</t>
  </si>
  <si>
    <t>CASTELLSERA</t>
  </si>
  <si>
    <t>08064</t>
  </si>
  <si>
    <t>CASTELLTERÇOL</t>
  </si>
  <si>
    <t>43042</t>
  </si>
  <si>
    <t>CASTELLVELL DEL CAMP</t>
  </si>
  <si>
    <t>08065</t>
  </si>
  <si>
    <t>CASTELLVI DE LA MARCA</t>
  </si>
  <si>
    <t>08066</t>
  </si>
  <si>
    <t>CASTELLVI DE ROSANES</t>
  </si>
  <si>
    <t>43043</t>
  </si>
  <si>
    <t>CATLLAR, EL</t>
  </si>
  <si>
    <t>25071</t>
  </si>
  <si>
    <t>CAVA</t>
  </si>
  <si>
    <t>17189</t>
  </si>
  <si>
    <t>CELLERA DE TER, LA</t>
  </si>
  <si>
    <t>17049</t>
  </si>
  <si>
    <t>CELRA</t>
  </si>
  <si>
    <t>08067</t>
  </si>
  <si>
    <t>CENTELLES</t>
  </si>
  <si>
    <t>08268</t>
  </si>
  <si>
    <t>CERCS</t>
  </si>
  <si>
    <t>08266</t>
  </si>
  <si>
    <t>CERDANYOLA DEL VALLES</t>
  </si>
  <si>
    <t>08068</t>
  </si>
  <si>
    <t>CERVELLO</t>
  </si>
  <si>
    <t>25072</t>
  </si>
  <si>
    <t>CERVERA</t>
  </si>
  <si>
    <t>25073</t>
  </si>
  <si>
    <t>CERVIA DE LES GARRIGUES</t>
  </si>
  <si>
    <t>17050</t>
  </si>
  <si>
    <t>CERVIA DE TER</t>
  </si>
  <si>
    <t>17051</t>
  </si>
  <si>
    <t>CISTELLA</t>
  </si>
  <si>
    <t>25074</t>
  </si>
  <si>
    <t>CIUTADILLA</t>
  </si>
  <si>
    <t>25075</t>
  </si>
  <si>
    <t>CLARIANA DE CARDENER</t>
  </si>
  <si>
    <t>25076</t>
  </si>
  <si>
    <t>COGUL, EL</t>
  </si>
  <si>
    <t>17054</t>
  </si>
  <si>
    <t>COLERA</t>
  </si>
  <si>
    <t>25077</t>
  </si>
  <si>
    <t>COLL DE NARGO</t>
  </si>
  <si>
    <t>08069</t>
  </si>
  <si>
    <t>COLLBATO</t>
  </si>
  <si>
    <t>43045</t>
  </si>
  <si>
    <t>COLLDEJOU</t>
  </si>
  <si>
    <t>08070</t>
  </si>
  <si>
    <t>COLLSUSPINA</t>
  </si>
  <si>
    <t>17055</t>
  </si>
  <si>
    <t>COLOMERS</t>
  </si>
  <si>
    <t>25163</t>
  </si>
  <si>
    <t>COMA I LA PEDRA, LA</t>
  </si>
  <si>
    <t>25161</t>
  </si>
  <si>
    <t>CONCA DE DALT</t>
  </si>
  <si>
    <t>43046</t>
  </si>
  <si>
    <t>CONESA</t>
  </si>
  <si>
    <t>43047</t>
  </si>
  <si>
    <t>CONSTANTI</t>
  </si>
  <si>
    <t>08071</t>
  </si>
  <si>
    <t>COPONS</t>
  </si>
  <si>
    <t>08072</t>
  </si>
  <si>
    <t>CORBERA DE LLOBREGAT</t>
  </si>
  <si>
    <t>43048</t>
  </si>
  <si>
    <t>CORBERA D'EBRE</t>
  </si>
  <si>
    <t>25078</t>
  </si>
  <si>
    <t>CORBINS</t>
  </si>
  <si>
    <t>17057</t>
  </si>
  <si>
    <t>CORÇA</t>
  </si>
  <si>
    <t>08073</t>
  </si>
  <si>
    <t>CORNELLA DE LLOBREGAT</t>
  </si>
  <si>
    <t>17056</t>
  </si>
  <si>
    <t>CORNELLA DEL TERRI</t>
  </si>
  <si>
    <t>43049</t>
  </si>
  <si>
    <t>CORNUDELLA DE MONTSANT</t>
  </si>
  <si>
    <t>43050</t>
  </si>
  <si>
    <t>CREIXELL</t>
  </si>
  <si>
    <t>17058</t>
  </si>
  <si>
    <t>CRESPIA</t>
  </si>
  <si>
    <t>17901</t>
  </si>
  <si>
    <t>CRUILLES-MONELLS-SANT SADURNI DE L'HEURA</t>
  </si>
  <si>
    <t>08074</t>
  </si>
  <si>
    <t>CUBELLES</t>
  </si>
  <si>
    <t>25079</t>
  </si>
  <si>
    <t>CUBELLS</t>
  </si>
  <si>
    <t>43051</t>
  </si>
  <si>
    <t>CUNIT</t>
  </si>
  <si>
    <t>17060</t>
  </si>
  <si>
    <t>DARNIUS</t>
  </si>
  <si>
    <t>17061</t>
  </si>
  <si>
    <t>DAS</t>
  </si>
  <si>
    <t>43901</t>
  </si>
  <si>
    <t>DELTEBRE</t>
  </si>
  <si>
    <t>08075</t>
  </si>
  <si>
    <t>DOSRIUS</t>
  </si>
  <si>
    <t>43053</t>
  </si>
  <si>
    <t>DUESAIGÜES</t>
  </si>
  <si>
    <t>17062</t>
  </si>
  <si>
    <t>ESCALA, L'</t>
  </si>
  <si>
    <t>08076</t>
  </si>
  <si>
    <t>ESPARREGUERA</t>
  </si>
  <si>
    <t>17063</t>
  </si>
  <si>
    <t>ESPINELVES</t>
  </si>
  <si>
    <t>25081</t>
  </si>
  <si>
    <t>ESPLUGA CALBA, L'</t>
  </si>
  <si>
    <t>43054</t>
  </si>
  <si>
    <t>ESPLUGA DE FRANCOLI, L'</t>
  </si>
  <si>
    <t>08077</t>
  </si>
  <si>
    <t>ESPLUGUES DE LLOBREGAT</t>
  </si>
  <si>
    <t>17064</t>
  </si>
  <si>
    <t>ESPOLLA</t>
  </si>
  <si>
    <t>17065</t>
  </si>
  <si>
    <t>ESPONELLA</t>
  </si>
  <si>
    <t>25082</t>
  </si>
  <si>
    <t>ESPOT</t>
  </si>
  <si>
    <t>08078</t>
  </si>
  <si>
    <t>ESPUNYOLA, L'</t>
  </si>
  <si>
    <t>08254</t>
  </si>
  <si>
    <t>ESQUIROL, L'</t>
  </si>
  <si>
    <t>25088</t>
  </si>
  <si>
    <t>ESTAMARIU</t>
  </si>
  <si>
    <t>08079</t>
  </si>
  <si>
    <t>ESTANY, L'</t>
  </si>
  <si>
    <t>25085</t>
  </si>
  <si>
    <t>ESTARAS</t>
  </si>
  <si>
    <t>25086</t>
  </si>
  <si>
    <t>ESTERRI D'ANEU</t>
  </si>
  <si>
    <t>25087</t>
  </si>
  <si>
    <t>ESTERRI DE CARDOS</t>
  </si>
  <si>
    <t>43055</t>
  </si>
  <si>
    <t>FALSET</t>
  </si>
  <si>
    <t>17005</t>
  </si>
  <si>
    <t>FAR D'EMPORDA, EL</t>
  </si>
  <si>
    <t>25089</t>
  </si>
  <si>
    <t>FARRERA</t>
  </si>
  <si>
    <t>43056</t>
  </si>
  <si>
    <t>FATARELLA, LA</t>
  </si>
  <si>
    <t>43057</t>
  </si>
  <si>
    <t>FEBRO, LA</t>
  </si>
  <si>
    <t>08134</t>
  </si>
  <si>
    <t>FIGARO-MONTMANY</t>
  </si>
  <si>
    <t>08080</t>
  </si>
  <si>
    <t>FIGOLS</t>
  </si>
  <si>
    <t>25908</t>
  </si>
  <si>
    <t>FIGOLS I ALINYA</t>
  </si>
  <si>
    <t>43058</t>
  </si>
  <si>
    <t>FIGUERA, LA</t>
  </si>
  <si>
    <t>17066</t>
  </si>
  <si>
    <t>FIGUERES</t>
  </si>
  <si>
    <t>43059</t>
  </si>
  <si>
    <t>FIGUEROLA DEL CAMP</t>
  </si>
  <si>
    <t>17067</t>
  </si>
  <si>
    <t>FLAÇA</t>
  </si>
  <si>
    <t>43060</t>
  </si>
  <si>
    <t>FLIX</t>
  </si>
  <si>
    <t>25092</t>
  </si>
  <si>
    <t>FLORESTA, LA</t>
  </si>
  <si>
    <t>08082</t>
  </si>
  <si>
    <t>FOGARS DE LA SELVA</t>
  </si>
  <si>
    <t>08081</t>
  </si>
  <si>
    <t>FOGARS DE MONTCLUS</t>
  </si>
  <si>
    <t>17068</t>
  </si>
  <si>
    <t>FOIXA</t>
  </si>
  <si>
    <t>08083</t>
  </si>
  <si>
    <t>FOLGUEROLES</t>
  </si>
  <si>
    <t>25093</t>
  </si>
  <si>
    <t>FONDARELLA</t>
  </si>
  <si>
    <t>08084</t>
  </si>
  <si>
    <t>FONOLLOSA</t>
  </si>
  <si>
    <t>17069</t>
  </si>
  <si>
    <t>FONTANALS DE CERDANYA</t>
  </si>
  <si>
    <t>17070</t>
  </si>
  <si>
    <t>FONTANILLES</t>
  </si>
  <si>
    <t>17071</t>
  </si>
  <si>
    <t>FONTCOBERTA</t>
  </si>
  <si>
    <t>08085</t>
  </si>
  <si>
    <t>FONT-RUBI</t>
  </si>
  <si>
    <t>25094</t>
  </si>
  <si>
    <t>FORADADA</t>
  </si>
  <si>
    <t>17902</t>
  </si>
  <si>
    <t>FORALLAC</t>
  </si>
  <si>
    <t>43061</t>
  </si>
  <si>
    <t>FORES</t>
  </si>
  <si>
    <t>17073</t>
  </si>
  <si>
    <t>FORNELLS DE LA SELVA</t>
  </si>
  <si>
    <t>17074</t>
  </si>
  <si>
    <t>FORTIA</t>
  </si>
  <si>
    <t>08086</t>
  </si>
  <si>
    <t>FRANQUESES DEL VALLES, LES</t>
  </si>
  <si>
    <t>43062</t>
  </si>
  <si>
    <t>FREGINALS</t>
  </si>
  <si>
    <t>25096</t>
  </si>
  <si>
    <t>FULIOLA, LA</t>
  </si>
  <si>
    <t>25097</t>
  </si>
  <si>
    <t>FULLEDA</t>
  </si>
  <si>
    <t>08090</t>
  </si>
  <si>
    <t>GAIA</t>
  </si>
  <si>
    <t>43063</t>
  </si>
  <si>
    <t>GALERA, LA</t>
  </si>
  <si>
    <t>08087</t>
  </si>
  <si>
    <t>GALLIFA</t>
  </si>
  <si>
    <t>43064</t>
  </si>
  <si>
    <t>GANDESA</t>
  </si>
  <si>
    <t>43065</t>
  </si>
  <si>
    <t>GARCIA</t>
  </si>
  <si>
    <t>43066</t>
  </si>
  <si>
    <t>GARIDELLS, ELS</t>
  </si>
  <si>
    <t>08088</t>
  </si>
  <si>
    <t>GARRIGA, LA</t>
  </si>
  <si>
    <t>17075</t>
  </si>
  <si>
    <t>GARRIGAS</t>
  </si>
  <si>
    <t>17076</t>
  </si>
  <si>
    <t>GARRIGOLES</t>
  </si>
  <si>
    <t>17077</t>
  </si>
  <si>
    <t>GARRIGUELLA</t>
  </si>
  <si>
    <t>08089</t>
  </si>
  <si>
    <t>GAVA</t>
  </si>
  <si>
    <t>25098</t>
  </si>
  <si>
    <t>GAVET DE LA CONCA</t>
  </si>
  <si>
    <t>08091</t>
  </si>
  <si>
    <t>GELIDA</t>
  </si>
  <si>
    <t>17078</t>
  </si>
  <si>
    <t>GER</t>
  </si>
  <si>
    <t>25912</t>
  </si>
  <si>
    <t>GIMENELLS I EL PLA DE LA FONT</t>
  </si>
  <si>
    <t>43067</t>
  </si>
  <si>
    <t>GINESTAR</t>
  </si>
  <si>
    <t>17079</t>
  </si>
  <si>
    <t>GIRONA</t>
  </si>
  <si>
    <t>08092</t>
  </si>
  <si>
    <t>GIRONELLA</t>
  </si>
  <si>
    <t>08093</t>
  </si>
  <si>
    <t>GISCLARENY</t>
  </si>
  <si>
    <t>43068</t>
  </si>
  <si>
    <t>GODALL</t>
  </si>
  <si>
    <t>25099</t>
  </si>
  <si>
    <t>GOLMES</t>
  </si>
  <si>
    <t>17080</t>
  </si>
  <si>
    <t>GOMBREN</t>
  </si>
  <si>
    <t>25100</t>
  </si>
  <si>
    <t>GOSOL</t>
  </si>
  <si>
    <t>08094</t>
  </si>
  <si>
    <t>GRANADA, LA</t>
  </si>
  <si>
    <t>25101</t>
  </si>
  <si>
    <t>GRANADELLA, LA</t>
  </si>
  <si>
    <t>08095</t>
  </si>
  <si>
    <t>GRANERA</t>
  </si>
  <si>
    <t>25102</t>
  </si>
  <si>
    <t>GRANJA D'ESCARP, LA</t>
  </si>
  <si>
    <t>08096</t>
  </si>
  <si>
    <t>GRANOLLERS</t>
  </si>
  <si>
    <t>25103</t>
  </si>
  <si>
    <t>GRANYANELLA</t>
  </si>
  <si>
    <t>25105</t>
  </si>
  <si>
    <t>GRANYENA DE LES GARRIGUES</t>
  </si>
  <si>
    <t>25104</t>
  </si>
  <si>
    <t>GRANYENA DE SEGARRA</t>
  </si>
  <si>
    <t>43069</t>
  </si>
  <si>
    <t>GRATALLOPS</t>
  </si>
  <si>
    <t>08097</t>
  </si>
  <si>
    <t>GUALBA</t>
  </si>
  <si>
    <t>17081</t>
  </si>
  <si>
    <t>GUALTA</t>
  </si>
  <si>
    <t>08099</t>
  </si>
  <si>
    <t>GUARDIOLA DE BERGUEDA</t>
  </si>
  <si>
    <t>43070</t>
  </si>
  <si>
    <t>GUIAMETS, ELS</t>
  </si>
  <si>
    <t>17082</t>
  </si>
  <si>
    <t>GUILS DE CERDANYA</t>
  </si>
  <si>
    <t>25109</t>
  </si>
  <si>
    <t>GUIMERA</t>
  </si>
  <si>
    <t>25903</t>
  </si>
  <si>
    <t>GUINGUETA D'ANEU, LA</t>
  </si>
  <si>
    <t>25110</t>
  </si>
  <si>
    <t>GUISSONA</t>
  </si>
  <si>
    <t>25111</t>
  </si>
  <si>
    <t>GUIXERS</t>
  </si>
  <si>
    <t>08100</t>
  </si>
  <si>
    <t>GURB</t>
  </si>
  <si>
    <t>43071</t>
  </si>
  <si>
    <t>HORTA DE SANT JOAN</t>
  </si>
  <si>
    <t>08101</t>
  </si>
  <si>
    <t>HOSPITALET DE LLOBREGAT, L'</t>
  </si>
  <si>
    <t>08162</t>
  </si>
  <si>
    <t>HOSTALETS DE PIEROLA, ELS</t>
  </si>
  <si>
    <t>17083</t>
  </si>
  <si>
    <t>HOSTALRIC</t>
  </si>
  <si>
    <t>08102</t>
  </si>
  <si>
    <t>IGUALADA</t>
  </si>
  <si>
    <t>25115</t>
  </si>
  <si>
    <t>ISONA I CONCA DELLA</t>
  </si>
  <si>
    <t>17084</t>
  </si>
  <si>
    <t>ISOVOL</t>
  </si>
  <si>
    <t>25112</t>
  </si>
  <si>
    <t>IVARS DE NOGUERA</t>
  </si>
  <si>
    <t>25113</t>
  </si>
  <si>
    <t>IVARS D'URGELL</t>
  </si>
  <si>
    <t>25114</t>
  </si>
  <si>
    <t>IVORRA</t>
  </si>
  <si>
    <t>17085</t>
  </si>
  <si>
    <t>JAFRE</t>
  </si>
  <si>
    <t>17086</t>
  </si>
  <si>
    <t>JONQUERA, LA</t>
  </si>
  <si>
    <t>08103</t>
  </si>
  <si>
    <t>JORBA</t>
  </si>
  <si>
    <t>25910</t>
  </si>
  <si>
    <t>JOSA I TUIXEN</t>
  </si>
  <si>
    <t>17087</t>
  </si>
  <si>
    <t>JUIA</t>
  </si>
  <si>
    <t>25118</t>
  </si>
  <si>
    <t>JUNCOSA</t>
  </si>
  <si>
    <t>25119</t>
  </si>
  <si>
    <t>JUNEDA</t>
  </si>
  <si>
    <t>25121</t>
  </si>
  <si>
    <t>LES</t>
  </si>
  <si>
    <t>25122</t>
  </si>
  <si>
    <t>LINYOLA</t>
  </si>
  <si>
    <t>08104</t>
  </si>
  <si>
    <t>LLACUNA, LA</t>
  </si>
  <si>
    <t>17088</t>
  </si>
  <si>
    <t>LLADO</t>
  </si>
  <si>
    <t>25123</t>
  </si>
  <si>
    <t>LLADORRE</t>
  </si>
  <si>
    <t>25124</t>
  </si>
  <si>
    <t>LLADURS</t>
  </si>
  <si>
    <t>08105</t>
  </si>
  <si>
    <t>LLAGOSTA, LA</t>
  </si>
  <si>
    <t>17089</t>
  </si>
  <si>
    <t>LLAGOSTERA</t>
  </si>
  <si>
    <t>17090</t>
  </si>
  <si>
    <t>LLAMBILLES</t>
  </si>
  <si>
    <t>17091</t>
  </si>
  <si>
    <t>LLANARS</t>
  </si>
  <si>
    <t>17092</t>
  </si>
  <si>
    <t>LLANÇA</t>
  </si>
  <si>
    <t>25125</t>
  </si>
  <si>
    <t>LLARDECANS</t>
  </si>
  <si>
    <t>25126</t>
  </si>
  <si>
    <t>LLAVORSI</t>
  </si>
  <si>
    <t>25120</t>
  </si>
  <si>
    <t>LLEIDA</t>
  </si>
  <si>
    <t>17093</t>
  </si>
  <si>
    <t>LLERS</t>
  </si>
  <si>
    <t>25127</t>
  </si>
  <si>
    <t>LLES DE CERDANYA</t>
  </si>
  <si>
    <t>08107</t>
  </si>
  <si>
    <t>LLIÇA D'AMUNT</t>
  </si>
  <si>
    <t>08108</t>
  </si>
  <si>
    <t>LLIÇA DE VALL</t>
  </si>
  <si>
    <t>25128</t>
  </si>
  <si>
    <t>LLIMIANA</t>
  </si>
  <si>
    <t>08106</t>
  </si>
  <si>
    <t>LLINARS DEL VALLES</t>
  </si>
  <si>
    <t>17094</t>
  </si>
  <si>
    <t>LLIVIA</t>
  </si>
  <si>
    <t>43072</t>
  </si>
  <si>
    <t>LLOAR, EL</t>
  </si>
  <si>
    <t>25129</t>
  </si>
  <si>
    <t>LLOBERA</t>
  </si>
  <si>
    <t>43073</t>
  </si>
  <si>
    <t>LLORAC</t>
  </si>
  <si>
    <t>43074</t>
  </si>
  <si>
    <t>LLORENÇ DEL PENEDES</t>
  </si>
  <si>
    <t>17095</t>
  </si>
  <si>
    <t>LLORET DE MAR</t>
  </si>
  <si>
    <t>17096</t>
  </si>
  <si>
    <t>LLOSSES, LES</t>
  </si>
  <si>
    <t>08109</t>
  </si>
  <si>
    <t>LLUÇA</t>
  </si>
  <si>
    <t>17102</t>
  </si>
  <si>
    <t>MAÇANET DE CABRENYS</t>
  </si>
  <si>
    <t>17103</t>
  </si>
  <si>
    <t>MAÇANET DE LA SELVA</t>
  </si>
  <si>
    <t>17097</t>
  </si>
  <si>
    <t>MADREMANYA</t>
  </si>
  <si>
    <t>17098</t>
  </si>
  <si>
    <t>MAIA DE MONTCAL</t>
  </si>
  <si>
    <t>25133</t>
  </si>
  <si>
    <t>MAIALS</t>
  </si>
  <si>
    <t>25130</t>
  </si>
  <si>
    <t>MALDA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</si>
  <si>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</si>
  <si>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</si>
  <si>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</si>
  <si>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</si>
  <si>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</si>
  <si>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</si>
  <si>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</si>
  <si>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</si>
  <si>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43076</t>
  </si>
  <si>
    <t>MARÇA</t>
  </si>
  <si>
    <t>43075</t>
  </si>
  <si>
    <t>MARGALEF</t>
  </si>
  <si>
    <t>08242</t>
  </si>
  <si>
    <t>MARGANELL</t>
  </si>
  <si>
    <t>08114</t>
  </si>
  <si>
    <t>MARTORELL</t>
  </si>
  <si>
    <t>08115</t>
  </si>
  <si>
    <t>MARTORELLES</t>
  </si>
  <si>
    <t>43077</t>
  </si>
  <si>
    <t>MAS DE BARBERANS</t>
  </si>
  <si>
    <t>17100</t>
  </si>
  <si>
    <t>43078</t>
  </si>
  <si>
    <t>MASDENVERGE</t>
  </si>
  <si>
    <t>08116</t>
  </si>
  <si>
    <t>MASIES DE RODA, LES</t>
  </si>
  <si>
    <t>08117</t>
  </si>
  <si>
    <t>MASIES DE VOLTREGA, LES</t>
  </si>
  <si>
    <t>43079</t>
  </si>
  <si>
    <t>MASLLORENÇ</t>
  </si>
  <si>
    <t>08118</t>
  </si>
  <si>
    <t>MASNOU, EL</t>
  </si>
  <si>
    <t>43080</t>
  </si>
  <si>
    <t>MASO, LA</t>
  </si>
  <si>
    <t>43081</t>
  </si>
  <si>
    <t>MASPUJOLS</t>
  </si>
  <si>
    <t>08119</t>
  </si>
  <si>
    <t>MASQUEFA</t>
  </si>
  <si>
    <t>43082</t>
  </si>
  <si>
    <t>MASROIG, EL</t>
  </si>
  <si>
    <t>25131</t>
  </si>
  <si>
    <t>MASSALCOREIG</t>
  </si>
  <si>
    <t>17101</t>
  </si>
  <si>
    <t>MASSANES</t>
  </si>
  <si>
    <t>25132</t>
  </si>
  <si>
    <t>MASSOTERES</t>
  </si>
  <si>
    <t>08120</t>
  </si>
  <si>
    <t>MATADEPERA</t>
  </si>
  <si>
    <t>08121</t>
  </si>
  <si>
    <t>MATARO</t>
  </si>
  <si>
    <t>MEDINYÀ</t>
  </si>
  <si>
    <t>--</t>
  </si>
  <si>
    <t>08122</t>
  </si>
  <si>
    <t>MEDIONA</t>
  </si>
  <si>
    <t>25134</t>
  </si>
  <si>
    <t>MENARGUENS</t>
  </si>
  <si>
    <t>17099</t>
  </si>
  <si>
    <t>MERANGES</t>
  </si>
  <si>
    <t>17105</t>
  </si>
  <si>
    <t>MIERES</t>
  </si>
  <si>
    <t>43083</t>
  </si>
  <si>
    <t>MILA, EL</t>
  </si>
  <si>
    <t>25135</t>
  </si>
  <si>
    <t>MIRALCAMP</t>
  </si>
  <si>
    <t>43084</t>
  </si>
  <si>
    <t>MIRAVET</t>
  </si>
  <si>
    <t>08138</t>
  </si>
  <si>
    <t>MOIA</t>
  </si>
  <si>
    <t>43085</t>
  </si>
  <si>
    <t>MOLAR, EL</t>
  </si>
  <si>
    <t>08123</t>
  </si>
  <si>
    <t>MOLINS DE REI</t>
  </si>
  <si>
    <t>25137</t>
  </si>
  <si>
    <t>MOLLERUSSA</t>
  </si>
  <si>
    <t>17106</t>
  </si>
  <si>
    <t>MOLLET DE PERALADA</t>
  </si>
  <si>
    <t>08124</t>
  </si>
  <si>
    <t>MOLLET DEL VALLES</t>
  </si>
  <si>
    <t>17107</t>
  </si>
  <si>
    <t>MOLLO</t>
  </si>
  <si>
    <t>25136</t>
  </si>
  <si>
    <t>MOLSOSA, LA</t>
  </si>
  <si>
    <t>08128</t>
  </si>
  <si>
    <t>MONISTROL DE CALDERS</t>
  </si>
  <si>
    <t>08127</t>
  </si>
  <si>
    <t>MONISTROL DE MONTSERRAT</t>
  </si>
  <si>
    <t>17109</t>
  </si>
  <si>
    <t>MONTAGUT</t>
  </si>
  <si>
    <t>43086</t>
  </si>
  <si>
    <t>MONTBLANC</t>
  </si>
  <si>
    <t>43088</t>
  </si>
  <si>
    <t>MONTBRIO DEL CAMP</t>
  </si>
  <si>
    <t>08125</t>
  </si>
  <si>
    <t>MONTCADA I REIXAC</t>
  </si>
  <si>
    <t>08130</t>
  </si>
  <si>
    <t>MONTCLAR</t>
  </si>
  <si>
    <t>25139</t>
  </si>
  <si>
    <t>MONTELLA I MARTINET</t>
  </si>
  <si>
    <t>08131</t>
  </si>
  <si>
    <t>MONTESQUIU</t>
  </si>
  <si>
    <t>25140</t>
  </si>
  <si>
    <t>MONTFERRER I CASTELLBO</t>
  </si>
  <si>
    <t>43089</t>
  </si>
  <si>
    <t>MONTFERRI</t>
  </si>
  <si>
    <t>25138</t>
  </si>
  <si>
    <t>MONTGAI</t>
  </si>
  <si>
    <t>08126</t>
  </si>
  <si>
    <t>MONTGAT</t>
  </si>
  <si>
    <t>08132</t>
  </si>
  <si>
    <t>MONTMAJOR</t>
  </si>
  <si>
    <t>08133</t>
  </si>
  <si>
    <t>MONTMANEU</t>
  </si>
  <si>
    <t>43090</t>
  </si>
  <si>
    <t>MONTMELL, EL</t>
  </si>
  <si>
    <t>08135</t>
  </si>
  <si>
    <t>MONTMELO</t>
  </si>
  <si>
    <t>25142</t>
  </si>
  <si>
    <t>MONTOLIU DE LLEIDA</t>
  </si>
  <si>
    <t>25141</t>
  </si>
  <si>
    <t>MONTOLIU DE SEGARRA</t>
  </si>
  <si>
    <t>25143</t>
  </si>
  <si>
    <t>MONTORNES DE SEGARRA</t>
  </si>
  <si>
    <t>08136</t>
  </si>
  <si>
    <t>MONTORNES DEL VALLES</t>
  </si>
  <si>
    <t>43091</t>
  </si>
  <si>
    <t>MONT-RAL</t>
  </si>
  <si>
    <t>17110</t>
  </si>
  <si>
    <t>MONT-RAS</t>
  </si>
  <si>
    <t>43092</t>
  </si>
  <si>
    <t>MONT-ROIG DEL CAMP</t>
  </si>
  <si>
    <t>08137</t>
  </si>
  <si>
    <t>MONTSENY</t>
  </si>
  <si>
    <t>43093</t>
  </si>
  <si>
    <t>MORA D'EBRE</t>
  </si>
  <si>
    <t>43094</t>
  </si>
  <si>
    <t>MORA LA NOVA</t>
  </si>
  <si>
    <t>43095</t>
  </si>
  <si>
    <t>MORELL, EL</t>
  </si>
  <si>
    <t>43096</t>
  </si>
  <si>
    <t>MORERA DE MONTSANT, LA</t>
  </si>
  <si>
    <t>08129</t>
  </si>
  <si>
    <t>MUNTANYOLA</t>
  </si>
  <si>
    <t>08139</t>
  </si>
  <si>
    <t>MURA</t>
  </si>
  <si>
    <t>25145</t>
  </si>
  <si>
    <t>NALEC</t>
  </si>
  <si>
    <t>25025</t>
  </si>
  <si>
    <t>NAUT ARAN</t>
  </si>
  <si>
    <t>08140</t>
  </si>
  <si>
    <t>NAVARCLES</t>
  </si>
  <si>
    <t>08141</t>
  </si>
  <si>
    <t>NAVAS</t>
  </si>
  <si>
    <t>17111</t>
  </si>
  <si>
    <t>NAVATA</t>
  </si>
  <si>
    <t>25146</t>
  </si>
  <si>
    <t>NAVES</t>
  </si>
  <si>
    <t>08142</t>
  </si>
  <si>
    <t>NOU DE BERGUEDA, LA</t>
  </si>
  <si>
    <t>43097</t>
  </si>
  <si>
    <t>NOU DE GAIA, LA</t>
  </si>
  <si>
    <t>43098</t>
  </si>
  <si>
    <t>NULLES</t>
  </si>
  <si>
    <t>25148</t>
  </si>
  <si>
    <t>ODEN</t>
  </si>
  <si>
    <t>08143</t>
  </si>
  <si>
    <t>ODENA</t>
  </si>
  <si>
    <t>17112</t>
  </si>
  <si>
    <t>OGASSA</t>
  </si>
  <si>
    <t>08145</t>
  </si>
  <si>
    <t>OLERDOLA</t>
  </si>
  <si>
    <t>08146</t>
  </si>
  <si>
    <t>OLESA DE BONESVALLS</t>
  </si>
  <si>
    <t>08147</t>
  </si>
  <si>
    <t>OLESA DE MONTSERRAT</t>
  </si>
  <si>
    <t>25149</t>
  </si>
  <si>
    <t>OLIANA</t>
  </si>
  <si>
    <t>25150</t>
  </si>
  <si>
    <t>OLIOLA</t>
  </si>
  <si>
    <t>25151</t>
  </si>
  <si>
    <t>OLIUS</t>
  </si>
  <si>
    <t>08148</t>
  </si>
  <si>
    <t>OLIVELLA</t>
  </si>
  <si>
    <t>08149</t>
  </si>
  <si>
    <t>OLOST</t>
  </si>
  <si>
    <t>17114</t>
  </si>
  <si>
    <t>OLOT</t>
  </si>
  <si>
    <t>25152</t>
  </si>
  <si>
    <t>OLUGES, LES</t>
  </si>
  <si>
    <t>08144</t>
  </si>
  <si>
    <t>OLVAN</t>
  </si>
  <si>
    <t>25153</t>
  </si>
  <si>
    <t>OMELLONS, ELS</t>
  </si>
  <si>
    <t>25154</t>
  </si>
  <si>
    <t>OMELLS DE NA GAIA, ELS</t>
  </si>
  <si>
    <t>17115</t>
  </si>
  <si>
    <t>ORDIS</t>
  </si>
  <si>
    <t>25155</t>
  </si>
  <si>
    <t>ORGANYA</t>
  </si>
  <si>
    <t>08150</t>
  </si>
  <si>
    <t>ORIS</t>
  </si>
  <si>
    <t>08151</t>
  </si>
  <si>
    <t>ORISTA</t>
  </si>
  <si>
    <t>08152</t>
  </si>
  <si>
    <t>ORPI</t>
  </si>
  <si>
    <t>08153</t>
  </si>
  <si>
    <t>ORRIUS</t>
  </si>
  <si>
    <t>25156</t>
  </si>
  <si>
    <t>OS DE BALAGUER</t>
  </si>
  <si>
    <t>17116</t>
  </si>
  <si>
    <t>OSOR</t>
  </si>
  <si>
    <t>25157</t>
  </si>
  <si>
    <t>OSSO DE SIO</t>
  </si>
  <si>
    <t>08154</t>
  </si>
  <si>
    <t>PACS DEL PENEDES</t>
  </si>
  <si>
    <t>08155</t>
  </si>
  <si>
    <t>PALAFOLLS</t>
  </si>
  <si>
    <t>17117</t>
  </si>
  <si>
    <t>PALAFRUGELL</t>
  </si>
  <si>
    <t>17118</t>
  </si>
  <si>
    <t>PALAMOS</t>
  </si>
  <si>
    <t>25158</t>
  </si>
  <si>
    <t>PALAU D'ANGLESOLA, EL</t>
  </si>
  <si>
    <t>17119</t>
  </si>
  <si>
    <t>PALAU DE SANTA EULALIA</t>
  </si>
  <si>
    <t>17121</t>
  </si>
  <si>
    <t>PALAU-SATOR</t>
  </si>
  <si>
    <t>17120</t>
  </si>
  <si>
    <t>PALAU-SAVERDERA</t>
  </si>
  <si>
    <t>08156</t>
  </si>
  <si>
    <t>PALAU-SOLITÀ I PLEGAMANS</t>
  </si>
  <si>
    <t>43100</t>
  </si>
  <si>
    <t>PALLARESOS, ELS</t>
  </si>
  <si>
    <t>08157</t>
  </si>
  <si>
    <t>PALLEJA</t>
  </si>
  <si>
    <t>08905</t>
  </si>
  <si>
    <t>PALMA DE CERVELLO, LA</t>
  </si>
  <si>
    <t>43099</t>
  </si>
  <si>
    <t>PALMA D'EBRE, LA</t>
  </si>
  <si>
    <t>17123</t>
  </si>
  <si>
    <t>PALOL DE REVARDIT</t>
  </si>
  <si>
    <t>17124</t>
  </si>
  <si>
    <t>PALS</t>
  </si>
  <si>
    <t>08158</t>
  </si>
  <si>
    <t>PAPIOL, EL</t>
  </si>
  <si>
    <t>17125</t>
  </si>
  <si>
    <t>PARDINES</t>
  </si>
  <si>
    <t>08159</t>
  </si>
  <si>
    <t>PARETS DEL VALLES</t>
  </si>
  <si>
    <t>17126</t>
  </si>
  <si>
    <t>PARLAVA</t>
  </si>
  <si>
    <t>43101</t>
  </si>
  <si>
    <t>PASSANANT I BELLTALL</t>
  </si>
  <si>
    <t>17128</t>
  </si>
  <si>
    <t>PAU</t>
  </si>
  <si>
    <t>43102</t>
  </si>
  <si>
    <t>PAÜLS</t>
  </si>
  <si>
    <t>17129</t>
  </si>
  <si>
    <t>PEDRET I MARZA</t>
  </si>
  <si>
    <t>25164</t>
  </si>
  <si>
    <t>PENELLES</t>
  </si>
  <si>
    <t>17130</t>
  </si>
  <si>
    <t>PERA, LA</t>
  </si>
  <si>
    <t>08160</t>
  </si>
  <si>
    <t>PERAFITA</t>
  </si>
  <si>
    <t>43103</t>
  </si>
  <si>
    <t>PERAFORT</t>
  </si>
  <si>
    <t>17132</t>
  </si>
  <si>
    <t>PERALADA</t>
  </si>
  <si>
    <t>25165</t>
  </si>
  <si>
    <t>PERAMOLA</t>
  </si>
  <si>
    <t>43104</t>
  </si>
  <si>
    <t>PERELLO, EL</t>
  </si>
  <si>
    <t>08161</t>
  </si>
  <si>
    <t>PIERA</t>
  </si>
  <si>
    <t>43105</t>
  </si>
  <si>
    <t>PILES, LES</t>
  </si>
  <si>
    <t>08163</t>
  </si>
  <si>
    <t>PINEDA DE MAR</t>
  </si>
  <si>
    <t>43106</t>
  </si>
  <si>
    <t>PINELL DE BRAI, EL</t>
  </si>
  <si>
    <t>25166</t>
  </si>
  <si>
    <t>PINELL DE SOLSONES</t>
  </si>
  <si>
    <t>25167</t>
  </si>
  <si>
    <t>PINOS</t>
  </si>
  <si>
    <t>43107</t>
  </si>
  <si>
    <t>PIRA</t>
  </si>
  <si>
    <t>43108</t>
  </si>
  <si>
    <t>PLA DE SANTA MARIA, EL</t>
  </si>
  <si>
    <t>08164</t>
  </si>
  <si>
    <t>PLA DEL PENEDES, EL</t>
  </si>
  <si>
    <t>17133</t>
  </si>
  <si>
    <t>PLANES D'HOSTOLES, LES</t>
  </si>
  <si>
    <t>17134</t>
  </si>
  <si>
    <t>PLANOLES</t>
  </si>
  <si>
    <t>25911</t>
  </si>
  <si>
    <t>PLANS DE SIO, ELS</t>
  </si>
  <si>
    <t>25168</t>
  </si>
  <si>
    <t>POAL, EL</t>
  </si>
  <si>
    <t>25169</t>
  </si>
  <si>
    <t>POBLA DE CERVOLES, LA</t>
  </si>
  <si>
    <t>08165</t>
  </si>
  <si>
    <t>POBLA DE CLARAMUNT, LA</t>
  </si>
  <si>
    <t>08166</t>
  </si>
  <si>
    <t>POBLA DE LILLET, LA</t>
  </si>
  <si>
    <t>43109</t>
  </si>
  <si>
    <t>POBLA DE MAFUMET, LA</t>
  </si>
  <si>
    <t>43110</t>
  </si>
  <si>
    <t>POBLA DE MASSALUCA, LA</t>
  </si>
  <si>
    <t>43111</t>
  </si>
  <si>
    <t>POBLA DE MONTORNES, LA</t>
  </si>
  <si>
    <t>25171</t>
  </si>
  <si>
    <t>POBLA DE SEGUR, LA</t>
  </si>
  <si>
    <t>43112</t>
  </si>
  <si>
    <t>POBOLEDA</t>
  </si>
  <si>
    <t>08167</t>
  </si>
  <si>
    <t>POLINYA</t>
  </si>
  <si>
    <t>43113</t>
  </si>
  <si>
    <t>PONT D'ARMENTERA, EL</t>
  </si>
  <si>
    <t>25030</t>
  </si>
  <si>
    <t>PONT DE BAR, EL</t>
  </si>
  <si>
    <t>17135</t>
  </si>
  <si>
    <t>PONT DE MOLINS</t>
  </si>
  <si>
    <t>25173</t>
  </si>
  <si>
    <t>PONT DE SUERT, EL</t>
  </si>
  <si>
    <t xml:space="preserve">ALTA RIBAGORÇA, L'       </t>
  </si>
  <si>
    <t>08182</t>
  </si>
  <si>
    <t>PONT DE VILOMARA I ROCAFORT, EL</t>
  </si>
  <si>
    <t>43141</t>
  </si>
  <si>
    <t>PONTILS</t>
  </si>
  <si>
    <t>08168</t>
  </si>
  <si>
    <t>PONTONS</t>
  </si>
  <si>
    <t>17136</t>
  </si>
  <si>
    <t>PONTOS</t>
  </si>
  <si>
    <t>25172</t>
  </si>
  <si>
    <t>PONTS</t>
  </si>
  <si>
    <t>17137</t>
  </si>
  <si>
    <t>PORQUERES</t>
  </si>
  <si>
    <t>43114</t>
  </si>
  <si>
    <t>PORRERA</t>
  </si>
  <si>
    <t>17140</t>
  </si>
  <si>
    <t>PORT DE LA SELVA, EL</t>
  </si>
  <si>
    <t>17138</t>
  </si>
  <si>
    <t>PORTBOU</t>
  </si>
  <si>
    <t>25174</t>
  </si>
  <si>
    <t>PORTELLA, LA</t>
  </si>
  <si>
    <t>43115</t>
  </si>
  <si>
    <t>PRADELL DE LA TEIXETA</t>
  </si>
  <si>
    <t>43116</t>
  </si>
  <si>
    <t>PRADES</t>
  </si>
  <si>
    <t>43117</t>
  </si>
  <si>
    <t>PRAT DE COMTE</t>
  </si>
  <si>
    <t>08169</t>
  </si>
  <si>
    <t>PRAT DE LLOBREGAT, EL</t>
  </si>
  <si>
    <t>43118</t>
  </si>
  <si>
    <t>PRATDIP</t>
  </si>
  <si>
    <t>08171</t>
  </si>
  <si>
    <t>PRATS DE LLUÇANES</t>
  </si>
  <si>
    <t>08170</t>
  </si>
  <si>
    <t>PRATS DEL REI, ELS</t>
  </si>
  <si>
    <t>25175</t>
  </si>
  <si>
    <t>PRATS I SANSOR</t>
  </si>
  <si>
    <t>25176</t>
  </si>
  <si>
    <t>PREIXANA</t>
  </si>
  <si>
    <t>25177</t>
  </si>
  <si>
    <t>PREIXENS</t>
  </si>
  <si>
    <t>08230</t>
  </si>
  <si>
    <t>PREMIA DE DALT</t>
  </si>
  <si>
    <t>08172</t>
  </si>
  <si>
    <t>PREMIA DE MAR</t>
  </si>
  <si>
    <t>17139</t>
  </si>
  <si>
    <t>PRESES, LES</t>
  </si>
  <si>
    <t>25179</t>
  </si>
  <si>
    <t>PRULLANS</t>
  </si>
  <si>
    <t>17141</t>
  </si>
  <si>
    <t>PUIGCERDA</t>
  </si>
  <si>
    <t>08174</t>
  </si>
  <si>
    <t>PUIGDALBER</t>
  </si>
  <si>
    <t>25180</t>
  </si>
  <si>
    <t>PUIGGROS</t>
  </si>
  <si>
    <t>43119</t>
  </si>
  <si>
    <t>PUIGPELAT</t>
  </si>
  <si>
    <t>08175</t>
  </si>
  <si>
    <t>PUIG-REIG</t>
  </si>
  <si>
    <t>25181</t>
  </si>
  <si>
    <t>PUIGVERD D'AGRAMUNT</t>
  </si>
  <si>
    <t>25182</t>
  </si>
  <si>
    <t>PUIGVERD DE LLEIDA</t>
  </si>
  <si>
    <t>08176</t>
  </si>
  <si>
    <t>PUJALT</t>
  </si>
  <si>
    <t>08177</t>
  </si>
  <si>
    <t>QUAR, LA</t>
  </si>
  <si>
    <t>17142</t>
  </si>
  <si>
    <t>QUART</t>
  </si>
  <si>
    <t>17043</t>
  </si>
  <si>
    <t>QUERALBS</t>
  </si>
  <si>
    <t>43120</t>
  </si>
  <si>
    <t>QUEROL</t>
  </si>
  <si>
    <t>17143</t>
  </si>
  <si>
    <t>RABOS</t>
  </si>
  <si>
    <t>08178</t>
  </si>
  <si>
    <t>RAJADELL</t>
  </si>
  <si>
    <t>43121</t>
  </si>
  <si>
    <t>RASQUERA</t>
  </si>
  <si>
    <t>17144</t>
  </si>
  <si>
    <t>REGENCOS</t>
  </si>
  <si>
    <t>08179</t>
  </si>
  <si>
    <t>RELLINARS</t>
  </si>
  <si>
    <t>43122</t>
  </si>
  <si>
    <t>RENAU</t>
  </si>
  <si>
    <t>43123</t>
  </si>
  <si>
    <t>REUS</t>
  </si>
  <si>
    <t>25183</t>
  </si>
  <si>
    <t>RIALP</t>
  </si>
  <si>
    <t>43124</t>
  </si>
  <si>
    <t>RIBA, LA</t>
  </si>
  <si>
    <t>43125</t>
  </si>
  <si>
    <t>RIBA-ROJA D'EBRE</t>
  </si>
  <si>
    <t>25905</t>
  </si>
  <si>
    <t>RIBERA D'ONDARA</t>
  </si>
  <si>
    <t>25185</t>
  </si>
  <si>
    <t>RIBERA D'URGELLET</t>
  </si>
  <si>
    <t>17145</t>
  </si>
  <si>
    <t>RIBES DE FRESER</t>
  </si>
  <si>
    <t>17146</t>
  </si>
  <si>
    <t>RIELLS I VIABREA</t>
  </si>
  <si>
    <t>43126</t>
  </si>
  <si>
    <t>RIERA DE GAIA, LA</t>
  </si>
  <si>
    <t>25186</t>
  </si>
  <si>
    <t>RINER</t>
  </si>
  <si>
    <t>17147</t>
  </si>
  <si>
    <t>RIPOLL</t>
  </si>
  <si>
    <t>08180</t>
  </si>
  <si>
    <t>RIPOLLET</t>
  </si>
  <si>
    <t>25913</t>
  </si>
  <si>
    <t>RIU DE CERDANYA</t>
  </si>
  <si>
    <t>17148</t>
  </si>
  <si>
    <t>RIUDARENES</t>
  </si>
  <si>
    <t>17149</t>
  </si>
  <si>
    <t>RIUDAURA</t>
  </si>
  <si>
    <t>43127</t>
  </si>
  <si>
    <t>RIUDECANYES</t>
  </si>
  <si>
    <t>43128</t>
  </si>
  <si>
    <t>RIUDECOLS</t>
  </si>
  <si>
    <t>17150</t>
  </si>
  <si>
    <t>RIUDELLOTS DE LA SELVA</t>
  </si>
  <si>
    <t>43129</t>
  </si>
  <si>
    <t>RIUDOMS</t>
  </si>
  <si>
    <t>17151</t>
  </si>
  <si>
    <t>RIUMORS</t>
  </si>
  <si>
    <t>08181</t>
  </si>
  <si>
    <t>ROCA DEL VALLES, LA</t>
  </si>
  <si>
    <t>43130</t>
  </si>
  <si>
    <t>ROCAFORT DE QUERALT</t>
  </si>
  <si>
    <t>43131</t>
  </si>
  <si>
    <t>RODA DE BERÀ</t>
  </si>
  <si>
    <t>08183</t>
  </si>
  <si>
    <t>RODA DE TER</t>
  </si>
  <si>
    <t>43132</t>
  </si>
  <si>
    <t>RODONYA</t>
  </si>
  <si>
    <t>43133</t>
  </si>
  <si>
    <t>ROQUETES</t>
  </si>
  <si>
    <t>17152</t>
  </si>
  <si>
    <t>ROSES</t>
  </si>
  <si>
    <t>25189</t>
  </si>
  <si>
    <t>ROSSELLO</t>
  </si>
  <si>
    <t>43134</t>
  </si>
  <si>
    <t>ROURELL, EL</t>
  </si>
  <si>
    <t>08184</t>
  </si>
  <si>
    <t>RUBI</t>
  </si>
  <si>
    <t>08185</t>
  </si>
  <si>
    <t>RUBIO</t>
  </si>
  <si>
    <t>17153</t>
  </si>
  <si>
    <t>RUPIA</t>
  </si>
  <si>
    <t>08901</t>
  </si>
  <si>
    <t>RUPIT I PRUIT</t>
  </si>
  <si>
    <t>08187</t>
  </si>
  <si>
    <t>SABADELL</t>
  </si>
  <si>
    <t>08188</t>
  </si>
  <si>
    <t>SAGAS</t>
  </si>
  <si>
    <t>25190</t>
  </si>
  <si>
    <t>SALAS DE PALLARS</t>
  </si>
  <si>
    <t>08190</t>
  </si>
  <si>
    <t>SALDES</t>
  </si>
  <si>
    <t>17154</t>
  </si>
  <si>
    <t>SALES DE LLIERCA</t>
  </si>
  <si>
    <t>08191</t>
  </si>
  <si>
    <t>SALLENT</t>
  </si>
  <si>
    <t>43135</t>
  </si>
  <si>
    <t>SALOMO</t>
  </si>
  <si>
    <t>43905</t>
  </si>
  <si>
    <t>SALOU</t>
  </si>
  <si>
    <t>17155</t>
  </si>
  <si>
    <t>SALT</t>
  </si>
  <si>
    <t>25191</t>
  </si>
  <si>
    <t>SANAÜJA</t>
  </si>
  <si>
    <t>08194</t>
  </si>
  <si>
    <t>SANT ADRIA DE BESOS</t>
  </si>
  <si>
    <t>08195</t>
  </si>
  <si>
    <t>SANT AGUSTI DE LLUÇANES</t>
  </si>
  <si>
    <t>08196</t>
  </si>
  <si>
    <t>SANT ANDREU DE LA BARCA</t>
  </si>
  <si>
    <t>08197</t>
  </si>
  <si>
    <t>SANT ANDREU DE LLAVANERES</t>
  </si>
  <si>
    <t>17157</t>
  </si>
  <si>
    <t>SANT ANDREU SALOU</t>
  </si>
  <si>
    <t>sense dades</t>
  </si>
  <si>
    <t>17183</t>
  </si>
  <si>
    <t>SANT ANIOL DE FINESTRES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</si>
  <si>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</si>
  <si>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</si>
  <si>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</si>
  <si>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</si>
  <si>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</si>
  <si>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</si>
  <si>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</si>
  <si>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LLUÇANES</t>
  </si>
  <si>
    <t>43136</t>
  </si>
  <si>
    <t>SANT CARLES DE LA RAPITA</t>
  </si>
  <si>
    <t>08203</t>
  </si>
  <si>
    <t>SANT CEBRIA DE VALLALTA</t>
  </si>
  <si>
    <t>08202</t>
  </si>
  <si>
    <t>SANT CELONI</t>
  </si>
  <si>
    <t>08204</t>
  </si>
  <si>
    <t>SANT CLIMENT DE LLOBREGAT</t>
  </si>
  <si>
    <t>17158</t>
  </si>
  <si>
    <t>SANT CLIMENT SESCEBES</t>
  </si>
  <si>
    <t>08205</t>
  </si>
  <si>
    <t>SANT CUGAT DEL VALLES</t>
  </si>
  <si>
    <t>08206</t>
  </si>
  <si>
    <t>SANT CUGAT SESGARRIGUES</t>
  </si>
  <si>
    <t>25196</t>
  </si>
  <si>
    <t>SANT ESTEVE DE LA SARGA</t>
  </si>
  <si>
    <t>08207</t>
  </si>
  <si>
    <t>SANT ESTEVE DE PALAUTORDERA</t>
  </si>
  <si>
    <t>08208</t>
  </si>
  <si>
    <t>SANT ESTEVE SESROVIRES</t>
  </si>
  <si>
    <t>17159</t>
  </si>
  <si>
    <t>SANT FELIU DE BUIXALLEU</t>
  </si>
  <si>
    <t>08210</t>
  </si>
  <si>
    <t>SANT FELIU DE CODINES</t>
  </si>
  <si>
    <t>17160</t>
  </si>
  <si>
    <t>SANT FELIU DE GUÍXOLS</t>
  </si>
  <si>
    <t>08211</t>
  </si>
  <si>
    <t>SANT FELIU DE LLOBREGAT</t>
  </si>
  <si>
    <t>17161</t>
  </si>
  <si>
    <t>SANT FELIU DE PALLEROLS</t>
  </si>
  <si>
    <t>08212</t>
  </si>
  <si>
    <t>SANT FELIU SASSERRA</t>
  </si>
  <si>
    <t>17162</t>
  </si>
  <si>
    <t>SANT FERRIOL</t>
  </si>
  <si>
    <t>08209</t>
  </si>
  <si>
    <t>SANT FOST DE CAMPSENTELLES</t>
  </si>
  <si>
    <t>08213</t>
  </si>
  <si>
    <t>SANT FRUITOS DE BAGES</t>
  </si>
  <si>
    <t>17163</t>
  </si>
  <si>
    <t>SANT GREGORI</t>
  </si>
  <si>
    <t>25192</t>
  </si>
  <si>
    <t>SANT GUIM DE FREIXENET</t>
  </si>
  <si>
    <t>25197</t>
  </si>
  <si>
    <t>SANT GUIM DE LA PLANA</t>
  </si>
  <si>
    <t>17164</t>
  </si>
  <si>
    <t>SANT HILARI SACALM</t>
  </si>
  <si>
    <t>08215</t>
  </si>
  <si>
    <t>SANT HIPOLIT DE VOLTREGA</t>
  </si>
  <si>
    <t>08193</t>
  </si>
  <si>
    <t>SANT ISCLE DE VALLALTA</t>
  </si>
  <si>
    <t>08216</t>
  </si>
  <si>
    <t>SANT JAUME DE FRONTANYA</t>
  </si>
  <si>
    <t>17165</t>
  </si>
  <si>
    <t>SANT JAUME DE LLIERCA</t>
  </si>
  <si>
    <t>43137</t>
  </si>
  <si>
    <t>SANT JAUME DELS DOMENYS</t>
  </si>
  <si>
    <t>43902</t>
  </si>
  <si>
    <t>SANT JAUME D'ENVEJA</t>
  </si>
  <si>
    <t>17167</t>
  </si>
  <si>
    <t>SANT JOAN DE LES ABADESSES</t>
  </si>
  <si>
    <t>17168</t>
  </si>
  <si>
    <t>SANT JOAN DE MOLLET</t>
  </si>
  <si>
    <t>08218</t>
  </si>
  <si>
    <t>SANT JOAN DE VILATORRADA</t>
  </si>
  <si>
    <t>08217</t>
  </si>
  <si>
    <t>SANT JOAN DESPI</t>
  </si>
  <si>
    <t>17185</t>
  </si>
  <si>
    <t>SANT JOAN LES FONTS</t>
  </si>
  <si>
    <t>17166</t>
  </si>
  <si>
    <t>SANT JORDI DESVALLS</t>
  </si>
  <si>
    <t>08903</t>
  </si>
  <si>
    <t>SANT JULIA DE CERDANYOLA</t>
  </si>
  <si>
    <t>17903</t>
  </si>
  <si>
    <t>SANT JULIA DE LLOR I BONMATI</t>
  </si>
  <si>
    <t>17169</t>
  </si>
  <si>
    <t>SANT JULIA DE RAMIS</t>
  </si>
  <si>
    <t>08220</t>
  </si>
  <si>
    <t>SANT JULIA DE VILATORTA</t>
  </si>
  <si>
    <t>08221</t>
  </si>
  <si>
    <t>SANT JUST DESVERN</t>
  </si>
  <si>
    <t>17171</t>
  </si>
  <si>
    <t>SANT LLORENÇ DE LA MUGA</t>
  </si>
  <si>
    <t>25193</t>
  </si>
  <si>
    <t>SANT LLORENÇ DE MORUNYS</t>
  </si>
  <si>
    <t>08222</t>
  </si>
  <si>
    <t>SANT LLORENÇ D'HORTONS</t>
  </si>
  <si>
    <t>08223</t>
  </si>
  <si>
    <t>SANT LLORENÇ SAVALL</t>
  </si>
  <si>
    <t>08225</t>
  </si>
  <si>
    <t>SANT MARTI D'ALBARS</t>
  </si>
  <si>
    <t>08224</t>
  </si>
  <si>
    <t>SANT MARTI DE CENTELLES</t>
  </si>
  <si>
    <t>17172</t>
  </si>
  <si>
    <t>SANT MARTI DE LLÈMENA</t>
  </si>
  <si>
    <t>25902</t>
  </si>
  <si>
    <t>SANT MARTI DE RIUCORB</t>
  </si>
  <si>
    <t>08226</t>
  </si>
  <si>
    <t>SANT MARTI DE TOUS</t>
  </si>
  <si>
    <t>08227</t>
  </si>
  <si>
    <t>SANT MARTI SARROCA</t>
  </si>
  <si>
    <t>08228</t>
  </si>
  <si>
    <t>SANT MARTI SESGUEIOLES</t>
  </si>
  <si>
    <t>17173</t>
  </si>
  <si>
    <t>SANT MARTI VELL</t>
  </si>
  <si>
    <t>08229</t>
  </si>
  <si>
    <t>SANT MATEU DE BAGES</t>
  </si>
  <si>
    <t>17174</t>
  </si>
  <si>
    <t>SANT MIQUEL DE CAMPMAJOR</t>
  </si>
  <si>
    <t>17175</t>
  </si>
  <si>
    <t>SANT MIQUEL DE FLUVIA</t>
  </si>
  <si>
    <t>17176</t>
  </si>
  <si>
    <t>SANT MORI</t>
  </si>
  <si>
    <t>17177</t>
  </si>
  <si>
    <t>SANT PAU DE SEGURIES</t>
  </si>
  <si>
    <t>08231</t>
  </si>
  <si>
    <t>SANT PERE DE RIBES</t>
  </si>
  <si>
    <t>08232</t>
  </si>
  <si>
    <t>SANT PERE DE RIUDEBITLLES</t>
  </si>
  <si>
    <t>08233</t>
  </si>
  <si>
    <t>SANT PERE DE TORELLO</t>
  </si>
  <si>
    <t>08234</t>
  </si>
  <si>
    <t>SANT PERE DE VILAMAJOR</t>
  </si>
  <si>
    <t>17178</t>
  </si>
  <si>
    <t>SANT PERE PESCADOR</t>
  </si>
  <si>
    <t>08189</t>
  </si>
  <si>
    <t>SANT PERE SALLAVINERA</t>
  </si>
  <si>
    <t>08235</t>
  </si>
  <si>
    <t>SANT POL DE MAR</t>
  </si>
  <si>
    <t>08236</t>
  </si>
  <si>
    <t>SANT QUINTI DE MEDIONA</t>
  </si>
  <si>
    <t>08237</t>
  </si>
  <si>
    <t>SANT QUIRZE DE BESORA</t>
  </si>
  <si>
    <t>08238</t>
  </si>
  <si>
    <t>SANT QUIRZE DEL VALLES</t>
  </si>
  <si>
    <t>08239</t>
  </si>
  <si>
    <t>SANT QUIRZE SAFAJA</t>
  </si>
  <si>
    <t>25194</t>
  </si>
  <si>
    <t>SANT RAMON</t>
  </si>
  <si>
    <t>08240</t>
  </si>
  <si>
    <t>SANT SADURNI D'ANOIA</t>
  </si>
  <si>
    <t>08241</t>
  </si>
  <si>
    <t>SANT SADURNI D'OSORMORT</t>
  </si>
  <si>
    <t>08098</t>
  </si>
  <si>
    <t>SANT SALVADOR DE GUARDIOLA</t>
  </si>
  <si>
    <t>08262</t>
  </si>
  <si>
    <t>SANT VICENÇ DE CASTELLET</t>
  </si>
  <si>
    <t>08264</t>
  </si>
  <si>
    <t>SANT VICENÇ DE MONTALT</t>
  </si>
  <si>
    <t>08265</t>
  </si>
  <si>
    <t>SANT VICENÇ DE TORELLO</t>
  </si>
  <si>
    <t>08263</t>
  </si>
  <si>
    <t>SANT VICENÇ DELS HORTS</t>
  </si>
  <si>
    <t>43138</t>
  </si>
  <si>
    <t>SANTA BARBARA</t>
  </si>
  <si>
    <t>08243</t>
  </si>
  <si>
    <t>SANTA CECILIA DE VOLTREGA</t>
  </si>
  <si>
    <t>08244</t>
  </si>
  <si>
    <t>SANTA COLOMA DE CERVELLO</t>
  </si>
  <si>
    <t>17180</t>
  </si>
  <si>
    <t>SANTA COLOMA DE FARNERS</t>
  </si>
  <si>
    <t>08245</t>
  </si>
  <si>
    <t>SANTA COLOMA DE GRAMENET</t>
  </si>
  <si>
    <t>43139</t>
  </si>
  <si>
    <t>SANTA COLOMA DE QUERALT</t>
  </si>
  <si>
    <t>17181</t>
  </si>
  <si>
    <t>SANTA CRISTINA D'ARO</t>
  </si>
  <si>
    <t>08246</t>
  </si>
  <si>
    <t>SANTA EUGENIA DE BERGA</t>
  </si>
  <si>
    <t>08247</t>
  </si>
  <si>
    <t>SANTA EULALIA DE RIUPRIMER</t>
  </si>
  <si>
    <t>08248</t>
  </si>
  <si>
    <t>SANTA EULALIA DE RONÇANA</t>
  </si>
  <si>
    <t>08249</t>
  </si>
  <si>
    <t>SANTA FE DEL PENEDES</t>
  </si>
  <si>
    <t>17182</t>
  </si>
  <si>
    <t>SANTA LLOGAIA D'ALGUEMA</t>
  </si>
  <si>
    <t>08250</t>
  </si>
  <si>
    <t>SANTA MARGARIDA DE MONTBUI</t>
  </si>
  <si>
    <t>08251</t>
  </si>
  <si>
    <t>SANTA MARGARIDA I ELS MONJOS</t>
  </si>
  <si>
    <t>08253</t>
  </si>
  <si>
    <t>SANTA MARIA DE BESORA</t>
  </si>
  <si>
    <t>08256</t>
  </si>
  <si>
    <t>SANTA MARIA DE MARTORELLES</t>
  </si>
  <si>
    <t>08255</t>
  </si>
  <si>
    <t>SANTA MARIA DE MERLES</t>
  </si>
  <si>
    <t>08257</t>
  </si>
  <si>
    <t>SANTA MARIA DE MIRALLES</t>
  </si>
  <si>
    <t>08259</t>
  </si>
  <si>
    <t>SANTA MARIA DE PALAUTORDERA</t>
  </si>
  <si>
    <t>08258</t>
  </si>
  <si>
    <t>SANTA MARIA D'OLO</t>
  </si>
  <si>
    <t>43140</t>
  </si>
  <si>
    <t>SANTA OLIVA</t>
  </si>
  <si>
    <t>17184</t>
  </si>
  <si>
    <t>SANTA PAU</t>
  </si>
  <si>
    <t>08260</t>
  </si>
  <si>
    <t>SANTA PERPETUA DE MOGODA</t>
  </si>
  <si>
    <t>08261</t>
  </si>
  <si>
    <t>SANTA SUSANNA</t>
  </si>
  <si>
    <t>08192</t>
  </si>
  <si>
    <t>SANTPEDOR</t>
  </si>
  <si>
    <t>43142</t>
  </si>
  <si>
    <t>SARRAL</t>
  </si>
  <si>
    <t>17186</t>
  </si>
  <si>
    <t>SARRIA DE TER</t>
  </si>
  <si>
    <t>25201</t>
  </si>
  <si>
    <t>SARROCA DE BELLERA</t>
  </si>
  <si>
    <t>25200</t>
  </si>
  <si>
    <t>SARROCA DE LLEIDA</t>
  </si>
  <si>
    <t>17187</t>
  </si>
  <si>
    <t>SAUS, CAMALLERA I LLAMPAIES</t>
  </si>
  <si>
    <t>43143</t>
  </si>
  <si>
    <t>SAVALLA DEL COMTAT</t>
  </si>
  <si>
    <t>43144</t>
  </si>
  <si>
    <t>SECUITA, LA</t>
  </si>
  <si>
    <t>17188</t>
  </si>
  <si>
    <t>SELVA DE MAR, LA</t>
  </si>
  <si>
    <t>43145</t>
  </si>
  <si>
    <t>SELVA DEL CAMP, LA</t>
  </si>
  <si>
    <t>43146</t>
  </si>
  <si>
    <t>SENAN</t>
  </si>
  <si>
    <t>43044</t>
  </si>
  <si>
    <t>SENIA, LA</t>
  </si>
  <si>
    <t>25202</t>
  </si>
  <si>
    <t>SENTERADA</t>
  </si>
  <si>
    <t>25035</t>
  </si>
  <si>
    <t>SENTIU DE SIO, LA</t>
  </si>
  <si>
    <t>08267</t>
  </si>
  <si>
    <t>SENTMENAT</t>
  </si>
  <si>
    <t>17190</t>
  </si>
  <si>
    <t>SERINYA</t>
  </si>
  <si>
    <t>25204</t>
  </si>
  <si>
    <t>SEROS</t>
  </si>
  <si>
    <t>17191</t>
  </si>
  <si>
    <t>SERRA DE DARO</t>
  </si>
  <si>
    <t>17192</t>
  </si>
  <si>
    <t>SETCASES</t>
  </si>
  <si>
    <t>25203</t>
  </si>
  <si>
    <t>SEU D'URGELL, LA</t>
  </si>
  <si>
    <t>08269</t>
  </si>
  <si>
    <t>SEVA</t>
  </si>
  <si>
    <t>25205</t>
  </si>
  <si>
    <t>SIDAMON</t>
  </si>
  <si>
    <t>17193</t>
  </si>
  <si>
    <t>SILS</t>
  </si>
  <si>
    <t>08270</t>
  </si>
  <si>
    <t>SITGES</t>
  </si>
  <si>
    <t>17052</t>
  </si>
  <si>
    <t>SIURANA</t>
  </si>
  <si>
    <t>08271</t>
  </si>
  <si>
    <t>SOBREMUNT</t>
  </si>
  <si>
    <t>25206</t>
  </si>
  <si>
    <t>SOLERAS, EL</t>
  </si>
  <si>
    <t>43147</t>
  </si>
  <si>
    <t>SOLIVELLA</t>
  </si>
  <si>
    <t>25207</t>
  </si>
  <si>
    <t>SOLSONA</t>
  </si>
  <si>
    <t>08272</t>
  </si>
  <si>
    <t>SORA</t>
  </si>
  <si>
    <t>25208</t>
  </si>
  <si>
    <t>SORIGUERA</t>
  </si>
  <si>
    <t>25209</t>
  </si>
  <si>
    <t>SORT</t>
  </si>
  <si>
    <t>25210</t>
  </si>
  <si>
    <t>SOSES</t>
  </si>
  <si>
    <t>08273</t>
  </si>
  <si>
    <t>SUBIRATS</t>
  </si>
  <si>
    <t>25211</t>
  </si>
  <si>
    <t>SUDANELL</t>
  </si>
  <si>
    <t>25212</t>
  </si>
  <si>
    <t>SUNYER</t>
  </si>
  <si>
    <t>08274</t>
  </si>
  <si>
    <t>SURIA</t>
  </si>
  <si>
    <t>17194</t>
  </si>
  <si>
    <t>SUSQUEDA</t>
  </si>
  <si>
    <t>08276</t>
  </si>
  <si>
    <t>TAGAMANENT</t>
  </si>
  <si>
    <t>08277</t>
  </si>
  <si>
    <t>TALAMANCA</t>
  </si>
  <si>
    <t>25215</t>
  </si>
  <si>
    <t>TALARN</t>
  </si>
  <si>
    <t>25216</t>
  </si>
  <si>
    <t>TALAVERA</t>
  </si>
  <si>
    <t>17195</t>
  </si>
  <si>
    <t>TALLADA D'EMPORDA, LA</t>
  </si>
  <si>
    <t>08278</t>
  </si>
  <si>
    <t>TARADELL</t>
  </si>
  <si>
    <t>43148</t>
  </si>
  <si>
    <t>TARRAGONA</t>
  </si>
  <si>
    <t>25217</t>
  </si>
  <si>
    <t>TARREGA</t>
  </si>
  <si>
    <t>25218</t>
  </si>
  <si>
    <t>TARRES</t>
  </si>
  <si>
    <t>25219</t>
  </si>
  <si>
    <t>TARROJA DE SEGARRA</t>
  </si>
  <si>
    <t>08275</t>
  </si>
  <si>
    <t>TAVERNOLES</t>
  </si>
  <si>
    <t>08280</t>
  </si>
  <si>
    <t>TAVERTET</t>
  </si>
  <si>
    <t>08281</t>
  </si>
  <si>
    <t>TEIA</t>
  </si>
  <si>
    <t>25220</t>
  </si>
  <si>
    <t>TERMENS</t>
  </si>
  <si>
    <t>17196</t>
  </si>
  <si>
    <t>TERRADES</t>
  </si>
  <si>
    <t>08279</t>
  </si>
  <si>
    <t>TERRASSA</t>
  </si>
  <si>
    <t>08282</t>
  </si>
  <si>
    <t>TIANA</t>
  </si>
  <si>
    <t>25221</t>
  </si>
  <si>
    <t>TIRVIA</t>
  </si>
  <si>
    <t>25222</t>
  </si>
  <si>
    <t>TIURANA</t>
  </si>
  <si>
    <t>43149</t>
  </si>
  <si>
    <t>TIVENYS</t>
  </si>
  <si>
    <t>43150</t>
  </si>
  <si>
    <t>TIVISSA</t>
  </si>
  <si>
    <t>08283</t>
  </si>
  <si>
    <t>TONA</t>
  </si>
  <si>
    <t>25223</t>
  </si>
  <si>
    <t>TORA</t>
  </si>
  <si>
    <t>08284</t>
  </si>
  <si>
    <t>TORDERA</t>
  </si>
  <si>
    <t>08285</t>
  </si>
  <si>
    <t>TORELLO</t>
  </si>
  <si>
    <t>25224</t>
  </si>
  <si>
    <t>TORMS, ELS</t>
  </si>
  <si>
    <t>25225</t>
  </si>
  <si>
    <t>TORNABOUS</t>
  </si>
  <si>
    <t>25227</t>
  </si>
  <si>
    <t>TORRE DE CAPDELLA, LA</t>
  </si>
  <si>
    <t>08286</t>
  </si>
  <si>
    <t>TORRE DE CLARAMUNT, LA</t>
  </si>
  <si>
    <t>43151</t>
  </si>
  <si>
    <t>TORRE DE FONTAUBELLA, LA</t>
  </si>
  <si>
    <t>43152</t>
  </si>
  <si>
    <t>TORRE DE L'ESPANYOL, LA</t>
  </si>
  <si>
    <t>25226</t>
  </si>
  <si>
    <t>TORREBESSES</t>
  </si>
  <si>
    <t>43153</t>
  </si>
  <si>
    <t>TORREDEMBARRA</t>
  </si>
  <si>
    <t>25228</t>
  </si>
  <si>
    <t>TORREFARRERA</t>
  </si>
  <si>
    <t>25907</t>
  </si>
  <si>
    <t>TORREFETA I FLOREJACS</t>
  </si>
  <si>
    <t>25230</t>
  </si>
  <si>
    <t>TORREGROSSA</t>
  </si>
  <si>
    <t>25231</t>
  </si>
  <si>
    <t>TORRELAMEU</t>
  </si>
  <si>
    <t>08287</t>
  </si>
  <si>
    <t>TORRELAVIT</t>
  </si>
  <si>
    <t>08288</t>
  </si>
  <si>
    <t>TORRELLES DE FOIX</t>
  </si>
  <si>
    <t>08289</t>
  </si>
  <si>
    <t>TORRELLES DE LLOBREGAT</t>
  </si>
  <si>
    <t>17197</t>
  </si>
  <si>
    <t>TORRENT</t>
  </si>
  <si>
    <t>25232</t>
  </si>
  <si>
    <t>TORRES DE SEGRE</t>
  </si>
  <si>
    <t>25233</t>
  </si>
  <si>
    <t>TORRE-SERONA</t>
  </si>
  <si>
    <t>17198</t>
  </si>
  <si>
    <t>TORROELLA DE FLUVIA</t>
  </si>
  <si>
    <t>17199</t>
  </si>
  <si>
    <t>TORROELLA DE MONTGRI</t>
  </si>
  <si>
    <t>43154</t>
  </si>
  <si>
    <t>TORROJA DEL PRIORAT</t>
  </si>
  <si>
    <t>17200</t>
  </si>
  <si>
    <t>TORTELLA</t>
  </si>
  <si>
    <t>43155</t>
  </si>
  <si>
    <t>TORTOSA</t>
  </si>
  <si>
    <t>17201</t>
  </si>
  <si>
    <t>TOSES</t>
  </si>
  <si>
    <t>17202</t>
  </si>
  <si>
    <t>TOSSA DE MAR</t>
  </si>
  <si>
    <t>25234</t>
  </si>
  <si>
    <t>TREMP</t>
  </si>
  <si>
    <t>17204</t>
  </si>
  <si>
    <t>ULLA</t>
  </si>
  <si>
    <t>08290</t>
  </si>
  <si>
    <t>ULLASTRELL</t>
  </si>
  <si>
    <t>17205</t>
  </si>
  <si>
    <t>ULLASTRET</t>
  </si>
  <si>
    <t>43156</t>
  </si>
  <si>
    <t>ULLDECONA</t>
  </si>
  <si>
    <t>43157</t>
  </si>
  <si>
    <t>ULLDEMOLINS</t>
  </si>
  <si>
    <t>17203</t>
  </si>
  <si>
    <t>ULTRAMORT</t>
  </si>
  <si>
    <t>17206</t>
  </si>
  <si>
    <t>URUS</t>
  </si>
  <si>
    <t>08291</t>
  </si>
  <si>
    <t>VACARISSES</t>
  </si>
  <si>
    <t>17014</t>
  </si>
  <si>
    <t>VAJOL, LA</t>
  </si>
  <si>
    <t>17208</t>
  </si>
  <si>
    <t>VALL DE BIANYA, LA</t>
  </si>
  <si>
    <t>25043</t>
  </si>
  <si>
    <t>VALL DE BOI, LA</t>
  </si>
  <si>
    <t>25901</t>
  </si>
  <si>
    <t>VALL DE CARDOS</t>
  </si>
  <si>
    <t>17207</t>
  </si>
  <si>
    <t>VALL D'EN BAS, LA</t>
  </si>
  <si>
    <t>08292</t>
  </si>
  <si>
    <t>VALLBONA D'ANOIA</t>
  </si>
  <si>
    <t>25238</t>
  </si>
  <si>
    <t>VALLBONA DE LES MONGES</t>
  </si>
  <si>
    <t>08293</t>
  </si>
  <si>
    <t>VALLCEBRE</t>
  </si>
  <si>
    <t>43158</t>
  </si>
  <si>
    <t>VALLCLARA</t>
  </si>
  <si>
    <t>25240</t>
  </si>
  <si>
    <t>VALLFOGONA DE BALAGUER</t>
  </si>
  <si>
    <t>17170</t>
  </si>
  <si>
    <t>VALLFOGONA DE RIPOLLES</t>
  </si>
  <si>
    <t>43159</t>
  </si>
  <si>
    <t>VALLFOGONA DE RIUCORB</t>
  </si>
  <si>
    <t>08294</t>
  </si>
  <si>
    <t>VALLGORGUINA</t>
  </si>
  <si>
    <t>08295</t>
  </si>
  <si>
    <t>VALLIRANA</t>
  </si>
  <si>
    <t>17209</t>
  </si>
  <si>
    <t>VALL-LLOBREGA</t>
  </si>
  <si>
    <t>43160</t>
  </si>
  <si>
    <t>VALLMOLL</t>
  </si>
  <si>
    <t>08296</t>
  </si>
  <si>
    <t>VALLROMANES</t>
  </si>
  <si>
    <t>43161</t>
  </si>
  <si>
    <t>VALLS</t>
  </si>
  <si>
    <t>25906</t>
  </si>
  <si>
    <t>VALLS D'AGUILAR, LES</t>
  </si>
  <si>
    <t>25239</t>
  </si>
  <si>
    <t>VALLS DE VALIRA, LES</t>
  </si>
  <si>
    <t>43162</t>
  </si>
  <si>
    <t>VANDELLOS I L'HOSPITALET DE L'INFANT</t>
  </si>
  <si>
    <t>25909</t>
  </si>
  <si>
    <t>VANSA I FORNOLS, LA</t>
  </si>
  <si>
    <t>08297</t>
  </si>
  <si>
    <t>VECIANA</t>
  </si>
  <si>
    <t>43163</t>
  </si>
  <si>
    <t>VENDRELL, EL</t>
  </si>
  <si>
    <t>17210</t>
  </si>
  <si>
    <t>VENTALLO</t>
  </si>
  <si>
    <t>25242</t>
  </si>
  <si>
    <t>VERDU</t>
  </si>
  <si>
    <t>17211</t>
  </si>
  <si>
    <t>VERGES</t>
  </si>
  <si>
    <t>43164</t>
  </si>
  <si>
    <t>VESPELLA DE GAIÀ</t>
  </si>
  <si>
    <t>08298</t>
  </si>
  <si>
    <t>VIC</t>
  </si>
  <si>
    <t>17212</t>
  </si>
  <si>
    <t>VIDRA</t>
  </si>
  <si>
    <t>17213</t>
  </si>
  <si>
    <t>VIDRERES</t>
  </si>
  <si>
    <t>25243</t>
  </si>
  <si>
    <t>VIELHA E MIJARAN</t>
  </si>
  <si>
    <t>43165</t>
  </si>
  <si>
    <t>VILABELLA</t>
  </si>
  <si>
    <t>17214</t>
  </si>
  <si>
    <t>VILABERTRAN</t>
  </si>
  <si>
    <t>17215</t>
  </si>
  <si>
    <t>VILABLAREIX</t>
  </si>
  <si>
    <t>08299</t>
  </si>
  <si>
    <t>VILADA</t>
  </si>
  <si>
    <t>17217</t>
  </si>
  <si>
    <t>VILADAMAT</t>
  </si>
  <si>
    <t>17216</t>
  </si>
  <si>
    <t>VILADASENS</t>
  </si>
  <si>
    <t>08301</t>
  </si>
  <si>
    <t>VILADECANS</t>
  </si>
  <si>
    <t>08300</t>
  </si>
  <si>
    <t>VILADECAVALLS</t>
  </si>
  <si>
    <t>17218</t>
  </si>
  <si>
    <t>VILADEMULS</t>
  </si>
  <si>
    <t>17220</t>
  </si>
  <si>
    <t>VILADRAU</t>
  </si>
  <si>
    <t>17221</t>
  </si>
  <si>
    <t>VILAFANT</t>
  </si>
  <si>
    <t>08305</t>
  </si>
  <si>
    <t>VILAFRANCA DEL PENEDÈS</t>
  </si>
  <si>
    <t>25244</t>
  </si>
  <si>
    <t>VILAGRASSA</t>
  </si>
  <si>
    <t>17223</t>
  </si>
  <si>
    <t>VILAJUIGA</t>
  </si>
  <si>
    <t>43175</t>
  </si>
  <si>
    <t>VILALBA DELS ARCS</t>
  </si>
  <si>
    <t>08306</t>
  </si>
  <si>
    <t>VILALBA SASSERRA</t>
  </si>
  <si>
    <t>25245</t>
  </si>
  <si>
    <t>VILALLER</t>
  </si>
  <si>
    <t>17224</t>
  </si>
  <si>
    <t>VILALLONGA DE TER</t>
  </si>
  <si>
    <t>43166</t>
  </si>
  <si>
    <t>VILALLONGA DEL CAMP</t>
  </si>
  <si>
    <t>17225</t>
  </si>
  <si>
    <t>VILAMACOLUM</t>
  </si>
  <si>
    <t>17226</t>
  </si>
  <si>
    <t>VILAMALLA</t>
  </si>
  <si>
    <t>17227</t>
  </si>
  <si>
    <t>VILAMANISCLE</t>
  </si>
  <si>
    <t>25247</t>
  </si>
  <si>
    <t>VILAMOS</t>
  </si>
  <si>
    <t>17228</t>
  </si>
  <si>
    <t>VILANANT</t>
  </si>
  <si>
    <t>25248</t>
  </si>
  <si>
    <t>VILANOVA DE BELLPUIG</t>
  </si>
  <si>
    <t>25254</t>
  </si>
  <si>
    <t>VILANOVA DE LA BARCA</t>
  </si>
  <si>
    <t>25249</t>
  </si>
  <si>
    <t>VILANOVA DE L'AGUDA</t>
  </si>
  <si>
    <t>25250</t>
  </si>
  <si>
    <t>VILANOVA DE MEIA</t>
  </si>
  <si>
    <t>43168</t>
  </si>
  <si>
    <t>VILANOVA DE PRADES</t>
  </si>
  <si>
    <t>08303</t>
  </si>
  <si>
    <t>VILANOVA DE SAU</t>
  </si>
  <si>
    <t>25251</t>
  </si>
  <si>
    <t>VILANOVA DE SEGRIA</t>
  </si>
  <si>
    <t>08302</t>
  </si>
  <si>
    <t>VILANOVA DEL CAMI</t>
  </si>
  <si>
    <t>08902</t>
  </si>
  <si>
    <t>VILANOVA DEL VALLES</t>
  </si>
  <si>
    <t>43167</t>
  </si>
  <si>
    <t>VILANOVA D'ESCORNALBOU</t>
  </si>
  <si>
    <t>08307</t>
  </si>
  <si>
    <t>VILANOVA I LA GELTRÚ</t>
  </si>
  <si>
    <t>43169</t>
  </si>
  <si>
    <t>VILAPLANA</t>
  </si>
  <si>
    <t>43170</t>
  </si>
  <si>
    <t>VILA-RODONA</t>
  </si>
  <si>
    <t>17230</t>
  </si>
  <si>
    <t>VILA-SACRA</t>
  </si>
  <si>
    <t>25252</t>
  </si>
  <si>
    <t>VILA-SANA</t>
  </si>
  <si>
    <t>43171</t>
  </si>
  <si>
    <t>VILA-SECA</t>
  </si>
  <si>
    <t>08214</t>
  </si>
  <si>
    <t>VILASSAR DE DALT</t>
  </si>
  <si>
    <t>08219</t>
  </si>
  <si>
    <t>VILASSAR DE MAR</t>
  </si>
  <si>
    <t>17222</t>
  </si>
  <si>
    <t>VILAÜR</t>
  </si>
  <si>
    <t>43172</t>
  </si>
  <si>
    <t>VILAVERD</t>
  </si>
  <si>
    <t>43173</t>
  </si>
  <si>
    <t>VILELLA ALTA, LA</t>
  </si>
  <si>
    <t>43174</t>
  </si>
  <si>
    <t>VILELLA BAIXA, LA</t>
  </si>
  <si>
    <t>08304</t>
  </si>
  <si>
    <t>VILOBI DEL PENEDES</t>
  </si>
  <si>
    <t>17233</t>
  </si>
  <si>
    <t>VILOBI D'ONYAR</t>
  </si>
  <si>
    <t>17232</t>
  </si>
  <si>
    <t>VILOPRIU</t>
  </si>
  <si>
    <t>25253</t>
  </si>
  <si>
    <t>VILOSELL, EL</t>
  </si>
  <si>
    <t>43176</t>
  </si>
  <si>
    <t>VIMBODI I POBLET</t>
  </si>
  <si>
    <t>25255</t>
  </si>
  <si>
    <t>VINAIXA</t>
  </si>
  <si>
    <t>43177</t>
  </si>
  <si>
    <t>VINEBRE</t>
  </si>
  <si>
    <t>43178</t>
  </si>
  <si>
    <t>VINYOLS I ELS ARCS</t>
  </si>
  <si>
    <t>08308</t>
  </si>
  <si>
    <t>VIVER I SERRATEIX</t>
  </si>
  <si>
    <t>43052</t>
  </si>
  <si>
    <t>XERTA</t>
  </si>
  <si>
    <t>Origen dades: Elaboració ACA</t>
  </si>
  <si>
    <t>No inclou volums exempts</t>
  </si>
  <si>
    <t>Dades extretes de les declaracions presentades dels volums consumits facturats. Aquetes dades poden diferir dels consums efectuats durant l’any natural.</t>
  </si>
  <si>
    <t>LLUÇANÈS, EL</t>
  </si>
  <si>
    <t>Comarca 2023</t>
  </si>
  <si>
    <t>CASTELL-PLATJA D'ARO I S'AGARÓ</t>
  </si>
  <si>
    <t>MASARAC I VILARNADAL</t>
  </si>
  <si>
    <t>BISBAL DE MONTSANT, LA</t>
  </si>
  <si>
    <t>Darrera data actualització 23/06/2025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</si>
</sst>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4"/>
      <color theme="4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i/>
      <sz val="8"/>
      <color theme="1" tint="0.499984740745262"/>
      <name val="Arial"/>
      <family val="2"/>
    </font>
    <font>
      <sz val="11"/>
      <color rgb="FF000000"/>
      <name val="Arial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9" fillId="0" borderId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6" xfId="0" quotePrefix="1" applyFont="1" applyFill="1" applyBorder="1" applyAlignment="1">
      <alignment horizontal="right" vertical="center" wrapText="1"/>
    </xf>
    <xf numFmtId="0" fontId="6" fillId="4" borderId="7" xfId="0" applyFont="1" applyFill="1" applyBorder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10" fillId="0" borderId="0" xfId="2" applyFont="1" applyAlignment="1">
      <alignment vertical="center"/>
    </xf>
    <xf numFmtId="3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0" fillId="5" borderId="0" xfId="2" applyFont="1" applyFill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 wrapText="1"/>
    </xf>
    <xf numFmtId="0" fontId="6" fillId="4" borderId="8" xfId="0" applyFont="1" applyFill="1" applyBorder="1" applyAlignment="1">
      <alignment horizontal="right" vertical="center" wrapText="1"/>
    </xf>
    <xf numFmtId="0" fontId="2" fillId="0" borderId="0" xfId="0" applyFont="1"/>
    <xf numFmtId="0" fontId="12" fillId="0" borderId="0" xfId="0" applyFont="1"/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wrapText="1"/>
    </xf>
    <xf numFmtId="0" fontId="15" fillId="4" borderId="5" xfId="0" applyFont="1" applyFill="1" applyBorder="1" applyAlignment="1">
      <alignment horizontal="left" vertical="center" wrapText="1"/>
    </xf>
    <xf numFmtId="3" fontId="13" fillId="0" borderId="0" xfId="0" applyNumberFormat="1" applyFont="1" applyAlignment="1">
      <alignment vertical="center" wrapText="1"/>
    </xf>
    <xf numFmtId="3" fontId="13" fillId="0" borderId="2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3" fontId="2" fillId="0" borderId="2" xfId="0" applyNumberFormat="1" applyFont="1" applyBorder="1" applyAlignment="1">
      <alignment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2" borderId="4" xfId="0" applyNumberFormat="1" applyFont="1" applyFill="1" applyBorder="1" applyAlignment="1">
      <alignment vertical="center" wrapText="1"/>
    </xf>
    <xf numFmtId="3" fontId="2" fillId="2" borderId="10" xfId="0" applyNumberFormat="1" applyFont="1" applyFill="1" applyBorder="1" applyAlignment="1">
      <alignment vertical="center" wrapText="1"/>
    </xf>
    <xf numFmtId="3" fontId="2" fillId="2" borderId="10" xfId="0" applyNumberFormat="1" applyFont="1" applyFill="1" applyBorder="1" applyAlignment="1">
      <alignment horizontal="right" vertical="center" wrapText="1"/>
    </xf>
    <xf numFmtId="0" fontId="6" fillId="4" borderId="11" xfId="0" applyFont="1" applyFill="1" applyBorder="1" applyAlignment="1">
      <alignment horizontal="right" vertical="center" wrapText="1"/>
    </xf>
    <xf numFmtId="0" fontId="6" fillId="4" borderId="11" xfId="0" quotePrefix="1" applyFont="1" applyFill="1" applyBorder="1" applyAlignment="1">
      <alignment horizontal="right" vertical="center" wrapText="1"/>
    </xf>
    <xf numFmtId="3" fontId="13" fillId="0" borderId="12" xfId="0" applyNumberFormat="1" applyFont="1" applyBorder="1" applyAlignment="1">
      <alignment vertical="center" wrapText="1"/>
    </xf>
    <xf numFmtId="3" fontId="13" fillId="0" borderId="11" xfId="0" applyNumberFormat="1" applyFont="1" applyBorder="1" applyAlignment="1">
      <alignment vertical="center" wrapText="1"/>
    </xf>
    <xf numFmtId="3" fontId="13" fillId="0" borderId="9" xfId="0" applyNumberFormat="1" applyFont="1" applyBorder="1" applyAlignment="1">
      <alignment vertical="center" wrapText="1"/>
    </xf>
    <xf numFmtId="3" fontId="2" fillId="2" borderId="13" xfId="0" applyNumberFormat="1" applyFont="1" applyFill="1" applyBorder="1" applyAlignment="1">
      <alignment vertical="center" wrapText="1"/>
    </xf>
    <xf numFmtId="9" fontId="2" fillId="0" borderId="0" xfId="3" applyFont="1" applyAlignment="1">
      <alignment vertical="center" wrapText="1"/>
    </xf>
    <xf numFmtId="164" fontId="2" fillId="0" borderId="0" xfId="4" applyNumberFormat="1" applyFont="1" applyAlignment="1">
      <alignment vertical="center" wrapText="1"/>
    </xf>
    <xf numFmtId="3" fontId="13" fillId="0" borderId="8" xfId="0" applyNumberFormat="1" applyFont="1" applyBorder="1" applyAlignment="1">
      <alignment vertical="center" wrapText="1"/>
    </xf>
    <xf numFmtId="3" fontId="8" fillId="0" borderId="0" xfId="0" applyNumberFormat="1" applyFont="1" applyAlignment="1">
      <alignment vertical="center" wrapText="1"/>
    </xf>
    <xf numFmtId="3" fontId="2" fillId="0" borderId="0" xfId="0" quotePrefix="1" applyNumberFormat="1" applyFont="1" applyAlignment="1">
      <alignment vertical="center" wrapText="1"/>
    </xf>
    <xf numFmtId="0" fontId="0" fillId="0" borderId="2" xfId="0" applyBorder="1" applyAlignment="1" applyProtection="1">
      <alignment vertical="center" wrapText="1"/>
      <protection locked="0"/>
    </xf>
    <xf numFmtId="0" fontId="16" fillId="0" borderId="1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</cellXfs>
  <cellStyles count="5">
    <cellStyle name="Millares" xfId="4" builtinId="3"/>
    <cellStyle name="Normal" xfId="0" builtinId="0"/>
    <cellStyle name="Normal 6" xfId="1" xr:uid="{00000000-0005-0000-0000-000001000000}"/>
    <cellStyle name="Normal_Cens 2008" xfId="2" xr:uid="{00000000-0005-0000-0000-000002000000}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34059</xdr:colOff>
      <xdr:row>0</xdr:row>
      <xdr:rowOff>24246</xdr:rowOff>
    </xdr:from>
    <xdr:to>
      <xdr:col>1</xdr:col>
      <xdr:colOff>958273</xdr:colOff>
      <xdr:row>1</xdr:row>
      <xdr:rowOff>197786</xdr:rowOff>
    </xdr:to>
    <xdr:pic>
      <xdr:nvPicPr>
        <xdr:cNvPr id="1045" name="Imatge 1" descr="logo_aca.gif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6195" y="24246"/>
          <a:ext cx="1437987" cy="4044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66"/>
  <sheetViews>
    <sheetView showGridLines="0" tabSelected="1" zoomScale="110" zoomScaleNormal="110" workbookViewId="0">
      <pane ySplit="7" topLeftCell="A8" activePane="bottomLeft" state="frozen"/>
      <selection pane="bottomLeft" activeCell="A6" sqref="A6"/>
    </sheetView>
  </sheetViews>
  <sheetFormatPr baseColWidth="10" defaultColWidth="12" defaultRowHeight="3.75" customHeight="1" x14ac:dyDescent="0.25"/>
  <cols>
    <col min="1" max="1" width="9" style="1" customWidth="1"/>
    <col min="2" max="2" width="37" style="2" customWidth="1"/>
    <col min="3" max="6" width="23.7109375" style="23" customWidth="1"/>
    <col min="7" max="11" width="22" style="23" customWidth="1"/>
    <col min="12" max="12" width="15.7109375" style="23" customWidth="1"/>
    <col min="13" max="15" width="22" style="23" customWidth="1"/>
    <col min="16" max="20" width="20.42578125" style="23" customWidth="1"/>
    <col min="21" max="21" width="15.140625" style="23" customWidth="1"/>
    <col min="22" max="22" width="12.7109375" style="2" customWidth="1"/>
    <col min="23" max="23" width="17.85546875" style="2" customWidth="1"/>
    <col min="24" max="24" width="13.140625" style="2" customWidth="1"/>
    <col min="25" max="25" width="25.140625" style="2" customWidth="1"/>
    <col min="26" max="26" width="21.28515625" style="2" customWidth="1"/>
    <col min="27" max="27" width="13.85546875" style="2" customWidth="1"/>
    <col min="28" max="28" width="23.42578125" style="17" customWidth="1"/>
    <col min="29" max="29" width="19.7109375" style="2" customWidth="1"/>
    <col min="30" max="30" width="14.28515625" style="2" customWidth="1"/>
    <col min="31" max="39" width="18.85546875" style="2" customWidth="1"/>
    <col min="40" max="42" width="20.85546875" style="2" customWidth="1"/>
    <col min="43" max="43" width="12" style="2"/>
    <col min="44" max="44" width="15.140625" style="2" bestFit="1" customWidth="1"/>
    <col min="45" max="45" width="14.28515625" style="2" bestFit="1" customWidth="1"/>
    <col min="46" max="16384" width="12" style="2"/>
  </cols>
  <sheetData>
    <row r="1" spans="1:46" ht="18" customHeight="1" x14ac:dyDescent="0.25"/>
    <row r="2" spans="1:46" ht="18" customHeight="1" x14ac:dyDescent="0.25">
      <c r="V2" s="22"/>
      <c r="AA2" s="15"/>
      <c r="AB2" s="18"/>
    </row>
    <row r="3" spans="1:46" ht="6" customHeight="1" x14ac:dyDescent="0.25"/>
    <row r="4" spans="1:46" ht="18.75" customHeight="1" x14ac:dyDescent="0.25">
      <c r="A4" s="51" t="s">
        <v>0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</row>
    <row r="5" spans="1:46" ht="10.199999999999999" customHeight="1" x14ac:dyDescent="0.25">
      <c r="A5" s="52" t="s">
        <v>1951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</row>
    <row r="6" spans="1:46" s="6" customFormat="1" ht="14.4" customHeight="1" x14ac:dyDescent="0.3">
      <c r="A6" s="7"/>
      <c r="B6" s="8"/>
      <c r="C6" s="24"/>
      <c r="D6" s="49">
        <v>2024</v>
      </c>
      <c r="E6" s="49"/>
      <c r="F6" s="49"/>
      <c r="G6" s="49">
        <v>2023</v>
      </c>
      <c r="H6" s="49"/>
      <c r="I6" s="49"/>
      <c r="J6" s="49">
        <v>2022</v>
      </c>
      <c r="K6" s="49"/>
      <c r="L6" s="49"/>
      <c r="M6" s="49">
        <v>2021</v>
      </c>
      <c r="N6" s="49"/>
      <c r="O6" s="49"/>
      <c r="P6" s="49">
        <v>2020</v>
      </c>
      <c r="Q6" s="49"/>
      <c r="R6" s="49"/>
      <c r="S6" s="49">
        <v>2019</v>
      </c>
      <c r="T6" s="49"/>
      <c r="U6" s="49"/>
      <c r="V6" s="49">
        <v>2018</v>
      </c>
      <c r="W6" s="49"/>
      <c r="X6" s="49"/>
      <c r="Y6" s="49">
        <v>2017</v>
      </c>
      <c r="Z6" s="49"/>
      <c r="AA6" s="49"/>
      <c r="AB6" s="49">
        <v>2016</v>
      </c>
      <c r="AC6" s="49"/>
      <c r="AD6" s="49"/>
      <c r="AE6" s="49">
        <v>2015</v>
      </c>
      <c r="AF6" s="49"/>
      <c r="AG6" s="49"/>
      <c r="AH6" s="49">
        <v>2014</v>
      </c>
      <c r="AI6" s="49"/>
      <c r="AJ6" s="49"/>
      <c r="AK6" s="49">
        <v>2013</v>
      </c>
      <c r="AL6" s="49"/>
      <c r="AM6" s="49"/>
      <c r="AN6" s="49">
        <v>2012</v>
      </c>
      <c r="AO6" s="49"/>
      <c r="AP6" s="49"/>
    </row>
    <row r="7" spans="1:46" s="14" customFormat="1" ht="30" customHeight="1" x14ac:dyDescent="0.25">
      <c r="A7" s="9" t="s">
        <v>1</v>
      </c>
      <c r="B7" s="10" t="s">
        <v>2</v>
      </c>
      <c r="C7" s="25" t="s">
        <v>1947</v>
      </c>
      <c r="D7" s="36" t="s">
        <v>3</v>
      </c>
      <c r="E7" s="37" t="s">
        <v>4</v>
      </c>
      <c r="F7" s="20" t="s">
        <v>5</v>
      </c>
      <c r="G7" s="36" t="s">
        <v>3</v>
      </c>
      <c r="H7" s="37" t="s">
        <v>4</v>
      </c>
      <c r="I7" s="20" t="s">
        <v>5</v>
      </c>
      <c r="J7" s="36" t="s">
        <v>3</v>
      </c>
      <c r="K7" s="37" t="s">
        <v>4</v>
      </c>
      <c r="L7" s="20" t="s">
        <v>5</v>
      </c>
      <c r="M7" s="11" t="s">
        <v>3</v>
      </c>
      <c r="N7" s="12" t="s">
        <v>4</v>
      </c>
      <c r="O7" s="20" t="s">
        <v>5</v>
      </c>
      <c r="P7" s="11" t="s">
        <v>3</v>
      </c>
      <c r="Q7" s="12" t="s">
        <v>4</v>
      </c>
      <c r="R7" s="20" t="s">
        <v>5</v>
      </c>
      <c r="S7" s="11" t="s">
        <v>3</v>
      </c>
      <c r="T7" s="12" t="s">
        <v>4</v>
      </c>
      <c r="U7" s="20" t="s">
        <v>5</v>
      </c>
      <c r="V7" s="11" t="s">
        <v>3</v>
      </c>
      <c r="W7" s="12" t="s">
        <v>4</v>
      </c>
      <c r="X7" s="20" t="s">
        <v>5</v>
      </c>
      <c r="Y7" s="11" t="s">
        <v>3</v>
      </c>
      <c r="Z7" s="12" t="s">
        <v>4</v>
      </c>
      <c r="AA7" s="20" t="s">
        <v>5</v>
      </c>
      <c r="AB7" s="11" t="s">
        <v>3</v>
      </c>
      <c r="AC7" s="12" t="s">
        <v>4</v>
      </c>
      <c r="AD7" s="13" t="s">
        <v>5</v>
      </c>
      <c r="AE7" s="11" t="s">
        <v>3</v>
      </c>
      <c r="AF7" s="12" t="s">
        <v>4</v>
      </c>
      <c r="AG7" s="13" t="s">
        <v>5</v>
      </c>
      <c r="AH7" s="11" t="s">
        <v>3</v>
      </c>
      <c r="AI7" s="12" t="s">
        <v>4</v>
      </c>
      <c r="AJ7" s="13" t="s">
        <v>5</v>
      </c>
      <c r="AK7" s="11" t="s">
        <v>3</v>
      </c>
      <c r="AL7" s="12" t="s">
        <v>4</v>
      </c>
      <c r="AM7" s="13" t="s">
        <v>5</v>
      </c>
      <c r="AN7" s="11" t="s">
        <v>3</v>
      </c>
      <c r="AO7" s="12" t="s">
        <v>4</v>
      </c>
      <c r="AP7" s="13" t="s">
        <v>5</v>
      </c>
    </row>
    <row r="8" spans="1:46" ht="12.9" customHeight="1" x14ac:dyDescent="0.25">
      <c r="A8" s="28" t="s">
        <v>6</v>
      </c>
      <c r="B8" s="29" t="s">
        <v>7</v>
      </c>
      <c r="C8" s="30" t="s">
        <v>8</v>
      </c>
      <c r="D8" s="40">
        <v>7020</v>
      </c>
      <c r="E8" s="26">
        <v>44566</v>
      </c>
      <c r="F8" s="26">
        <f>+D8+E8</f>
        <v>51586</v>
      </c>
      <c r="G8" s="38">
        <v>7020</v>
      </c>
      <c r="H8" s="39">
        <v>44571</v>
      </c>
      <c r="I8" s="44">
        <f>+G8+H8</f>
        <v>51591</v>
      </c>
      <c r="J8" s="38">
        <v>8658</v>
      </c>
      <c r="K8" s="39">
        <v>44561</v>
      </c>
      <c r="L8" s="27">
        <v>53219</v>
      </c>
      <c r="M8" s="26">
        <v>6749</v>
      </c>
      <c r="N8" s="26">
        <v>44562</v>
      </c>
      <c r="O8" s="27">
        <v>51311</v>
      </c>
      <c r="P8" s="26">
        <v>6749</v>
      </c>
      <c r="Q8" s="26">
        <v>44585</v>
      </c>
      <c r="R8" s="27">
        <v>51334</v>
      </c>
      <c r="S8" s="26">
        <v>6749</v>
      </c>
      <c r="T8" s="26">
        <v>111473</v>
      </c>
      <c r="U8" s="27">
        <v>118222</v>
      </c>
      <c r="V8" s="16">
        <v>9211</v>
      </c>
      <c r="W8" s="16">
        <v>111397</v>
      </c>
      <c r="X8" s="31">
        <v>120608</v>
      </c>
      <c r="Y8" s="16">
        <v>7128</v>
      </c>
      <c r="Z8" s="16">
        <v>30471</v>
      </c>
      <c r="AA8" s="31">
        <v>37599</v>
      </c>
      <c r="AB8" s="32">
        <v>7128</v>
      </c>
      <c r="AC8" s="16">
        <v>30471</v>
      </c>
      <c r="AD8" s="31">
        <v>37599</v>
      </c>
      <c r="AE8" s="16">
        <v>3023</v>
      </c>
      <c r="AF8" s="16">
        <v>35793</v>
      </c>
      <c r="AG8" s="31">
        <v>38816</v>
      </c>
      <c r="AH8" s="16">
        <v>3023</v>
      </c>
      <c r="AI8" s="16">
        <v>35721</v>
      </c>
      <c r="AJ8" s="31">
        <v>38744</v>
      </c>
      <c r="AK8" s="16">
        <v>1308</v>
      </c>
      <c r="AL8" s="16">
        <v>20961</v>
      </c>
      <c r="AM8" s="31">
        <v>22269</v>
      </c>
      <c r="AN8" s="16">
        <v>3214</v>
      </c>
      <c r="AO8" s="16">
        <v>0</v>
      </c>
      <c r="AP8" s="31">
        <v>3214</v>
      </c>
      <c r="AQ8" s="42"/>
      <c r="AR8" s="43"/>
      <c r="AS8" s="42"/>
      <c r="AT8" s="42"/>
    </row>
    <row r="9" spans="1:46" ht="12.9" customHeight="1" x14ac:dyDescent="0.25">
      <c r="A9" s="28" t="s">
        <v>9</v>
      </c>
      <c r="B9" s="29" t="s">
        <v>10</v>
      </c>
      <c r="C9" s="30" t="s">
        <v>11</v>
      </c>
      <c r="D9" s="40">
        <v>516684</v>
      </c>
      <c r="E9" s="26">
        <v>456685</v>
      </c>
      <c r="F9" s="26">
        <f t="shared" ref="F9:F72" si="0">+D9+E9</f>
        <v>973369</v>
      </c>
      <c r="G9" s="40">
        <v>544827</v>
      </c>
      <c r="H9" s="26">
        <v>470060</v>
      </c>
      <c r="I9" s="27">
        <f>+G9+H9</f>
        <v>1014887</v>
      </c>
      <c r="J9" s="40">
        <v>557532</v>
      </c>
      <c r="K9" s="26">
        <v>616210</v>
      </c>
      <c r="L9" s="27">
        <v>1173742</v>
      </c>
      <c r="M9" s="26">
        <v>588978</v>
      </c>
      <c r="N9" s="26">
        <v>568274</v>
      </c>
      <c r="O9" s="27">
        <v>1157252</v>
      </c>
      <c r="P9" s="26">
        <v>576066</v>
      </c>
      <c r="Q9" s="26">
        <v>526848</v>
      </c>
      <c r="R9" s="27">
        <v>1102914</v>
      </c>
      <c r="S9" s="26">
        <v>540926</v>
      </c>
      <c r="T9" s="26">
        <v>515899</v>
      </c>
      <c r="U9" s="27">
        <v>1056825</v>
      </c>
      <c r="V9" s="16">
        <v>541260</v>
      </c>
      <c r="W9" s="16">
        <v>487419</v>
      </c>
      <c r="X9" s="31">
        <v>1028679</v>
      </c>
      <c r="Y9" s="16">
        <v>534313</v>
      </c>
      <c r="Z9" s="16">
        <v>488064</v>
      </c>
      <c r="AA9" s="31">
        <v>1022377</v>
      </c>
      <c r="AB9" s="32">
        <v>550926</v>
      </c>
      <c r="AC9" s="16">
        <v>384520</v>
      </c>
      <c r="AD9" s="31">
        <v>935446</v>
      </c>
      <c r="AE9" s="16">
        <v>526060</v>
      </c>
      <c r="AF9" s="16">
        <v>313347</v>
      </c>
      <c r="AG9" s="31">
        <v>839407</v>
      </c>
      <c r="AH9" s="16">
        <v>528707</v>
      </c>
      <c r="AI9" s="16">
        <v>238549</v>
      </c>
      <c r="AJ9" s="31">
        <v>767256</v>
      </c>
      <c r="AK9" s="16">
        <v>542755</v>
      </c>
      <c r="AL9" s="16">
        <v>230486</v>
      </c>
      <c r="AM9" s="31">
        <v>773241</v>
      </c>
      <c r="AN9" s="16">
        <v>583937</v>
      </c>
      <c r="AO9" s="16">
        <v>221822</v>
      </c>
      <c r="AP9" s="31">
        <v>805759</v>
      </c>
      <c r="AQ9" s="42"/>
      <c r="AR9" s="43"/>
      <c r="AS9" s="42"/>
      <c r="AT9" s="42"/>
    </row>
    <row r="10" spans="1:46" ht="12.9" customHeight="1" x14ac:dyDescent="0.25">
      <c r="A10" s="28" t="s">
        <v>12</v>
      </c>
      <c r="B10" s="29" t="s">
        <v>13</v>
      </c>
      <c r="C10" s="30" t="s">
        <v>14</v>
      </c>
      <c r="D10" s="40">
        <v>22494</v>
      </c>
      <c r="E10" s="26">
        <v>64803</v>
      </c>
      <c r="F10" s="26">
        <f t="shared" si="0"/>
        <v>87297</v>
      </c>
      <c r="G10" s="40">
        <v>25586</v>
      </c>
      <c r="H10" s="26">
        <v>66657</v>
      </c>
      <c r="I10" s="27">
        <f t="shared" ref="I10:I73" si="1">+G10+H10</f>
        <v>92243</v>
      </c>
      <c r="J10" s="40">
        <v>26953</v>
      </c>
      <c r="K10" s="26">
        <v>76767</v>
      </c>
      <c r="L10" s="27">
        <v>103720</v>
      </c>
      <c r="M10" s="26">
        <v>30600</v>
      </c>
      <c r="N10" s="26">
        <v>73775</v>
      </c>
      <c r="O10" s="27">
        <v>104375</v>
      </c>
      <c r="P10" s="26">
        <v>34956</v>
      </c>
      <c r="Q10" s="26">
        <v>75709</v>
      </c>
      <c r="R10" s="27">
        <v>110665</v>
      </c>
      <c r="S10" s="26">
        <v>25033</v>
      </c>
      <c r="T10" s="26">
        <v>55125</v>
      </c>
      <c r="U10" s="27">
        <v>80158</v>
      </c>
      <c r="V10" s="16">
        <v>24566</v>
      </c>
      <c r="W10" s="16">
        <v>51405</v>
      </c>
      <c r="X10" s="31">
        <v>75971</v>
      </c>
      <c r="Y10" s="16">
        <v>27009</v>
      </c>
      <c r="Z10" s="16">
        <v>53149</v>
      </c>
      <c r="AA10" s="31">
        <v>80158</v>
      </c>
      <c r="AB10" s="32">
        <v>29728</v>
      </c>
      <c r="AC10" s="16">
        <v>51126</v>
      </c>
      <c r="AD10" s="31">
        <v>80854</v>
      </c>
      <c r="AE10" s="16">
        <v>27524</v>
      </c>
      <c r="AF10" s="16">
        <v>43901</v>
      </c>
      <c r="AG10" s="31">
        <v>71425</v>
      </c>
      <c r="AH10" s="16">
        <v>29132</v>
      </c>
      <c r="AI10" s="16">
        <v>19272</v>
      </c>
      <c r="AJ10" s="31">
        <v>48404</v>
      </c>
      <c r="AK10" s="16">
        <v>29868</v>
      </c>
      <c r="AL10" s="16">
        <v>43813</v>
      </c>
      <c r="AM10" s="31">
        <v>73681</v>
      </c>
      <c r="AN10" s="16">
        <v>30251</v>
      </c>
      <c r="AO10" s="16">
        <v>48035</v>
      </c>
      <c r="AP10" s="31">
        <v>78286</v>
      </c>
      <c r="AQ10" s="42"/>
      <c r="AR10" s="43"/>
      <c r="AS10" s="42"/>
      <c r="AT10" s="42"/>
    </row>
    <row r="11" spans="1:46" ht="12.9" customHeight="1" x14ac:dyDescent="0.25">
      <c r="A11" s="28" t="s">
        <v>15</v>
      </c>
      <c r="B11" s="29" t="s">
        <v>16</v>
      </c>
      <c r="C11" s="30" t="s">
        <v>17</v>
      </c>
      <c r="D11" s="40">
        <v>213218</v>
      </c>
      <c r="E11" s="26">
        <v>153190</v>
      </c>
      <c r="F11" s="26">
        <f t="shared" si="0"/>
        <v>366408</v>
      </c>
      <c r="G11" s="40">
        <v>211179</v>
      </c>
      <c r="H11" s="26">
        <v>172692</v>
      </c>
      <c r="I11" s="27">
        <f t="shared" si="1"/>
        <v>383871</v>
      </c>
      <c r="J11" s="40">
        <v>219419</v>
      </c>
      <c r="K11" s="26">
        <v>181816</v>
      </c>
      <c r="L11" s="27">
        <v>401235</v>
      </c>
      <c r="M11" s="26">
        <v>230237</v>
      </c>
      <c r="N11" s="26">
        <v>169349</v>
      </c>
      <c r="O11" s="27">
        <v>399586</v>
      </c>
      <c r="P11" s="26">
        <v>231936</v>
      </c>
      <c r="Q11" s="26">
        <v>148609</v>
      </c>
      <c r="R11" s="27">
        <v>380545</v>
      </c>
      <c r="S11" s="26">
        <v>215528</v>
      </c>
      <c r="T11" s="26">
        <v>163295</v>
      </c>
      <c r="U11" s="27">
        <v>378823</v>
      </c>
      <c r="V11" s="16">
        <v>211038</v>
      </c>
      <c r="W11" s="16">
        <v>138632</v>
      </c>
      <c r="X11" s="31">
        <v>349670</v>
      </c>
      <c r="Y11" s="16">
        <v>205688</v>
      </c>
      <c r="Z11" s="16">
        <v>92414</v>
      </c>
      <c r="AA11" s="31">
        <v>298102</v>
      </c>
      <c r="AB11" s="32">
        <v>209511</v>
      </c>
      <c r="AC11" s="16">
        <v>95836</v>
      </c>
      <c r="AD11" s="31">
        <v>305347</v>
      </c>
      <c r="AE11" s="16">
        <v>213927</v>
      </c>
      <c r="AF11" s="16">
        <v>133319</v>
      </c>
      <c r="AG11" s="31">
        <v>347246</v>
      </c>
      <c r="AH11" s="16">
        <v>201690</v>
      </c>
      <c r="AI11" s="16">
        <v>85826</v>
      </c>
      <c r="AJ11" s="31">
        <v>287516</v>
      </c>
      <c r="AK11" s="16">
        <v>229560</v>
      </c>
      <c r="AL11" s="16">
        <v>198736</v>
      </c>
      <c r="AM11" s="31">
        <v>428296</v>
      </c>
      <c r="AN11" s="16">
        <v>217356</v>
      </c>
      <c r="AO11" s="16">
        <v>123063</v>
      </c>
      <c r="AP11" s="31">
        <v>340419</v>
      </c>
      <c r="AQ11" s="42"/>
      <c r="AR11" s="43"/>
      <c r="AS11" s="42"/>
      <c r="AT11" s="42"/>
    </row>
    <row r="12" spans="1:46" ht="12.9" customHeight="1" x14ac:dyDescent="0.25">
      <c r="A12" s="28" t="s">
        <v>18</v>
      </c>
      <c r="B12" s="29" t="s">
        <v>19</v>
      </c>
      <c r="C12" s="30" t="s">
        <v>20</v>
      </c>
      <c r="D12" s="40">
        <v>11743</v>
      </c>
      <c r="E12" s="26">
        <v>381</v>
      </c>
      <c r="F12" s="26">
        <f t="shared" si="0"/>
        <v>12124</v>
      </c>
      <c r="G12" s="40">
        <v>12192</v>
      </c>
      <c r="H12" s="26">
        <v>256</v>
      </c>
      <c r="I12" s="27">
        <f t="shared" si="1"/>
        <v>12448</v>
      </c>
      <c r="J12" s="40">
        <v>17053</v>
      </c>
      <c r="K12" s="26">
        <v>117</v>
      </c>
      <c r="L12" s="27">
        <v>17170</v>
      </c>
      <c r="M12" s="26">
        <v>16559</v>
      </c>
      <c r="N12" s="26">
        <v>368</v>
      </c>
      <c r="O12" s="27">
        <v>16927</v>
      </c>
      <c r="P12" s="26">
        <v>18644</v>
      </c>
      <c r="Q12" s="26">
        <v>701</v>
      </c>
      <c r="R12" s="27">
        <v>19345</v>
      </c>
      <c r="S12" s="26">
        <v>18644</v>
      </c>
      <c r="T12" s="26">
        <v>701</v>
      </c>
      <c r="U12" s="27">
        <v>19345</v>
      </c>
      <c r="V12" s="16">
        <v>13526.666666666666</v>
      </c>
      <c r="W12" s="16">
        <v>145</v>
      </c>
      <c r="X12" s="31">
        <v>13671.666666666666</v>
      </c>
      <c r="Y12" s="16">
        <v>13526.666666666666</v>
      </c>
      <c r="Z12" s="16">
        <v>145</v>
      </c>
      <c r="AA12" s="31">
        <v>13671.666666666666</v>
      </c>
      <c r="AB12" s="32">
        <v>13013</v>
      </c>
      <c r="AC12" s="16">
        <v>196</v>
      </c>
      <c r="AD12" s="31">
        <v>13209</v>
      </c>
      <c r="AE12" s="16">
        <v>13013</v>
      </c>
      <c r="AF12" s="16">
        <v>196</v>
      </c>
      <c r="AG12" s="31">
        <v>13209</v>
      </c>
      <c r="AH12" s="16">
        <v>13013</v>
      </c>
      <c r="AI12" s="16">
        <v>196</v>
      </c>
      <c r="AJ12" s="31">
        <v>13209</v>
      </c>
      <c r="AK12" s="16">
        <v>13013</v>
      </c>
      <c r="AL12" s="16">
        <v>196</v>
      </c>
      <c r="AM12" s="31">
        <v>13209</v>
      </c>
      <c r="AN12" s="16">
        <v>10091</v>
      </c>
      <c r="AO12" s="16">
        <v>293</v>
      </c>
      <c r="AP12" s="31">
        <v>10384</v>
      </c>
      <c r="AQ12" s="42"/>
      <c r="AR12" s="43"/>
      <c r="AS12" s="42"/>
      <c r="AT12" s="42"/>
    </row>
    <row r="13" spans="1:46" ht="12.9" customHeight="1" x14ac:dyDescent="0.25">
      <c r="A13" s="28" t="s">
        <v>21</v>
      </c>
      <c r="B13" s="29" t="s">
        <v>22</v>
      </c>
      <c r="C13" s="30" t="s">
        <v>23</v>
      </c>
      <c r="D13" s="40">
        <v>28325</v>
      </c>
      <c r="E13" s="26">
        <v>2417</v>
      </c>
      <c r="F13" s="26">
        <f t="shared" si="0"/>
        <v>30742</v>
      </c>
      <c r="G13" s="40">
        <v>33507</v>
      </c>
      <c r="H13" s="26">
        <v>4090</v>
      </c>
      <c r="I13" s="27">
        <f t="shared" si="1"/>
        <v>37597</v>
      </c>
      <c r="J13" s="40">
        <v>35481</v>
      </c>
      <c r="K13" s="26">
        <v>4896</v>
      </c>
      <c r="L13" s="27">
        <v>40377</v>
      </c>
      <c r="M13" s="26">
        <v>36996</v>
      </c>
      <c r="N13" s="26">
        <v>2520</v>
      </c>
      <c r="O13" s="27">
        <v>39516</v>
      </c>
      <c r="P13" s="26">
        <v>35227</v>
      </c>
      <c r="Q13" s="26">
        <v>2825</v>
      </c>
      <c r="R13" s="27">
        <v>38052</v>
      </c>
      <c r="S13" s="26">
        <v>32854</v>
      </c>
      <c r="T13" s="26">
        <v>5526</v>
      </c>
      <c r="U13" s="27">
        <v>38380</v>
      </c>
      <c r="V13" s="16">
        <v>31994</v>
      </c>
      <c r="W13" s="16">
        <v>5463</v>
      </c>
      <c r="X13" s="31">
        <v>37457</v>
      </c>
      <c r="Y13" s="16">
        <v>32837</v>
      </c>
      <c r="Z13" s="16">
        <v>5383</v>
      </c>
      <c r="AA13" s="31">
        <v>38220</v>
      </c>
      <c r="AB13" s="32">
        <v>33046</v>
      </c>
      <c r="AC13" s="16">
        <v>5730</v>
      </c>
      <c r="AD13" s="31">
        <v>38776</v>
      </c>
      <c r="AE13" s="16">
        <v>34623</v>
      </c>
      <c r="AF13" s="16">
        <v>4298</v>
      </c>
      <c r="AG13" s="31">
        <v>38921</v>
      </c>
      <c r="AH13" s="16">
        <v>31631</v>
      </c>
      <c r="AI13" s="16">
        <v>4656</v>
      </c>
      <c r="AJ13" s="31">
        <v>36287</v>
      </c>
      <c r="AK13" s="16">
        <v>39623</v>
      </c>
      <c r="AL13" s="16">
        <v>8331</v>
      </c>
      <c r="AM13" s="31">
        <v>47954</v>
      </c>
      <c r="AN13" s="16">
        <v>39623</v>
      </c>
      <c r="AO13" s="16">
        <v>7551</v>
      </c>
      <c r="AP13" s="31">
        <v>47174</v>
      </c>
      <c r="AQ13" s="42"/>
      <c r="AR13" s="43"/>
      <c r="AS13" s="42"/>
      <c r="AT13" s="42"/>
    </row>
    <row r="14" spans="1:46" ht="12.9" customHeight="1" x14ac:dyDescent="0.25">
      <c r="A14" s="28" t="s">
        <v>24</v>
      </c>
      <c r="B14" s="29" t="s">
        <v>25</v>
      </c>
      <c r="C14" s="30" t="s">
        <v>26</v>
      </c>
      <c r="D14" s="40">
        <v>122906</v>
      </c>
      <c r="E14" s="26">
        <v>35455</v>
      </c>
      <c r="F14" s="26">
        <f t="shared" si="0"/>
        <v>158361</v>
      </c>
      <c r="G14" s="40">
        <v>100212</v>
      </c>
      <c r="H14" s="26">
        <v>22878</v>
      </c>
      <c r="I14" s="27">
        <f t="shared" si="1"/>
        <v>123090</v>
      </c>
      <c r="J14" s="40">
        <v>125592</v>
      </c>
      <c r="K14" s="26">
        <v>29755</v>
      </c>
      <c r="L14" s="27">
        <v>155347</v>
      </c>
      <c r="M14" s="26">
        <v>127948</v>
      </c>
      <c r="N14" s="26">
        <v>26120</v>
      </c>
      <c r="O14" s="27">
        <v>154068</v>
      </c>
      <c r="P14" s="26">
        <v>130744</v>
      </c>
      <c r="Q14" s="26">
        <v>23003</v>
      </c>
      <c r="R14" s="27">
        <v>153747</v>
      </c>
      <c r="S14" s="26">
        <v>123045</v>
      </c>
      <c r="T14" s="26">
        <v>25994</v>
      </c>
      <c r="U14" s="27">
        <v>149039</v>
      </c>
      <c r="V14" s="16">
        <v>119470</v>
      </c>
      <c r="W14" s="16">
        <v>25873</v>
      </c>
      <c r="X14" s="31">
        <v>145343</v>
      </c>
      <c r="Y14" s="16">
        <v>122142</v>
      </c>
      <c r="Z14" s="16">
        <v>32721</v>
      </c>
      <c r="AA14" s="31">
        <v>154863</v>
      </c>
      <c r="AB14" s="32">
        <v>115760.59999999999</v>
      </c>
      <c r="AC14" s="16">
        <v>23786</v>
      </c>
      <c r="AD14" s="31">
        <v>139546.59999999998</v>
      </c>
      <c r="AE14" s="16">
        <v>149644</v>
      </c>
      <c r="AF14" s="16">
        <v>33758</v>
      </c>
      <c r="AG14" s="31">
        <v>183402</v>
      </c>
      <c r="AH14" s="16">
        <v>115256</v>
      </c>
      <c r="AI14" s="16">
        <v>25512</v>
      </c>
      <c r="AJ14" s="31">
        <v>140768</v>
      </c>
      <c r="AK14" s="16">
        <v>117149</v>
      </c>
      <c r="AL14" s="16">
        <v>25963</v>
      </c>
      <c r="AM14" s="31">
        <v>143112</v>
      </c>
      <c r="AN14" s="16">
        <v>129605.704</v>
      </c>
      <c r="AO14" s="16">
        <v>21191</v>
      </c>
      <c r="AP14" s="31">
        <v>150796.704</v>
      </c>
      <c r="AQ14" s="42"/>
      <c r="AR14" s="43"/>
      <c r="AS14" s="42"/>
      <c r="AT14" s="42"/>
    </row>
    <row r="15" spans="1:46" ht="12.9" customHeight="1" x14ac:dyDescent="0.25">
      <c r="A15" s="28" t="s">
        <v>27</v>
      </c>
      <c r="B15" s="29" t="s">
        <v>28</v>
      </c>
      <c r="C15" s="30" t="s">
        <v>29</v>
      </c>
      <c r="D15" s="40">
        <v>49898</v>
      </c>
      <c r="E15" s="26">
        <v>65073</v>
      </c>
      <c r="F15" s="26">
        <f t="shared" si="0"/>
        <v>114971</v>
      </c>
      <c r="G15" s="40">
        <v>52609</v>
      </c>
      <c r="H15" s="26">
        <v>61618</v>
      </c>
      <c r="I15" s="27">
        <f t="shared" si="1"/>
        <v>114227</v>
      </c>
      <c r="J15" s="40">
        <v>55965</v>
      </c>
      <c r="K15" s="26">
        <v>63986</v>
      </c>
      <c r="L15" s="27">
        <v>119951</v>
      </c>
      <c r="M15" s="26">
        <v>55396</v>
      </c>
      <c r="N15" s="26">
        <v>39289</v>
      </c>
      <c r="O15" s="27">
        <v>94685</v>
      </c>
      <c r="P15" s="26">
        <v>56594</v>
      </c>
      <c r="Q15" s="26">
        <v>43446</v>
      </c>
      <c r="R15" s="27">
        <v>100040</v>
      </c>
      <c r="S15" s="26">
        <v>50726</v>
      </c>
      <c r="T15" s="26">
        <v>40870</v>
      </c>
      <c r="U15" s="27">
        <v>91596</v>
      </c>
      <c r="V15" s="16">
        <v>50354</v>
      </c>
      <c r="W15" s="16">
        <v>37254</v>
      </c>
      <c r="X15" s="31">
        <v>87608</v>
      </c>
      <c r="Y15" s="16">
        <v>54640</v>
      </c>
      <c r="Z15" s="16">
        <v>34133</v>
      </c>
      <c r="AA15" s="31">
        <v>88773</v>
      </c>
      <c r="AB15" s="32">
        <v>47071</v>
      </c>
      <c r="AC15" s="16">
        <v>36184</v>
      </c>
      <c r="AD15" s="31">
        <v>83255</v>
      </c>
      <c r="AE15" s="16">
        <v>47512</v>
      </c>
      <c r="AF15" s="16">
        <v>28176</v>
      </c>
      <c r="AG15" s="31">
        <v>75688</v>
      </c>
      <c r="AH15" s="16">
        <v>49427</v>
      </c>
      <c r="AI15" s="16">
        <v>37359</v>
      </c>
      <c r="AJ15" s="31">
        <v>86786</v>
      </c>
      <c r="AK15" s="16">
        <v>51649</v>
      </c>
      <c r="AL15" s="16">
        <v>36127</v>
      </c>
      <c r="AM15" s="31">
        <v>87776</v>
      </c>
      <c r="AN15" s="16">
        <v>39326</v>
      </c>
      <c r="AO15" s="16">
        <v>43284</v>
      </c>
      <c r="AP15" s="31">
        <v>82610</v>
      </c>
      <c r="AQ15" s="42"/>
      <c r="AR15" s="43"/>
      <c r="AS15" s="42"/>
      <c r="AT15" s="42"/>
    </row>
    <row r="16" spans="1:46" ht="12.9" customHeight="1" x14ac:dyDescent="0.25">
      <c r="A16" s="28" t="s">
        <v>30</v>
      </c>
      <c r="B16" s="29" t="s">
        <v>31</v>
      </c>
      <c r="C16" s="30" t="s">
        <v>274</v>
      </c>
      <c r="D16" s="40">
        <v>21148</v>
      </c>
      <c r="E16" s="26">
        <v>167107</v>
      </c>
      <c r="F16" s="26">
        <f t="shared" si="0"/>
        <v>188255</v>
      </c>
      <c r="G16" s="40">
        <v>23108</v>
      </c>
      <c r="H16" s="26">
        <v>152214</v>
      </c>
      <c r="I16" s="27">
        <f t="shared" si="1"/>
        <v>175322</v>
      </c>
      <c r="J16" s="40">
        <v>26392</v>
      </c>
      <c r="K16" s="26">
        <v>154485</v>
      </c>
      <c r="L16" s="27">
        <v>180877</v>
      </c>
      <c r="M16" s="26">
        <v>26495</v>
      </c>
      <c r="N16" s="26">
        <v>149728</v>
      </c>
      <c r="O16" s="27">
        <v>176223</v>
      </c>
      <c r="P16" s="26">
        <v>25611</v>
      </c>
      <c r="Q16" s="26">
        <v>126484</v>
      </c>
      <c r="R16" s="27">
        <v>152095</v>
      </c>
      <c r="S16" s="26">
        <v>25033</v>
      </c>
      <c r="T16" s="26">
        <v>122353</v>
      </c>
      <c r="U16" s="27">
        <v>147386</v>
      </c>
      <c r="V16" s="16">
        <v>22435</v>
      </c>
      <c r="W16" s="16">
        <v>175368</v>
      </c>
      <c r="X16" s="31">
        <v>197803</v>
      </c>
      <c r="Y16" s="16">
        <v>25260</v>
      </c>
      <c r="Z16" s="16">
        <v>134702</v>
      </c>
      <c r="AA16" s="31">
        <v>159962</v>
      </c>
      <c r="AB16" s="32">
        <v>26827</v>
      </c>
      <c r="AC16" s="16">
        <v>119143</v>
      </c>
      <c r="AD16" s="31">
        <v>145970</v>
      </c>
      <c r="AE16" s="16">
        <v>27663</v>
      </c>
      <c r="AF16" s="16">
        <v>106820</v>
      </c>
      <c r="AG16" s="31">
        <v>134483</v>
      </c>
      <c r="AH16" s="16">
        <v>25433</v>
      </c>
      <c r="AI16" s="16">
        <v>105825</v>
      </c>
      <c r="AJ16" s="31">
        <v>131258</v>
      </c>
      <c r="AK16" s="16">
        <v>25306</v>
      </c>
      <c r="AL16" s="16">
        <v>87630</v>
      </c>
      <c r="AM16" s="31">
        <v>112936</v>
      </c>
      <c r="AN16" s="16">
        <v>30685</v>
      </c>
      <c r="AO16" s="16">
        <v>98094</v>
      </c>
      <c r="AP16" s="31">
        <v>128779</v>
      </c>
      <c r="AQ16" s="42"/>
      <c r="AR16" s="43"/>
      <c r="AS16" s="42"/>
      <c r="AT16" s="42"/>
    </row>
    <row r="17" spans="1:46" ht="12.9" customHeight="1" x14ac:dyDescent="0.25">
      <c r="A17" s="28" t="s">
        <v>32</v>
      </c>
      <c r="B17" s="29" t="s">
        <v>33</v>
      </c>
      <c r="C17" s="30" t="s">
        <v>34</v>
      </c>
      <c r="D17" s="40">
        <v>97252</v>
      </c>
      <c r="E17" s="26">
        <v>40025</v>
      </c>
      <c r="F17" s="26">
        <f t="shared" si="0"/>
        <v>137277</v>
      </c>
      <c r="G17" s="40">
        <v>91479</v>
      </c>
      <c r="H17" s="26">
        <v>34819</v>
      </c>
      <c r="I17" s="27">
        <f t="shared" si="1"/>
        <v>126298</v>
      </c>
      <c r="J17" s="40">
        <v>95457</v>
      </c>
      <c r="K17" s="26">
        <v>41045</v>
      </c>
      <c r="L17" s="27">
        <v>136502</v>
      </c>
      <c r="M17" s="26">
        <v>103739</v>
      </c>
      <c r="N17" s="26">
        <v>55176</v>
      </c>
      <c r="O17" s="27">
        <v>158915</v>
      </c>
      <c r="P17" s="26">
        <v>101802</v>
      </c>
      <c r="Q17" s="26">
        <v>45120</v>
      </c>
      <c r="R17" s="27">
        <v>146922</v>
      </c>
      <c r="S17" s="26">
        <v>97401</v>
      </c>
      <c r="T17" s="26">
        <v>44068</v>
      </c>
      <c r="U17" s="27">
        <v>141469</v>
      </c>
      <c r="V17" s="16">
        <v>98380</v>
      </c>
      <c r="W17" s="16">
        <v>45198</v>
      </c>
      <c r="X17" s="31">
        <v>143578</v>
      </c>
      <c r="Y17" s="16">
        <v>95754</v>
      </c>
      <c r="Z17" s="16">
        <v>42981</v>
      </c>
      <c r="AA17" s="31">
        <v>138735</v>
      </c>
      <c r="AB17" s="32">
        <v>97432</v>
      </c>
      <c r="AC17" s="16">
        <v>35663</v>
      </c>
      <c r="AD17" s="31">
        <v>133095</v>
      </c>
      <c r="AE17" s="16">
        <v>97197</v>
      </c>
      <c r="AF17" s="16">
        <v>33275</v>
      </c>
      <c r="AG17" s="31">
        <v>130472</v>
      </c>
      <c r="AH17" s="16">
        <v>98446</v>
      </c>
      <c r="AI17" s="16">
        <v>37043</v>
      </c>
      <c r="AJ17" s="31">
        <v>135489</v>
      </c>
      <c r="AK17" s="16">
        <v>103995</v>
      </c>
      <c r="AL17" s="16">
        <v>29598</v>
      </c>
      <c r="AM17" s="31">
        <v>133593</v>
      </c>
      <c r="AN17" s="16">
        <v>96551</v>
      </c>
      <c r="AO17" s="16">
        <v>16865</v>
      </c>
      <c r="AP17" s="31">
        <v>113416</v>
      </c>
      <c r="AQ17" s="42"/>
      <c r="AR17" s="43"/>
      <c r="AS17" s="42"/>
      <c r="AT17" s="42"/>
    </row>
    <row r="18" spans="1:46" ht="12.9" customHeight="1" x14ac:dyDescent="0.25">
      <c r="A18" s="28" t="s">
        <v>35</v>
      </c>
      <c r="B18" s="29" t="s">
        <v>36</v>
      </c>
      <c r="C18" s="30" t="s">
        <v>34</v>
      </c>
      <c r="D18" s="40">
        <v>29221</v>
      </c>
      <c r="E18" s="26">
        <v>13337</v>
      </c>
      <c r="F18" s="26">
        <f t="shared" si="0"/>
        <v>42558</v>
      </c>
      <c r="G18" s="40">
        <v>29230</v>
      </c>
      <c r="H18" s="26">
        <v>8846</v>
      </c>
      <c r="I18" s="27">
        <f t="shared" si="1"/>
        <v>38076</v>
      </c>
      <c r="J18" s="40">
        <v>28664</v>
      </c>
      <c r="K18" s="26">
        <v>8110</v>
      </c>
      <c r="L18" s="27">
        <v>36774</v>
      </c>
      <c r="M18" s="26">
        <v>31579</v>
      </c>
      <c r="N18" s="26">
        <v>9051</v>
      </c>
      <c r="O18" s="27">
        <v>40630</v>
      </c>
      <c r="P18" s="26">
        <v>31462</v>
      </c>
      <c r="Q18" s="26">
        <v>12274</v>
      </c>
      <c r="R18" s="27">
        <v>43736</v>
      </c>
      <c r="S18" s="26">
        <v>28730</v>
      </c>
      <c r="T18" s="26">
        <v>10159</v>
      </c>
      <c r="U18" s="27">
        <v>38889</v>
      </c>
      <c r="V18" s="16">
        <v>27945</v>
      </c>
      <c r="W18" s="16">
        <v>11757</v>
      </c>
      <c r="X18" s="31">
        <v>39702</v>
      </c>
      <c r="Y18" s="16">
        <v>27169</v>
      </c>
      <c r="Z18" s="16">
        <v>11841</v>
      </c>
      <c r="AA18" s="31">
        <v>39010</v>
      </c>
      <c r="AB18" s="32">
        <v>29990</v>
      </c>
      <c r="AC18" s="16">
        <v>4157</v>
      </c>
      <c r="AD18" s="31">
        <v>34147</v>
      </c>
      <c r="AE18" s="16">
        <v>34465</v>
      </c>
      <c r="AF18" s="16">
        <v>15177</v>
      </c>
      <c r="AG18" s="31">
        <v>49642</v>
      </c>
      <c r="AH18" s="16">
        <v>30992</v>
      </c>
      <c r="AI18" s="16">
        <v>17001</v>
      </c>
      <c r="AJ18" s="31">
        <v>47993</v>
      </c>
      <c r="AK18" s="16">
        <v>30384</v>
      </c>
      <c r="AL18" s="16">
        <v>15006</v>
      </c>
      <c r="AM18" s="31">
        <v>45390</v>
      </c>
      <c r="AN18" s="16">
        <v>28988</v>
      </c>
      <c r="AO18" s="16">
        <v>14162</v>
      </c>
      <c r="AP18" s="31">
        <v>43150</v>
      </c>
      <c r="AQ18" s="42"/>
      <c r="AR18" s="43"/>
      <c r="AS18" s="42"/>
      <c r="AT18" s="42"/>
    </row>
    <row r="19" spans="1:46" ht="12.9" customHeight="1" x14ac:dyDescent="0.25">
      <c r="A19" s="28" t="s">
        <v>37</v>
      </c>
      <c r="B19" s="29" t="s">
        <v>38</v>
      </c>
      <c r="C19" s="30" t="s">
        <v>39</v>
      </c>
      <c r="D19" s="40">
        <v>23265</v>
      </c>
      <c r="E19" s="26">
        <v>7343</v>
      </c>
      <c r="F19" s="26">
        <f t="shared" si="0"/>
        <v>30608</v>
      </c>
      <c r="G19" s="40">
        <v>23265</v>
      </c>
      <c r="H19" s="26">
        <v>5943</v>
      </c>
      <c r="I19" s="27">
        <f t="shared" si="1"/>
        <v>29208</v>
      </c>
      <c r="J19" s="40">
        <v>23265</v>
      </c>
      <c r="K19" s="26">
        <v>4805</v>
      </c>
      <c r="L19" s="27">
        <v>28070</v>
      </c>
      <c r="M19" s="26">
        <v>21385</v>
      </c>
      <c r="N19" s="26">
        <v>5938</v>
      </c>
      <c r="O19" s="27">
        <v>27323</v>
      </c>
      <c r="P19" s="26">
        <v>21385</v>
      </c>
      <c r="Q19" s="26">
        <v>4566</v>
      </c>
      <c r="R19" s="27">
        <v>25951</v>
      </c>
      <c r="S19" s="26">
        <v>25380</v>
      </c>
      <c r="T19" s="26">
        <v>3464</v>
      </c>
      <c r="U19" s="27">
        <v>28844</v>
      </c>
      <c r="V19" s="16">
        <v>25380</v>
      </c>
      <c r="W19" s="16">
        <v>2918</v>
      </c>
      <c r="X19" s="31">
        <v>28298</v>
      </c>
      <c r="Y19" s="16">
        <v>25380</v>
      </c>
      <c r="Z19" s="16">
        <v>2651</v>
      </c>
      <c r="AA19" s="31">
        <v>28031</v>
      </c>
      <c r="AB19" s="32">
        <v>25380</v>
      </c>
      <c r="AC19" s="16">
        <v>5699</v>
      </c>
      <c r="AD19" s="31">
        <v>31079</v>
      </c>
      <c r="AE19" s="16">
        <v>25380</v>
      </c>
      <c r="AF19" s="16">
        <v>4831</v>
      </c>
      <c r="AG19" s="31">
        <v>30211</v>
      </c>
      <c r="AH19" s="16">
        <v>25380</v>
      </c>
      <c r="AI19" s="16">
        <v>3525</v>
      </c>
      <c r="AJ19" s="31">
        <v>28905</v>
      </c>
      <c r="AK19" s="16">
        <v>25380</v>
      </c>
      <c r="AL19" s="16">
        <v>6712</v>
      </c>
      <c r="AM19" s="31">
        <v>32092</v>
      </c>
      <c r="AN19" s="16">
        <v>25380</v>
      </c>
      <c r="AO19" s="16">
        <v>17378</v>
      </c>
      <c r="AP19" s="31">
        <v>42758</v>
      </c>
      <c r="AQ19" s="42"/>
      <c r="AR19" s="43"/>
      <c r="AS19" s="42"/>
      <c r="AT19" s="42"/>
    </row>
    <row r="20" spans="1:46" ht="12.9" customHeight="1" x14ac:dyDescent="0.25">
      <c r="A20" s="28" t="s">
        <v>40</v>
      </c>
      <c r="B20" s="29" t="s">
        <v>41</v>
      </c>
      <c r="C20" s="30" t="s">
        <v>42</v>
      </c>
      <c r="D20" s="40">
        <v>13282</v>
      </c>
      <c r="E20" s="26">
        <v>13457</v>
      </c>
      <c r="F20" s="26">
        <f t="shared" si="0"/>
        <v>26739</v>
      </c>
      <c r="G20" s="40">
        <v>13029</v>
      </c>
      <c r="H20" s="26">
        <v>15713</v>
      </c>
      <c r="I20" s="27">
        <f t="shared" si="1"/>
        <v>28742</v>
      </c>
      <c r="J20" s="40">
        <v>16452</v>
      </c>
      <c r="K20" s="26">
        <v>17839</v>
      </c>
      <c r="L20" s="27">
        <v>34291</v>
      </c>
      <c r="M20" s="26">
        <v>15280</v>
      </c>
      <c r="N20" s="26">
        <v>19760</v>
      </c>
      <c r="O20" s="27">
        <v>35040</v>
      </c>
      <c r="P20" s="26">
        <v>15239</v>
      </c>
      <c r="Q20" s="26">
        <v>16879</v>
      </c>
      <c r="R20" s="27">
        <v>32118</v>
      </c>
      <c r="S20" s="26">
        <v>14194</v>
      </c>
      <c r="T20" s="26">
        <v>15031</v>
      </c>
      <c r="U20" s="27">
        <v>29225</v>
      </c>
      <c r="V20" s="16">
        <v>14881</v>
      </c>
      <c r="W20" s="16">
        <v>14394</v>
      </c>
      <c r="X20" s="31">
        <v>29275</v>
      </c>
      <c r="Y20" s="16">
        <v>14404</v>
      </c>
      <c r="Z20" s="16">
        <v>16183</v>
      </c>
      <c r="AA20" s="31">
        <v>30587</v>
      </c>
      <c r="AB20" s="32">
        <v>17403</v>
      </c>
      <c r="AC20" s="16">
        <v>15978</v>
      </c>
      <c r="AD20" s="31">
        <v>33381</v>
      </c>
      <c r="AE20" s="16">
        <v>15874</v>
      </c>
      <c r="AF20" s="16">
        <v>15224</v>
      </c>
      <c r="AG20" s="31">
        <v>31098</v>
      </c>
      <c r="AH20" s="16">
        <v>14486</v>
      </c>
      <c r="AI20" s="16">
        <v>22152</v>
      </c>
      <c r="AJ20" s="31">
        <v>36638</v>
      </c>
      <c r="AK20" s="16">
        <v>14462</v>
      </c>
      <c r="AL20" s="16">
        <v>826</v>
      </c>
      <c r="AM20" s="31">
        <v>15288</v>
      </c>
      <c r="AN20" s="16">
        <v>14198</v>
      </c>
      <c r="AO20" s="16">
        <v>30527</v>
      </c>
      <c r="AP20" s="31">
        <v>44725</v>
      </c>
      <c r="AQ20" s="42"/>
      <c r="AR20" s="43"/>
      <c r="AS20" s="42"/>
      <c r="AT20" s="42"/>
    </row>
    <row r="21" spans="1:46" ht="12.9" customHeight="1" x14ac:dyDescent="0.25">
      <c r="A21" s="28" t="s">
        <v>43</v>
      </c>
      <c r="B21" s="29" t="s">
        <v>44</v>
      </c>
      <c r="C21" s="30" t="s">
        <v>23</v>
      </c>
      <c r="D21" s="40">
        <v>3156</v>
      </c>
      <c r="E21" s="26">
        <v>13840</v>
      </c>
      <c r="F21" s="26">
        <f t="shared" si="0"/>
        <v>16996</v>
      </c>
      <c r="G21" s="40">
        <v>3343</v>
      </c>
      <c r="H21" s="26">
        <v>14806</v>
      </c>
      <c r="I21" s="27">
        <f t="shared" si="1"/>
        <v>18149</v>
      </c>
      <c r="J21" s="40">
        <v>3715</v>
      </c>
      <c r="K21" s="26">
        <v>8460</v>
      </c>
      <c r="L21" s="27">
        <v>12175</v>
      </c>
      <c r="M21" s="26">
        <v>3949</v>
      </c>
      <c r="N21" s="26">
        <v>5925</v>
      </c>
      <c r="O21" s="27">
        <v>9874</v>
      </c>
      <c r="P21" s="26">
        <v>4541</v>
      </c>
      <c r="Q21" s="26">
        <v>6369</v>
      </c>
      <c r="R21" s="27">
        <v>10910</v>
      </c>
      <c r="S21" s="26">
        <v>4078</v>
      </c>
      <c r="T21" s="26">
        <v>9795</v>
      </c>
      <c r="U21" s="27">
        <v>13873</v>
      </c>
      <c r="V21" s="16">
        <v>3077</v>
      </c>
      <c r="W21" s="16">
        <v>7910</v>
      </c>
      <c r="X21" s="31">
        <v>10987</v>
      </c>
      <c r="Y21" s="16">
        <v>3356</v>
      </c>
      <c r="Z21" s="16">
        <v>7152</v>
      </c>
      <c r="AA21" s="31">
        <v>10508</v>
      </c>
      <c r="AB21" s="32">
        <v>3306</v>
      </c>
      <c r="AC21" s="16">
        <v>7210</v>
      </c>
      <c r="AD21" s="31">
        <v>10516</v>
      </c>
      <c r="AE21" s="16">
        <v>3040</v>
      </c>
      <c r="AF21" s="16">
        <v>8760</v>
      </c>
      <c r="AG21" s="31">
        <v>11800</v>
      </c>
      <c r="AH21" s="16">
        <v>5873.6662512980265</v>
      </c>
      <c r="AI21" s="16">
        <v>6882</v>
      </c>
      <c r="AJ21" s="31">
        <v>12755.666251298026</v>
      </c>
      <c r="AK21" s="16">
        <v>5873.6662512980265</v>
      </c>
      <c r="AL21" s="16">
        <v>6875</v>
      </c>
      <c r="AM21" s="31">
        <v>12748.666251298026</v>
      </c>
      <c r="AN21" s="16">
        <v>5873.6662512980265</v>
      </c>
      <c r="AO21" s="16">
        <v>7080</v>
      </c>
      <c r="AP21" s="31">
        <v>12953.666251298026</v>
      </c>
      <c r="AQ21" s="42"/>
      <c r="AR21" s="43"/>
      <c r="AS21" s="42"/>
      <c r="AT21" s="42"/>
    </row>
    <row r="22" spans="1:46" ht="12.9" customHeight="1" x14ac:dyDescent="0.25">
      <c r="A22" s="28" t="s">
        <v>45</v>
      </c>
      <c r="B22" s="29" t="s">
        <v>46</v>
      </c>
      <c r="C22" s="30" t="s">
        <v>34</v>
      </c>
      <c r="D22" s="40">
        <v>80257</v>
      </c>
      <c r="E22" s="26">
        <v>47395</v>
      </c>
      <c r="F22" s="26">
        <f t="shared" si="0"/>
        <v>127652</v>
      </c>
      <c r="G22" s="40">
        <v>80843</v>
      </c>
      <c r="H22" s="26">
        <v>43632</v>
      </c>
      <c r="I22" s="27">
        <f t="shared" si="1"/>
        <v>124475</v>
      </c>
      <c r="J22" s="40">
        <v>81390</v>
      </c>
      <c r="K22" s="26">
        <v>48910</v>
      </c>
      <c r="L22" s="27">
        <v>130300</v>
      </c>
      <c r="M22" s="26">
        <v>83703</v>
      </c>
      <c r="N22" s="26">
        <v>39296</v>
      </c>
      <c r="O22" s="27">
        <v>122999</v>
      </c>
      <c r="P22" s="26">
        <v>85826</v>
      </c>
      <c r="Q22" s="26">
        <v>40115</v>
      </c>
      <c r="R22" s="27">
        <v>125941</v>
      </c>
      <c r="S22" s="26">
        <v>78877</v>
      </c>
      <c r="T22" s="26">
        <v>37021</v>
      </c>
      <c r="U22" s="27">
        <v>115898</v>
      </c>
      <c r="V22" s="16">
        <v>75774</v>
      </c>
      <c r="W22" s="16">
        <v>41508</v>
      </c>
      <c r="X22" s="31">
        <v>117282</v>
      </c>
      <c r="Y22" s="16">
        <v>75734</v>
      </c>
      <c r="Z22" s="16">
        <v>45322</v>
      </c>
      <c r="AA22" s="31">
        <v>121056</v>
      </c>
      <c r="AB22" s="32">
        <v>76064</v>
      </c>
      <c r="AC22" s="16">
        <v>46375</v>
      </c>
      <c r="AD22" s="31">
        <v>122439</v>
      </c>
      <c r="AE22" s="16">
        <v>72959</v>
      </c>
      <c r="AF22" s="16">
        <v>37386</v>
      </c>
      <c r="AG22" s="31">
        <v>110345</v>
      </c>
      <c r="AH22" s="16">
        <v>70049</v>
      </c>
      <c r="AI22" s="16">
        <v>42705</v>
      </c>
      <c r="AJ22" s="31">
        <v>112754</v>
      </c>
      <c r="AK22" s="16">
        <v>71118</v>
      </c>
      <c r="AL22" s="16">
        <v>48342</v>
      </c>
      <c r="AM22" s="31">
        <v>119460</v>
      </c>
      <c r="AN22" s="16">
        <v>77396</v>
      </c>
      <c r="AO22" s="16">
        <v>39459</v>
      </c>
      <c r="AP22" s="31">
        <v>116855</v>
      </c>
      <c r="AQ22" s="42"/>
      <c r="AR22" s="43"/>
      <c r="AS22" s="42"/>
      <c r="AT22" s="42"/>
    </row>
    <row r="23" spans="1:46" ht="12.9" customHeight="1" x14ac:dyDescent="0.25">
      <c r="A23" s="28" t="s">
        <v>47</v>
      </c>
      <c r="B23" s="29" t="s">
        <v>48</v>
      </c>
      <c r="C23" s="30" t="s">
        <v>14</v>
      </c>
      <c r="D23" s="40">
        <v>64417</v>
      </c>
      <c r="E23" s="26">
        <v>25724</v>
      </c>
      <c r="F23" s="26">
        <f t="shared" si="0"/>
        <v>90141</v>
      </c>
      <c r="G23" s="40">
        <v>63078</v>
      </c>
      <c r="H23" s="26">
        <v>25142</v>
      </c>
      <c r="I23" s="27">
        <f t="shared" si="1"/>
        <v>88220</v>
      </c>
      <c r="J23" s="40">
        <v>67944</v>
      </c>
      <c r="K23" s="26">
        <v>22286</v>
      </c>
      <c r="L23" s="27">
        <v>90230</v>
      </c>
      <c r="M23" s="26">
        <v>79785</v>
      </c>
      <c r="N23" s="26">
        <v>25824</v>
      </c>
      <c r="O23" s="27">
        <v>105609</v>
      </c>
      <c r="P23" s="26">
        <v>93072</v>
      </c>
      <c r="Q23" s="26">
        <v>21145</v>
      </c>
      <c r="R23" s="27">
        <v>114217</v>
      </c>
      <c r="S23" s="26">
        <v>67064</v>
      </c>
      <c r="T23" s="26">
        <v>26542</v>
      </c>
      <c r="U23" s="27">
        <v>93606</v>
      </c>
      <c r="V23" s="16">
        <v>70199</v>
      </c>
      <c r="W23" s="16">
        <v>21666</v>
      </c>
      <c r="X23" s="31">
        <v>91865</v>
      </c>
      <c r="Y23" s="16">
        <v>65866</v>
      </c>
      <c r="Z23" s="16">
        <v>25686</v>
      </c>
      <c r="AA23" s="31">
        <v>91552</v>
      </c>
      <c r="AB23" s="32">
        <v>64473</v>
      </c>
      <c r="AC23" s="16">
        <v>19494</v>
      </c>
      <c r="AD23" s="31">
        <v>83967</v>
      </c>
      <c r="AE23" s="16">
        <v>60786</v>
      </c>
      <c r="AF23" s="16">
        <v>20024</v>
      </c>
      <c r="AG23" s="31">
        <v>80810</v>
      </c>
      <c r="AH23" s="16">
        <v>65620</v>
      </c>
      <c r="AI23" s="16">
        <v>21714</v>
      </c>
      <c r="AJ23" s="31">
        <v>87334</v>
      </c>
      <c r="AK23" s="16">
        <v>62493</v>
      </c>
      <c r="AL23" s="16">
        <v>20644</v>
      </c>
      <c r="AM23" s="31">
        <v>83137</v>
      </c>
      <c r="AN23" s="16">
        <v>61402</v>
      </c>
      <c r="AO23" s="16">
        <v>30135</v>
      </c>
      <c r="AP23" s="31">
        <v>91537</v>
      </c>
      <c r="AQ23" s="42"/>
      <c r="AR23" s="43"/>
      <c r="AS23" s="42"/>
      <c r="AT23" s="42"/>
    </row>
    <row r="24" spans="1:46" ht="12.9" customHeight="1" x14ac:dyDescent="0.25">
      <c r="A24" s="28" t="s">
        <v>49</v>
      </c>
      <c r="B24" s="29" t="s">
        <v>50</v>
      </c>
      <c r="C24" s="30" t="s">
        <v>42</v>
      </c>
      <c r="D24" s="40">
        <v>22826</v>
      </c>
      <c r="E24" s="26">
        <v>8143</v>
      </c>
      <c r="F24" s="26">
        <f t="shared" si="0"/>
        <v>30969</v>
      </c>
      <c r="G24" s="40">
        <v>22329</v>
      </c>
      <c r="H24" s="26">
        <v>2445</v>
      </c>
      <c r="I24" s="27">
        <f t="shared" si="1"/>
        <v>24774</v>
      </c>
      <c r="J24" s="40">
        <v>23687</v>
      </c>
      <c r="K24" s="26">
        <v>2418</v>
      </c>
      <c r="L24" s="27">
        <v>26105</v>
      </c>
      <c r="M24" s="26">
        <v>25215</v>
      </c>
      <c r="N24" s="26">
        <v>3063</v>
      </c>
      <c r="O24" s="27">
        <v>28278</v>
      </c>
      <c r="P24" s="26">
        <v>23810</v>
      </c>
      <c r="Q24" s="26">
        <v>2564</v>
      </c>
      <c r="R24" s="27">
        <v>26374</v>
      </c>
      <c r="S24" s="26">
        <v>22895</v>
      </c>
      <c r="T24" s="26">
        <v>2649</v>
      </c>
      <c r="U24" s="27">
        <v>25544</v>
      </c>
      <c r="V24" s="16">
        <v>21855</v>
      </c>
      <c r="W24" s="16">
        <v>2966</v>
      </c>
      <c r="X24" s="31">
        <v>24821</v>
      </c>
      <c r="Y24" s="16">
        <v>22686</v>
      </c>
      <c r="Z24" s="16">
        <v>2090</v>
      </c>
      <c r="AA24" s="31">
        <v>24776</v>
      </c>
      <c r="AB24" s="32">
        <v>23590</v>
      </c>
      <c r="AC24" s="16">
        <v>2051</v>
      </c>
      <c r="AD24" s="31">
        <v>25641</v>
      </c>
      <c r="AE24" s="16">
        <v>24671</v>
      </c>
      <c r="AF24" s="16">
        <v>1969</v>
      </c>
      <c r="AG24" s="31">
        <v>26640</v>
      </c>
      <c r="AH24" s="16">
        <v>24493</v>
      </c>
      <c r="AI24" s="16">
        <v>2270</v>
      </c>
      <c r="AJ24" s="31">
        <v>26763</v>
      </c>
      <c r="AK24" s="16">
        <v>23609</v>
      </c>
      <c r="AL24" s="16">
        <v>2230</v>
      </c>
      <c r="AM24" s="31">
        <v>25839</v>
      </c>
      <c r="AN24" s="16">
        <v>26174</v>
      </c>
      <c r="AO24" s="16">
        <v>1667</v>
      </c>
      <c r="AP24" s="31">
        <v>27841</v>
      </c>
      <c r="AQ24" s="42"/>
      <c r="AR24" s="43"/>
      <c r="AS24" s="42"/>
      <c r="AT24" s="42"/>
    </row>
    <row r="25" spans="1:46" ht="12.9" customHeight="1" x14ac:dyDescent="0.25">
      <c r="A25" s="28" t="s">
        <v>51</v>
      </c>
      <c r="B25" s="29" t="s">
        <v>52</v>
      </c>
      <c r="C25" s="30" t="s">
        <v>53</v>
      </c>
      <c r="D25" s="40">
        <v>130807</v>
      </c>
      <c r="E25" s="26">
        <v>48341</v>
      </c>
      <c r="F25" s="26">
        <f t="shared" si="0"/>
        <v>179148</v>
      </c>
      <c r="G25" s="40">
        <v>132810</v>
      </c>
      <c r="H25" s="26">
        <v>49599</v>
      </c>
      <c r="I25" s="27">
        <f t="shared" si="1"/>
        <v>182409</v>
      </c>
      <c r="J25" s="40">
        <v>138130</v>
      </c>
      <c r="K25" s="26">
        <v>53677</v>
      </c>
      <c r="L25" s="27">
        <v>191807</v>
      </c>
      <c r="M25" s="26">
        <v>131859</v>
      </c>
      <c r="N25" s="26">
        <v>28211</v>
      </c>
      <c r="O25" s="27">
        <v>160070</v>
      </c>
      <c r="P25" s="26">
        <v>128535</v>
      </c>
      <c r="Q25" s="26">
        <v>9377</v>
      </c>
      <c r="R25" s="27">
        <v>137912</v>
      </c>
      <c r="S25" s="26">
        <v>120433</v>
      </c>
      <c r="T25" s="26">
        <v>24830</v>
      </c>
      <c r="U25" s="27">
        <v>145263</v>
      </c>
      <c r="V25" s="16">
        <v>118327</v>
      </c>
      <c r="W25" s="16">
        <v>19207</v>
      </c>
      <c r="X25" s="31">
        <v>137534</v>
      </c>
      <c r="Y25" s="16">
        <v>122281</v>
      </c>
      <c r="Z25" s="16">
        <v>53236</v>
      </c>
      <c r="AA25" s="31">
        <v>175517</v>
      </c>
      <c r="AB25" s="32">
        <v>121389</v>
      </c>
      <c r="AC25" s="16">
        <v>55780</v>
      </c>
      <c r="AD25" s="31">
        <v>177169</v>
      </c>
      <c r="AE25" s="16">
        <v>115938</v>
      </c>
      <c r="AF25" s="16">
        <v>39249</v>
      </c>
      <c r="AG25" s="31">
        <v>155187</v>
      </c>
      <c r="AH25" s="16">
        <v>118744</v>
      </c>
      <c r="AI25" s="16">
        <v>42257</v>
      </c>
      <c r="AJ25" s="31">
        <v>161001</v>
      </c>
      <c r="AK25" s="16">
        <v>115632</v>
      </c>
      <c r="AL25" s="16">
        <v>46989</v>
      </c>
      <c r="AM25" s="31">
        <v>162621</v>
      </c>
      <c r="AN25" s="16">
        <v>143989</v>
      </c>
      <c r="AO25" s="16">
        <v>42133</v>
      </c>
      <c r="AP25" s="31">
        <v>186122</v>
      </c>
      <c r="AQ25" s="42"/>
      <c r="AR25" s="43"/>
      <c r="AS25" s="42"/>
      <c r="AT25" s="42"/>
    </row>
    <row r="26" spans="1:46" ht="12.9" customHeight="1" x14ac:dyDescent="0.25">
      <c r="A26" s="28" t="s">
        <v>54</v>
      </c>
      <c r="B26" s="29" t="s">
        <v>55</v>
      </c>
      <c r="C26" s="30" t="s">
        <v>56</v>
      </c>
      <c r="D26" s="40">
        <v>22156</v>
      </c>
      <c r="E26" s="26">
        <v>267</v>
      </c>
      <c r="F26" s="26">
        <f t="shared" si="0"/>
        <v>22423</v>
      </c>
      <c r="G26" s="40">
        <v>18793</v>
      </c>
      <c r="H26" s="26">
        <v>263</v>
      </c>
      <c r="I26" s="27">
        <f t="shared" si="1"/>
        <v>19056</v>
      </c>
      <c r="J26" s="40">
        <v>25564</v>
      </c>
      <c r="K26" s="26">
        <v>775</v>
      </c>
      <c r="L26" s="27">
        <v>26339</v>
      </c>
      <c r="M26" s="26">
        <v>26204</v>
      </c>
      <c r="N26" s="26">
        <v>620</v>
      </c>
      <c r="O26" s="27">
        <v>26824</v>
      </c>
      <c r="P26" s="26">
        <v>28692</v>
      </c>
      <c r="Q26" s="26">
        <v>552</v>
      </c>
      <c r="R26" s="27">
        <v>29244</v>
      </c>
      <c r="S26" s="26">
        <v>26775</v>
      </c>
      <c r="T26" s="26">
        <v>730</v>
      </c>
      <c r="U26" s="27">
        <v>27505</v>
      </c>
      <c r="V26" s="16">
        <v>22654</v>
      </c>
      <c r="W26" s="16">
        <v>67</v>
      </c>
      <c r="X26" s="31">
        <v>22721</v>
      </c>
      <c r="Y26" s="16">
        <v>24227</v>
      </c>
      <c r="Z26" s="16">
        <v>0</v>
      </c>
      <c r="AA26" s="31">
        <v>24227</v>
      </c>
      <c r="AB26" s="32">
        <v>22932</v>
      </c>
      <c r="AC26" s="16">
        <v>0</v>
      </c>
      <c r="AD26" s="31">
        <v>22932</v>
      </c>
      <c r="AE26" s="16">
        <v>25568</v>
      </c>
      <c r="AF26" s="16">
        <v>0</v>
      </c>
      <c r="AG26" s="31">
        <v>25568</v>
      </c>
      <c r="AH26" s="16">
        <v>24423</v>
      </c>
      <c r="AI26" s="16">
        <v>0</v>
      </c>
      <c r="AJ26" s="31">
        <v>24423</v>
      </c>
      <c r="AK26" s="16">
        <v>25914</v>
      </c>
      <c r="AL26" s="16">
        <v>0</v>
      </c>
      <c r="AM26" s="31">
        <v>25914</v>
      </c>
      <c r="AN26" s="16">
        <v>30869</v>
      </c>
      <c r="AO26" s="16">
        <v>207</v>
      </c>
      <c r="AP26" s="31">
        <v>31076</v>
      </c>
      <c r="AQ26" s="42"/>
      <c r="AR26" s="43"/>
      <c r="AS26" s="42"/>
      <c r="AT26" s="42"/>
    </row>
    <row r="27" spans="1:46" ht="12.9" customHeight="1" x14ac:dyDescent="0.25">
      <c r="A27" s="28" t="s">
        <v>57</v>
      </c>
      <c r="B27" s="29" t="s">
        <v>58</v>
      </c>
      <c r="C27" s="30" t="s">
        <v>59</v>
      </c>
      <c r="D27" s="40">
        <v>49662</v>
      </c>
      <c r="E27" s="26">
        <v>16468</v>
      </c>
      <c r="F27" s="26">
        <f t="shared" si="0"/>
        <v>66130</v>
      </c>
      <c r="G27" s="40">
        <v>50196</v>
      </c>
      <c r="H27" s="26">
        <v>21507</v>
      </c>
      <c r="I27" s="27">
        <f t="shared" si="1"/>
        <v>71703</v>
      </c>
      <c r="J27" s="40">
        <v>56542</v>
      </c>
      <c r="K27" s="26">
        <v>22881</v>
      </c>
      <c r="L27" s="27">
        <v>79423</v>
      </c>
      <c r="M27" s="26">
        <v>55679</v>
      </c>
      <c r="N27" s="26">
        <v>18127</v>
      </c>
      <c r="O27" s="27">
        <v>73806</v>
      </c>
      <c r="P27" s="26">
        <v>54224</v>
      </c>
      <c r="Q27" s="26">
        <v>18769</v>
      </c>
      <c r="R27" s="27">
        <v>72993</v>
      </c>
      <c r="S27" s="26">
        <v>54132</v>
      </c>
      <c r="T27" s="26">
        <v>20662</v>
      </c>
      <c r="U27" s="27">
        <v>74794</v>
      </c>
      <c r="V27" s="16">
        <v>51148</v>
      </c>
      <c r="W27" s="16">
        <v>25492</v>
      </c>
      <c r="X27" s="31">
        <v>76640</v>
      </c>
      <c r="Y27" s="16">
        <v>50504</v>
      </c>
      <c r="Z27" s="16">
        <v>25754</v>
      </c>
      <c r="AA27" s="31">
        <v>76258</v>
      </c>
      <c r="AB27" s="32">
        <v>48649</v>
      </c>
      <c r="AC27" s="16">
        <v>30266</v>
      </c>
      <c r="AD27" s="31">
        <v>78915</v>
      </c>
      <c r="AE27" s="16">
        <v>49465</v>
      </c>
      <c r="AF27" s="16">
        <v>22771</v>
      </c>
      <c r="AG27" s="31">
        <v>72236</v>
      </c>
      <c r="AH27" s="16">
        <v>46713</v>
      </c>
      <c r="AI27" s="16">
        <v>15622</v>
      </c>
      <c r="AJ27" s="31">
        <v>62335</v>
      </c>
      <c r="AK27" s="16">
        <v>48216</v>
      </c>
      <c r="AL27" s="16">
        <v>20080</v>
      </c>
      <c r="AM27" s="31">
        <v>68296</v>
      </c>
      <c r="AN27" s="16">
        <v>53821</v>
      </c>
      <c r="AO27" s="16">
        <v>27470</v>
      </c>
      <c r="AP27" s="31">
        <v>81291</v>
      </c>
      <c r="AQ27" s="42"/>
      <c r="AR27" s="43"/>
      <c r="AS27" s="42"/>
      <c r="AT27" s="42"/>
    </row>
    <row r="28" spans="1:46" ht="12.9" customHeight="1" x14ac:dyDescent="0.25">
      <c r="A28" s="28" t="s">
        <v>60</v>
      </c>
      <c r="B28" s="29" t="s">
        <v>61</v>
      </c>
      <c r="C28" s="30" t="s">
        <v>62</v>
      </c>
      <c r="D28" s="40">
        <v>456254</v>
      </c>
      <c r="E28" s="26">
        <v>318184</v>
      </c>
      <c r="F28" s="26">
        <f t="shared" si="0"/>
        <v>774438</v>
      </c>
      <c r="G28" s="40">
        <v>451225</v>
      </c>
      <c r="H28" s="26">
        <v>472913</v>
      </c>
      <c r="I28" s="27">
        <f t="shared" si="1"/>
        <v>924138</v>
      </c>
      <c r="J28" s="40">
        <v>454536</v>
      </c>
      <c r="K28" s="26">
        <v>352551</v>
      </c>
      <c r="L28" s="27">
        <v>807087</v>
      </c>
      <c r="M28" s="26">
        <v>465097</v>
      </c>
      <c r="N28" s="26">
        <v>379020</v>
      </c>
      <c r="O28" s="27">
        <v>844117</v>
      </c>
      <c r="P28" s="26">
        <v>501634</v>
      </c>
      <c r="Q28" s="26">
        <v>337350</v>
      </c>
      <c r="R28" s="27">
        <v>838984</v>
      </c>
      <c r="S28" s="26">
        <v>494153</v>
      </c>
      <c r="T28" s="26">
        <v>311535</v>
      </c>
      <c r="U28" s="27">
        <v>805688</v>
      </c>
      <c r="V28" s="16">
        <v>476630</v>
      </c>
      <c r="W28" s="16">
        <v>330036</v>
      </c>
      <c r="X28" s="31">
        <v>806666</v>
      </c>
      <c r="Y28" s="16">
        <v>485698</v>
      </c>
      <c r="Z28" s="16">
        <v>404532</v>
      </c>
      <c r="AA28" s="31">
        <v>890230</v>
      </c>
      <c r="AB28" s="32">
        <v>482193</v>
      </c>
      <c r="AC28" s="16">
        <v>303529</v>
      </c>
      <c r="AD28" s="31">
        <v>785722</v>
      </c>
      <c r="AE28" s="16">
        <v>483977</v>
      </c>
      <c r="AF28" s="16">
        <v>280249</v>
      </c>
      <c r="AG28" s="31">
        <v>764226</v>
      </c>
      <c r="AH28" s="16">
        <v>480775.25</v>
      </c>
      <c r="AI28" s="16">
        <v>322793</v>
      </c>
      <c r="AJ28" s="31">
        <v>803568.25</v>
      </c>
      <c r="AK28" s="16">
        <v>456047</v>
      </c>
      <c r="AL28" s="16">
        <v>221964</v>
      </c>
      <c r="AM28" s="31">
        <v>678011</v>
      </c>
      <c r="AN28" s="16">
        <v>487041</v>
      </c>
      <c r="AO28" s="16">
        <v>387912</v>
      </c>
      <c r="AP28" s="31">
        <v>874953</v>
      </c>
      <c r="AQ28" s="42"/>
      <c r="AR28" s="43"/>
      <c r="AS28" s="42"/>
      <c r="AT28" s="42"/>
    </row>
    <row r="29" spans="1:46" ht="12.9" customHeight="1" x14ac:dyDescent="0.25">
      <c r="A29" s="28" t="s">
        <v>63</v>
      </c>
      <c r="B29" s="29" t="s">
        <v>64</v>
      </c>
      <c r="C29" s="30" t="s">
        <v>34</v>
      </c>
      <c r="D29" s="40">
        <v>9571</v>
      </c>
      <c r="E29" s="26">
        <v>529</v>
      </c>
      <c r="F29" s="26">
        <f t="shared" si="0"/>
        <v>10100</v>
      </c>
      <c r="G29" s="40">
        <v>9765</v>
      </c>
      <c r="H29" s="26">
        <v>493</v>
      </c>
      <c r="I29" s="27">
        <f t="shared" si="1"/>
        <v>10258</v>
      </c>
      <c r="J29" s="40">
        <v>10457</v>
      </c>
      <c r="K29" s="26">
        <v>488</v>
      </c>
      <c r="L29" s="27">
        <v>10945</v>
      </c>
      <c r="M29" s="26">
        <v>11045</v>
      </c>
      <c r="N29" s="26">
        <v>424</v>
      </c>
      <c r="O29" s="27">
        <v>11469</v>
      </c>
      <c r="P29" s="26">
        <v>11020</v>
      </c>
      <c r="Q29" s="26">
        <v>573</v>
      </c>
      <c r="R29" s="27">
        <v>11593</v>
      </c>
      <c r="S29" s="26">
        <v>9950</v>
      </c>
      <c r="T29" s="26">
        <v>430</v>
      </c>
      <c r="U29" s="27">
        <v>10380</v>
      </c>
      <c r="V29" s="16">
        <v>9583</v>
      </c>
      <c r="W29" s="16">
        <v>393</v>
      </c>
      <c r="X29" s="31">
        <v>9976</v>
      </c>
      <c r="Y29" s="16">
        <v>11031</v>
      </c>
      <c r="Z29" s="16">
        <v>1235</v>
      </c>
      <c r="AA29" s="31">
        <v>12266</v>
      </c>
      <c r="AB29" s="32">
        <v>10055</v>
      </c>
      <c r="AC29" s="16">
        <v>481</v>
      </c>
      <c r="AD29" s="31">
        <v>10536</v>
      </c>
      <c r="AE29" s="16">
        <v>10155</v>
      </c>
      <c r="AF29" s="16">
        <v>502</v>
      </c>
      <c r="AG29" s="31">
        <v>10657</v>
      </c>
      <c r="AH29" s="16">
        <v>8586</v>
      </c>
      <c r="AI29" s="16">
        <v>490</v>
      </c>
      <c r="AJ29" s="31">
        <v>9076</v>
      </c>
      <c r="AK29" s="16">
        <v>10690.503311258279</v>
      </c>
      <c r="AL29" s="16">
        <v>2515</v>
      </c>
      <c r="AM29" s="31">
        <v>13205.503311258279</v>
      </c>
      <c r="AN29" s="16">
        <v>5446</v>
      </c>
      <c r="AO29" s="16">
        <v>0</v>
      </c>
      <c r="AP29" s="31">
        <v>5446</v>
      </c>
      <c r="AQ29" s="42"/>
      <c r="AR29" s="43"/>
      <c r="AS29" s="42"/>
      <c r="AT29" s="42"/>
    </row>
    <row r="30" spans="1:46" ht="12.9" customHeight="1" x14ac:dyDescent="0.25">
      <c r="A30" s="28" t="s">
        <v>65</v>
      </c>
      <c r="B30" s="29" t="s">
        <v>66</v>
      </c>
      <c r="C30" s="30" t="s">
        <v>34</v>
      </c>
      <c r="D30" s="40">
        <v>529682</v>
      </c>
      <c r="E30" s="26">
        <v>121229</v>
      </c>
      <c r="F30" s="26">
        <f t="shared" si="0"/>
        <v>650911</v>
      </c>
      <c r="G30" s="40">
        <v>494185</v>
      </c>
      <c r="H30" s="26">
        <v>93082</v>
      </c>
      <c r="I30" s="27">
        <f t="shared" si="1"/>
        <v>587267</v>
      </c>
      <c r="J30" s="40">
        <v>488529</v>
      </c>
      <c r="K30" s="26">
        <v>76028</v>
      </c>
      <c r="L30" s="27">
        <v>564557</v>
      </c>
      <c r="M30" s="26">
        <v>489812</v>
      </c>
      <c r="N30" s="26">
        <v>77905</v>
      </c>
      <c r="O30" s="27">
        <v>567717</v>
      </c>
      <c r="P30" s="26">
        <v>488295</v>
      </c>
      <c r="Q30" s="26">
        <v>75929</v>
      </c>
      <c r="R30" s="27">
        <v>564224</v>
      </c>
      <c r="S30" s="26">
        <v>434707</v>
      </c>
      <c r="T30" s="26">
        <v>107710</v>
      </c>
      <c r="U30" s="27">
        <v>542417</v>
      </c>
      <c r="V30" s="16">
        <v>379812</v>
      </c>
      <c r="W30" s="16">
        <v>74398</v>
      </c>
      <c r="X30" s="31">
        <v>454210</v>
      </c>
      <c r="Y30" s="16">
        <v>364384</v>
      </c>
      <c r="Z30" s="16">
        <v>91885</v>
      </c>
      <c r="AA30" s="31">
        <v>456269</v>
      </c>
      <c r="AB30" s="32">
        <v>364384</v>
      </c>
      <c r="AC30" s="16">
        <v>72967</v>
      </c>
      <c r="AD30" s="31">
        <v>437351</v>
      </c>
      <c r="AE30" s="16">
        <v>306864</v>
      </c>
      <c r="AF30" s="16">
        <v>63622</v>
      </c>
      <c r="AG30" s="31">
        <v>370486</v>
      </c>
      <c r="AH30" s="16">
        <v>306864</v>
      </c>
      <c r="AI30" s="16">
        <v>67560</v>
      </c>
      <c r="AJ30" s="31">
        <v>374424</v>
      </c>
      <c r="AK30" s="16">
        <v>234658.15360000002</v>
      </c>
      <c r="AL30" s="16">
        <v>61652</v>
      </c>
      <c r="AM30" s="31">
        <v>296310.15360000002</v>
      </c>
      <c r="AN30" s="16">
        <v>234639.74800000002</v>
      </c>
      <c r="AO30" s="16">
        <v>77935</v>
      </c>
      <c r="AP30" s="31">
        <v>312574.74800000002</v>
      </c>
      <c r="AQ30" s="42"/>
      <c r="AR30" s="43"/>
      <c r="AS30" s="42"/>
      <c r="AT30" s="42"/>
    </row>
    <row r="31" spans="1:46" ht="12.9" customHeight="1" x14ac:dyDescent="0.25">
      <c r="A31" s="28" t="s">
        <v>67</v>
      </c>
      <c r="B31" s="29" t="s">
        <v>68</v>
      </c>
      <c r="C31" s="30" t="s">
        <v>34</v>
      </c>
      <c r="D31" s="40">
        <v>117007</v>
      </c>
      <c r="E31" s="26">
        <v>96519.799999999988</v>
      </c>
      <c r="F31" s="26">
        <f t="shared" si="0"/>
        <v>213526.8</v>
      </c>
      <c r="G31" s="40">
        <v>127719</v>
      </c>
      <c r="H31" s="26">
        <f>76228+16000</f>
        <v>92228</v>
      </c>
      <c r="I31" s="27">
        <f t="shared" si="1"/>
        <v>219947</v>
      </c>
      <c r="J31" s="40">
        <v>131983</v>
      </c>
      <c r="K31" s="26">
        <v>91107</v>
      </c>
      <c r="L31" s="27">
        <v>223090</v>
      </c>
      <c r="M31" s="26">
        <v>134302</v>
      </c>
      <c r="N31" s="26">
        <v>92737</v>
      </c>
      <c r="O31" s="27">
        <v>227039</v>
      </c>
      <c r="P31" s="26">
        <v>170412</v>
      </c>
      <c r="Q31" s="26">
        <v>93824</v>
      </c>
      <c r="R31" s="27">
        <v>264236</v>
      </c>
      <c r="S31" s="26">
        <v>133552</v>
      </c>
      <c r="T31" s="26">
        <v>88083</v>
      </c>
      <c r="U31" s="27">
        <v>221635</v>
      </c>
      <c r="V31" s="16">
        <v>135499</v>
      </c>
      <c r="W31" s="16">
        <v>103251</v>
      </c>
      <c r="X31" s="31">
        <v>238750</v>
      </c>
      <c r="Y31" s="16">
        <v>131699</v>
      </c>
      <c r="Z31" s="16">
        <v>82529</v>
      </c>
      <c r="AA31" s="31">
        <v>214228</v>
      </c>
      <c r="AB31" s="32">
        <v>131047</v>
      </c>
      <c r="AC31" s="16">
        <v>81215</v>
      </c>
      <c r="AD31" s="31">
        <v>212262</v>
      </c>
      <c r="AE31" s="16">
        <v>122149</v>
      </c>
      <c r="AF31" s="16">
        <v>83167</v>
      </c>
      <c r="AG31" s="31">
        <v>205316</v>
      </c>
      <c r="AH31" s="16">
        <v>126828</v>
      </c>
      <c r="AI31" s="16">
        <v>76539</v>
      </c>
      <c r="AJ31" s="31">
        <v>203367</v>
      </c>
      <c r="AK31" s="16">
        <v>110894</v>
      </c>
      <c r="AL31" s="16">
        <v>76256</v>
      </c>
      <c r="AM31" s="31">
        <v>187150</v>
      </c>
      <c r="AN31" s="16">
        <v>119554</v>
      </c>
      <c r="AO31" s="16">
        <v>73309</v>
      </c>
      <c r="AP31" s="31">
        <v>192863</v>
      </c>
      <c r="AQ31" s="42"/>
      <c r="AR31" s="43"/>
      <c r="AS31" s="42"/>
      <c r="AT31" s="42"/>
    </row>
    <row r="32" spans="1:46" ht="12.9" customHeight="1" x14ac:dyDescent="0.25">
      <c r="A32" s="28" t="s">
        <v>69</v>
      </c>
      <c r="B32" s="29" t="s">
        <v>70</v>
      </c>
      <c r="C32" s="30" t="s">
        <v>29</v>
      </c>
      <c r="D32" s="40">
        <v>148656</v>
      </c>
      <c r="E32" s="26">
        <v>280813</v>
      </c>
      <c r="F32" s="26">
        <f t="shared" si="0"/>
        <v>429469</v>
      </c>
      <c r="G32" s="40">
        <v>172150</v>
      </c>
      <c r="H32" s="26">
        <v>378468</v>
      </c>
      <c r="I32" s="27">
        <f t="shared" si="1"/>
        <v>550618</v>
      </c>
      <c r="J32" s="40">
        <v>173743</v>
      </c>
      <c r="K32" s="26">
        <v>340196</v>
      </c>
      <c r="L32" s="27">
        <v>513939</v>
      </c>
      <c r="M32" s="26">
        <v>172174</v>
      </c>
      <c r="N32" s="26">
        <v>414622</v>
      </c>
      <c r="O32" s="27">
        <v>586796</v>
      </c>
      <c r="P32" s="26">
        <v>180567</v>
      </c>
      <c r="Q32" s="26">
        <v>347844</v>
      </c>
      <c r="R32" s="27">
        <v>528411</v>
      </c>
      <c r="S32" s="26">
        <v>165274</v>
      </c>
      <c r="T32" s="26">
        <v>351596</v>
      </c>
      <c r="U32" s="27">
        <v>516870</v>
      </c>
      <c r="V32" s="16">
        <v>172821</v>
      </c>
      <c r="W32" s="16">
        <v>349686</v>
      </c>
      <c r="X32" s="31">
        <v>522507</v>
      </c>
      <c r="Y32" s="16">
        <v>156651.66666666666</v>
      </c>
      <c r="Z32" s="16">
        <v>176596</v>
      </c>
      <c r="AA32" s="31">
        <v>333247.66666666663</v>
      </c>
      <c r="AB32" s="32">
        <v>163193</v>
      </c>
      <c r="AC32" s="16">
        <v>247270</v>
      </c>
      <c r="AD32" s="31">
        <v>410463</v>
      </c>
      <c r="AE32" s="16">
        <v>164904</v>
      </c>
      <c r="AF32" s="16">
        <v>257331</v>
      </c>
      <c r="AG32" s="31">
        <v>422235</v>
      </c>
      <c r="AH32" s="16">
        <v>162730</v>
      </c>
      <c r="AI32" s="16">
        <v>251775</v>
      </c>
      <c r="AJ32" s="31">
        <v>414505</v>
      </c>
      <c r="AK32" s="16">
        <v>185473</v>
      </c>
      <c r="AL32" s="16">
        <v>291933</v>
      </c>
      <c r="AM32" s="31">
        <v>477406</v>
      </c>
      <c r="AN32" s="16">
        <v>164887</v>
      </c>
      <c r="AO32" s="16">
        <v>271473</v>
      </c>
      <c r="AP32" s="31">
        <v>436360</v>
      </c>
      <c r="AQ32" s="42"/>
      <c r="AR32" s="43"/>
      <c r="AS32" s="42"/>
      <c r="AT32" s="42"/>
    </row>
    <row r="33" spans="1:46" ht="12.9" customHeight="1" x14ac:dyDescent="0.25">
      <c r="A33" s="28" t="s">
        <v>71</v>
      </c>
      <c r="B33" s="29" t="s">
        <v>72</v>
      </c>
      <c r="C33" s="30" t="s">
        <v>73</v>
      </c>
      <c r="D33" s="40">
        <v>131450</v>
      </c>
      <c r="E33" s="26">
        <v>160109</v>
      </c>
      <c r="F33" s="26">
        <f t="shared" si="0"/>
        <v>291559</v>
      </c>
      <c r="G33" s="40">
        <v>122088</v>
      </c>
      <c r="H33" s="26">
        <v>167723</v>
      </c>
      <c r="I33" s="27">
        <f t="shared" si="1"/>
        <v>289811</v>
      </c>
      <c r="J33" s="40">
        <v>116822</v>
      </c>
      <c r="K33" s="26">
        <v>176270</v>
      </c>
      <c r="L33" s="27">
        <v>293092</v>
      </c>
      <c r="M33" s="26">
        <v>118011</v>
      </c>
      <c r="N33" s="26">
        <v>124456</v>
      </c>
      <c r="O33" s="27">
        <v>242467</v>
      </c>
      <c r="P33" s="26">
        <v>124821</v>
      </c>
      <c r="Q33" s="26">
        <v>134558</v>
      </c>
      <c r="R33" s="27">
        <v>259379</v>
      </c>
      <c r="S33" s="26">
        <v>116997</v>
      </c>
      <c r="T33" s="26">
        <v>141679</v>
      </c>
      <c r="U33" s="27">
        <v>258676</v>
      </c>
      <c r="V33" s="16">
        <v>113304</v>
      </c>
      <c r="W33" s="16">
        <v>145474</v>
      </c>
      <c r="X33" s="31">
        <v>258778</v>
      </c>
      <c r="Y33" s="16">
        <v>114298</v>
      </c>
      <c r="Z33" s="16">
        <v>138270</v>
      </c>
      <c r="AA33" s="31">
        <v>252568</v>
      </c>
      <c r="AB33" s="32">
        <v>116453</v>
      </c>
      <c r="AC33" s="16">
        <v>128673</v>
      </c>
      <c r="AD33" s="31">
        <v>245126</v>
      </c>
      <c r="AE33" s="16">
        <v>119841</v>
      </c>
      <c r="AF33" s="16">
        <v>136286</v>
      </c>
      <c r="AG33" s="31">
        <v>256127</v>
      </c>
      <c r="AH33" s="16">
        <v>115789</v>
      </c>
      <c r="AI33" s="16">
        <v>137819</v>
      </c>
      <c r="AJ33" s="31">
        <v>253608</v>
      </c>
      <c r="AK33" s="16">
        <v>112939</v>
      </c>
      <c r="AL33" s="16">
        <v>146646</v>
      </c>
      <c r="AM33" s="31">
        <v>259585</v>
      </c>
      <c r="AN33" s="16">
        <v>121129</v>
      </c>
      <c r="AO33" s="16">
        <v>165716</v>
      </c>
      <c r="AP33" s="31">
        <v>286845</v>
      </c>
      <c r="AQ33" s="42"/>
      <c r="AR33" s="43"/>
      <c r="AS33" s="42"/>
      <c r="AT33" s="42"/>
    </row>
    <row r="34" spans="1:46" ht="12.9" customHeight="1" x14ac:dyDescent="0.25">
      <c r="A34" s="28" t="s">
        <v>74</v>
      </c>
      <c r="B34" s="29" t="s">
        <v>75</v>
      </c>
      <c r="C34" s="30" t="s">
        <v>73</v>
      </c>
      <c r="D34" s="40">
        <v>43890</v>
      </c>
      <c r="E34" s="26">
        <v>1536</v>
      </c>
      <c r="F34" s="26">
        <f t="shared" si="0"/>
        <v>45426</v>
      </c>
      <c r="G34" s="40">
        <v>42990</v>
      </c>
      <c r="H34" s="26">
        <v>1512</v>
      </c>
      <c r="I34" s="27">
        <f t="shared" si="1"/>
        <v>44502</v>
      </c>
      <c r="J34" s="40">
        <v>42882</v>
      </c>
      <c r="K34" s="26">
        <v>1512</v>
      </c>
      <c r="L34" s="27">
        <v>44394</v>
      </c>
      <c r="M34" s="26">
        <v>43008</v>
      </c>
      <c r="N34" s="26">
        <v>1512</v>
      </c>
      <c r="O34" s="27">
        <v>44520</v>
      </c>
      <c r="P34" s="26">
        <v>42960</v>
      </c>
      <c r="Q34" s="26">
        <v>1512</v>
      </c>
      <c r="R34" s="27">
        <v>44472</v>
      </c>
      <c r="S34" s="26">
        <v>45868</v>
      </c>
      <c r="T34" s="26">
        <v>1803</v>
      </c>
      <c r="U34" s="27">
        <v>47671</v>
      </c>
      <c r="V34" s="16">
        <v>43080</v>
      </c>
      <c r="W34" s="16">
        <v>1530</v>
      </c>
      <c r="X34" s="31">
        <v>44610</v>
      </c>
      <c r="Y34" s="16">
        <v>40036.800000000003</v>
      </c>
      <c r="Z34" s="16">
        <v>2070</v>
      </c>
      <c r="AA34" s="31">
        <v>42106.8</v>
      </c>
      <c r="AB34" s="32">
        <v>33552</v>
      </c>
      <c r="AC34" s="16">
        <v>1711</v>
      </c>
      <c r="AD34" s="31">
        <v>35263</v>
      </c>
      <c r="AE34" s="16">
        <v>37461</v>
      </c>
      <c r="AF34" s="16">
        <v>1728</v>
      </c>
      <c r="AG34" s="31">
        <v>39189</v>
      </c>
      <c r="AH34" s="16">
        <v>26676</v>
      </c>
      <c r="AI34" s="16">
        <v>2052</v>
      </c>
      <c r="AJ34" s="31">
        <v>28728</v>
      </c>
      <c r="AK34" s="16">
        <v>26496</v>
      </c>
      <c r="AL34" s="16">
        <v>1368</v>
      </c>
      <c r="AM34" s="31">
        <v>27864</v>
      </c>
      <c r="AN34" s="16">
        <v>26496</v>
      </c>
      <c r="AO34" s="16">
        <v>1368</v>
      </c>
      <c r="AP34" s="31">
        <v>27864</v>
      </c>
      <c r="AQ34" s="42"/>
      <c r="AR34" s="43"/>
      <c r="AS34" s="42"/>
      <c r="AT34" s="42"/>
    </row>
    <row r="35" spans="1:46" ht="12.9" customHeight="1" x14ac:dyDescent="0.25">
      <c r="A35" s="28" t="s">
        <v>76</v>
      </c>
      <c r="B35" s="29" t="s">
        <v>77</v>
      </c>
      <c r="C35" s="30" t="s">
        <v>56</v>
      </c>
      <c r="D35" s="40">
        <v>30131</v>
      </c>
      <c r="E35" s="26">
        <v>855</v>
      </c>
      <c r="F35" s="26">
        <f t="shared" si="0"/>
        <v>30986</v>
      </c>
      <c r="G35" s="40">
        <v>30819</v>
      </c>
      <c r="H35" s="26">
        <v>858</v>
      </c>
      <c r="I35" s="27">
        <f t="shared" si="1"/>
        <v>31677</v>
      </c>
      <c r="J35" s="40">
        <v>31418</v>
      </c>
      <c r="K35" s="26">
        <v>1271</v>
      </c>
      <c r="L35" s="27">
        <v>32689</v>
      </c>
      <c r="M35" s="26">
        <v>34107</v>
      </c>
      <c r="N35" s="26">
        <v>1063</v>
      </c>
      <c r="O35" s="27">
        <v>35170</v>
      </c>
      <c r="P35" s="26">
        <v>37665</v>
      </c>
      <c r="Q35" s="26">
        <v>1904</v>
      </c>
      <c r="R35" s="27">
        <v>39569</v>
      </c>
      <c r="S35" s="26">
        <v>31289</v>
      </c>
      <c r="T35" s="26">
        <v>2338</v>
      </c>
      <c r="U35" s="27">
        <v>33627</v>
      </c>
      <c r="V35" s="16">
        <v>29035</v>
      </c>
      <c r="W35" s="16">
        <v>2980</v>
      </c>
      <c r="X35" s="31">
        <v>32015</v>
      </c>
      <c r="Y35" s="16">
        <v>35241</v>
      </c>
      <c r="Z35" s="16">
        <v>3636</v>
      </c>
      <c r="AA35" s="31">
        <v>38877</v>
      </c>
      <c r="AB35" s="32">
        <v>34984</v>
      </c>
      <c r="AC35" s="16">
        <v>1015</v>
      </c>
      <c r="AD35" s="31">
        <v>35999</v>
      </c>
      <c r="AE35" s="16">
        <v>46954</v>
      </c>
      <c r="AF35" s="16">
        <v>570</v>
      </c>
      <c r="AG35" s="31">
        <v>47524</v>
      </c>
      <c r="AH35" s="16">
        <v>35618</v>
      </c>
      <c r="AI35" s="16">
        <v>419</v>
      </c>
      <c r="AJ35" s="31">
        <v>36037</v>
      </c>
      <c r="AK35" s="16">
        <v>38717</v>
      </c>
      <c r="AL35" s="16">
        <v>2698</v>
      </c>
      <c r="AM35" s="31">
        <v>41415</v>
      </c>
      <c r="AN35" s="16">
        <v>39614</v>
      </c>
      <c r="AO35" s="16">
        <v>2603</v>
      </c>
      <c r="AP35" s="31">
        <v>42217</v>
      </c>
      <c r="AQ35" s="42"/>
      <c r="AR35" s="43"/>
      <c r="AS35" s="42"/>
      <c r="AT35" s="42"/>
    </row>
    <row r="36" spans="1:46" ht="12.9" customHeight="1" x14ac:dyDescent="0.25">
      <c r="A36" s="28" t="s">
        <v>78</v>
      </c>
      <c r="B36" s="29" t="s">
        <v>79</v>
      </c>
      <c r="C36" s="30" t="s">
        <v>80</v>
      </c>
      <c r="D36" s="40">
        <v>482389</v>
      </c>
      <c r="E36" s="26">
        <v>99320</v>
      </c>
      <c r="F36" s="26">
        <f t="shared" si="0"/>
        <v>581709</v>
      </c>
      <c r="G36" s="40">
        <v>533227</v>
      </c>
      <c r="H36" s="26">
        <v>121453</v>
      </c>
      <c r="I36" s="27">
        <f t="shared" si="1"/>
        <v>654680</v>
      </c>
      <c r="J36" s="40">
        <v>589941</v>
      </c>
      <c r="K36" s="26">
        <v>119337</v>
      </c>
      <c r="L36" s="27">
        <v>709278</v>
      </c>
      <c r="M36" s="26">
        <v>628545</v>
      </c>
      <c r="N36" s="26">
        <v>109881</v>
      </c>
      <c r="O36" s="27">
        <v>738426</v>
      </c>
      <c r="P36" s="26">
        <v>587819</v>
      </c>
      <c r="Q36" s="26">
        <v>103277</v>
      </c>
      <c r="R36" s="27">
        <v>691096</v>
      </c>
      <c r="S36" s="26">
        <v>590138</v>
      </c>
      <c r="T36" s="26">
        <v>137019</v>
      </c>
      <c r="U36" s="27">
        <v>727157</v>
      </c>
      <c r="V36" s="16">
        <v>558680</v>
      </c>
      <c r="W36" s="16">
        <v>119747</v>
      </c>
      <c r="X36" s="31">
        <v>678427</v>
      </c>
      <c r="Y36" s="16">
        <v>578330</v>
      </c>
      <c r="Z36" s="16">
        <v>123099</v>
      </c>
      <c r="AA36" s="31">
        <v>701429</v>
      </c>
      <c r="AB36" s="32">
        <v>562801</v>
      </c>
      <c r="AC36" s="16">
        <v>123786</v>
      </c>
      <c r="AD36" s="31">
        <v>686587</v>
      </c>
      <c r="AE36" s="16">
        <v>577712</v>
      </c>
      <c r="AF36" s="16">
        <v>118519</v>
      </c>
      <c r="AG36" s="31">
        <v>696231</v>
      </c>
      <c r="AH36" s="16">
        <v>566604</v>
      </c>
      <c r="AI36" s="16">
        <v>108392</v>
      </c>
      <c r="AJ36" s="31">
        <v>674996</v>
      </c>
      <c r="AK36" s="16">
        <v>599135</v>
      </c>
      <c r="AL36" s="16">
        <v>129619</v>
      </c>
      <c r="AM36" s="31">
        <v>728754</v>
      </c>
      <c r="AN36" s="16">
        <v>581088</v>
      </c>
      <c r="AO36" s="16">
        <v>137036</v>
      </c>
      <c r="AP36" s="31">
        <v>718124</v>
      </c>
      <c r="AQ36" s="42"/>
      <c r="AR36" s="43"/>
      <c r="AS36" s="42"/>
      <c r="AT36" s="42"/>
    </row>
    <row r="37" spans="1:46" ht="12.9" customHeight="1" x14ac:dyDescent="0.25">
      <c r="A37" s="28" t="s">
        <v>81</v>
      </c>
      <c r="B37" s="29" t="s">
        <v>82</v>
      </c>
      <c r="C37" s="30" t="s">
        <v>73</v>
      </c>
      <c r="D37" s="40">
        <v>21618</v>
      </c>
      <c r="E37" s="26">
        <v>1099</v>
      </c>
      <c r="F37" s="26">
        <f t="shared" si="0"/>
        <v>22717</v>
      </c>
      <c r="G37" s="40">
        <v>21438</v>
      </c>
      <c r="H37" s="26">
        <v>1153</v>
      </c>
      <c r="I37" s="27">
        <f t="shared" si="1"/>
        <v>22591</v>
      </c>
      <c r="J37" s="40">
        <v>21312</v>
      </c>
      <c r="K37" s="26">
        <v>1153</v>
      </c>
      <c r="L37" s="27">
        <v>22465</v>
      </c>
      <c r="M37" s="26">
        <v>21384</v>
      </c>
      <c r="N37" s="26">
        <v>1153</v>
      </c>
      <c r="O37" s="27">
        <v>22537</v>
      </c>
      <c r="P37" s="26">
        <v>16074</v>
      </c>
      <c r="Q37" s="26">
        <v>865</v>
      </c>
      <c r="R37" s="27">
        <v>16939</v>
      </c>
      <c r="S37" s="26">
        <v>27108</v>
      </c>
      <c r="T37" s="26">
        <v>1531</v>
      </c>
      <c r="U37" s="27">
        <v>28639</v>
      </c>
      <c r="V37" s="16">
        <v>27000</v>
      </c>
      <c r="W37" s="16">
        <v>937</v>
      </c>
      <c r="X37" s="31">
        <v>27937</v>
      </c>
      <c r="Y37" s="16">
        <v>27000</v>
      </c>
      <c r="Z37" s="16">
        <v>1585</v>
      </c>
      <c r="AA37" s="31">
        <v>28585</v>
      </c>
      <c r="AB37" s="32">
        <v>21528</v>
      </c>
      <c r="AC37" s="16">
        <v>1010</v>
      </c>
      <c r="AD37" s="31">
        <v>22538</v>
      </c>
      <c r="AE37" s="16">
        <v>21636</v>
      </c>
      <c r="AF37" s="16">
        <v>1261</v>
      </c>
      <c r="AG37" s="31">
        <v>22897</v>
      </c>
      <c r="AH37" s="16">
        <v>21096</v>
      </c>
      <c r="AI37" s="16">
        <v>1369</v>
      </c>
      <c r="AJ37" s="31">
        <v>22465</v>
      </c>
      <c r="AK37" s="16">
        <v>21240</v>
      </c>
      <c r="AL37" s="16">
        <v>1441</v>
      </c>
      <c r="AM37" s="31">
        <v>22681</v>
      </c>
      <c r="AN37" s="16">
        <v>21240</v>
      </c>
      <c r="AO37" s="16">
        <v>1441</v>
      </c>
      <c r="AP37" s="31">
        <v>22681</v>
      </c>
      <c r="AQ37" s="42"/>
      <c r="AR37" s="43"/>
      <c r="AS37" s="42"/>
      <c r="AT37" s="42"/>
    </row>
    <row r="38" spans="1:46" ht="12.9" customHeight="1" x14ac:dyDescent="0.25">
      <c r="A38" s="28" t="s">
        <v>83</v>
      </c>
      <c r="B38" s="29" t="s">
        <v>84</v>
      </c>
      <c r="C38" s="30" t="s">
        <v>34</v>
      </c>
      <c r="D38" s="40">
        <v>83330</v>
      </c>
      <c r="E38" s="26">
        <v>17453</v>
      </c>
      <c r="F38" s="26">
        <f t="shared" si="0"/>
        <v>100783</v>
      </c>
      <c r="G38" s="40">
        <v>111607</v>
      </c>
      <c r="H38" s="26">
        <v>23043</v>
      </c>
      <c r="I38" s="27">
        <f t="shared" si="1"/>
        <v>134650</v>
      </c>
      <c r="J38" s="40">
        <v>110431</v>
      </c>
      <c r="K38" s="26">
        <v>24927</v>
      </c>
      <c r="L38" s="27">
        <v>135358</v>
      </c>
      <c r="M38" s="26">
        <v>135598</v>
      </c>
      <c r="N38" s="26">
        <v>31349</v>
      </c>
      <c r="O38" s="27">
        <v>166947</v>
      </c>
      <c r="P38" s="26">
        <v>121486</v>
      </c>
      <c r="Q38" s="26">
        <v>24454</v>
      </c>
      <c r="R38" s="27">
        <v>145940</v>
      </c>
      <c r="S38" s="26">
        <v>115896</v>
      </c>
      <c r="T38" s="26">
        <v>26058</v>
      </c>
      <c r="U38" s="27">
        <v>141954</v>
      </c>
      <c r="V38" s="16">
        <v>121926</v>
      </c>
      <c r="W38" s="16">
        <v>24538</v>
      </c>
      <c r="X38" s="31">
        <v>146464</v>
      </c>
      <c r="Y38" s="16">
        <v>112454</v>
      </c>
      <c r="Z38" s="16">
        <v>28237</v>
      </c>
      <c r="AA38" s="31">
        <v>140691</v>
      </c>
      <c r="AB38" s="32">
        <v>110004</v>
      </c>
      <c r="AC38" s="16">
        <v>26610</v>
      </c>
      <c r="AD38" s="31">
        <v>136614</v>
      </c>
      <c r="AE38" s="16">
        <v>118444</v>
      </c>
      <c r="AF38" s="16">
        <v>22459</v>
      </c>
      <c r="AG38" s="31">
        <v>140903</v>
      </c>
      <c r="AH38" s="16">
        <v>111305</v>
      </c>
      <c r="AI38" s="16">
        <v>22026</v>
      </c>
      <c r="AJ38" s="31">
        <v>133331</v>
      </c>
      <c r="AK38" s="16">
        <v>108802</v>
      </c>
      <c r="AL38" s="16">
        <v>22425</v>
      </c>
      <c r="AM38" s="31">
        <v>131227</v>
      </c>
      <c r="AN38" s="16">
        <v>114432</v>
      </c>
      <c r="AO38" s="16">
        <v>20287</v>
      </c>
      <c r="AP38" s="31">
        <v>134719</v>
      </c>
      <c r="AQ38" s="42"/>
      <c r="AR38" s="43"/>
      <c r="AS38" s="42"/>
      <c r="AT38" s="42"/>
    </row>
    <row r="39" spans="1:46" ht="12.9" customHeight="1" x14ac:dyDescent="0.25">
      <c r="A39" s="28" t="s">
        <v>85</v>
      </c>
      <c r="B39" s="29" t="s">
        <v>86</v>
      </c>
      <c r="C39" s="30" t="s">
        <v>34</v>
      </c>
      <c r="D39" s="40">
        <v>10309</v>
      </c>
      <c r="E39" s="26">
        <v>40996</v>
      </c>
      <c r="F39" s="26">
        <f t="shared" si="0"/>
        <v>51305</v>
      </c>
      <c r="G39" s="40">
        <v>9817</v>
      </c>
      <c r="H39" s="26">
        <v>39305</v>
      </c>
      <c r="I39" s="27">
        <f t="shared" si="1"/>
        <v>49122</v>
      </c>
      <c r="J39" s="40">
        <v>10109</v>
      </c>
      <c r="K39" s="26">
        <v>39548</v>
      </c>
      <c r="L39" s="27">
        <v>49657</v>
      </c>
      <c r="M39" s="26">
        <v>15486</v>
      </c>
      <c r="N39" s="26">
        <v>68049</v>
      </c>
      <c r="O39" s="27">
        <v>83535</v>
      </c>
      <c r="P39" s="26">
        <v>11582</v>
      </c>
      <c r="Q39" s="26">
        <v>39226</v>
      </c>
      <c r="R39" s="27">
        <v>50808</v>
      </c>
      <c r="S39" s="26">
        <v>11002</v>
      </c>
      <c r="T39" s="26">
        <v>41402</v>
      </c>
      <c r="U39" s="27">
        <v>52404</v>
      </c>
      <c r="V39" s="16">
        <v>10323</v>
      </c>
      <c r="W39" s="16">
        <v>37554</v>
      </c>
      <c r="X39" s="31">
        <v>47877</v>
      </c>
      <c r="Y39" s="16">
        <v>12318</v>
      </c>
      <c r="Z39" s="16">
        <v>4818</v>
      </c>
      <c r="AA39" s="31">
        <v>17136</v>
      </c>
      <c r="AB39" s="32">
        <v>10170</v>
      </c>
      <c r="AC39" s="16">
        <v>2258</v>
      </c>
      <c r="AD39" s="31">
        <v>12428</v>
      </c>
      <c r="AE39" s="16">
        <v>11428</v>
      </c>
      <c r="AF39" s="16">
        <v>3367</v>
      </c>
      <c r="AG39" s="31">
        <v>14795</v>
      </c>
      <c r="AH39" s="16">
        <v>6163</v>
      </c>
      <c r="AI39" s="16">
        <v>2444</v>
      </c>
      <c r="AJ39" s="31">
        <v>8607</v>
      </c>
      <c r="AK39" s="16">
        <v>12404</v>
      </c>
      <c r="AL39" s="16">
        <v>2947</v>
      </c>
      <c r="AM39" s="31">
        <v>15351</v>
      </c>
      <c r="AN39" s="16">
        <v>10348</v>
      </c>
      <c r="AO39" s="16">
        <v>2303</v>
      </c>
      <c r="AP39" s="31">
        <v>12651</v>
      </c>
      <c r="AQ39" s="42"/>
      <c r="AR39" s="43"/>
      <c r="AS39" s="42"/>
      <c r="AT39" s="42"/>
    </row>
    <row r="40" spans="1:46" ht="12.9" customHeight="1" x14ac:dyDescent="0.25">
      <c r="A40" s="28" t="s">
        <v>87</v>
      </c>
      <c r="B40" s="29" t="s">
        <v>88</v>
      </c>
      <c r="C40" s="30" t="s">
        <v>56</v>
      </c>
      <c r="D40" s="40">
        <v>66508</v>
      </c>
      <c r="E40" s="26">
        <v>14523</v>
      </c>
      <c r="F40" s="26">
        <f t="shared" si="0"/>
        <v>81031</v>
      </c>
      <c r="G40" s="40">
        <v>67284</v>
      </c>
      <c r="H40" s="26">
        <v>11757</v>
      </c>
      <c r="I40" s="27">
        <f t="shared" si="1"/>
        <v>79041</v>
      </c>
      <c r="J40" s="40">
        <v>73406</v>
      </c>
      <c r="K40" s="26">
        <v>14223</v>
      </c>
      <c r="L40" s="27">
        <v>87629</v>
      </c>
      <c r="M40" s="26">
        <v>75100</v>
      </c>
      <c r="N40" s="26">
        <v>16194</v>
      </c>
      <c r="O40" s="27">
        <v>91294</v>
      </c>
      <c r="P40" s="26">
        <v>70503</v>
      </c>
      <c r="Q40" s="26">
        <v>12427</v>
      </c>
      <c r="R40" s="27">
        <v>82930</v>
      </c>
      <c r="S40" s="26">
        <v>69277</v>
      </c>
      <c r="T40" s="26">
        <v>17392</v>
      </c>
      <c r="U40" s="27">
        <v>86669</v>
      </c>
      <c r="V40" s="16">
        <v>65397</v>
      </c>
      <c r="W40" s="16">
        <v>15832</v>
      </c>
      <c r="X40" s="31">
        <v>81229</v>
      </c>
      <c r="Y40" s="16">
        <v>68790</v>
      </c>
      <c r="Z40" s="16">
        <v>17321</v>
      </c>
      <c r="AA40" s="31">
        <v>86111</v>
      </c>
      <c r="AB40" s="32">
        <v>73701</v>
      </c>
      <c r="AC40" s="16">
        <v>16527</v>
      </c>
      <c r="AD40" s="31">
        <v>90228</v>
      </c>
      <c r="AE40" s="16">
        <v>68493</v>
      </c>
      <c r="AF40" s="16">
        <v>18200</v>
      </c>
      <c r="AG40" s="31">
        <v>86693</v>
      </c>
      <c r="AH40" s="16">
        <v>69879</v>
      </c>
      <c r="AI40" s="16">
        <v>17126</v>
      </c>
      <c r="AJ40" s="31">
        <v>87005</v>
      </c>
      <c r="AK40" s="16">
        <v>72610</v>
      </c>
      <c r="AL40" s="16">
        <v>13993</v>
      </c>
      <c r="AM40" s="31">
        <v>86603</v>
      </c>
      <c r="AN40" s="16">
        <v>78364</v>
      </c>
      <c r="AO40" s="16">
        <v>9563</v>
      </c>
      <c r="AP40" s="31">
        <v>87927</v>
      </c>
      <c r="AQ40" s="42"/>
      <c r="AR40" s="43"/>
      <c r="AS40" s="42"/>
      <c r="AT40" s="42"/>
    </row>
    <row r="41" spans="1:46" ht="12.9" customHeight="1" x14ac:dyDescent="0.25">
      <c r="A41" s="28" t="s">
        <v>89</v>
      </c>
      <c r="B41" s="29" t="s">
        <v>90</v>
      </c>
      <c r="C41" s="30" t="s">
        <v>14</v>
      </c>
      <c r="D41" s="40">
        <v>11817</v>
      </c>
      <c r="E41" s="26">
        <v>33636</v>
      </c>
      <c r="F41" s="26">
        <f t="shared" si="0"/>
        <v>45453</v>
      </c>
      <c r="G41" s="40">
        <v>12295</v>
      </c>
      <c r="H41" s="26">
        <v>6687</v>
      </c>
      <c r="I41" s="27">
        <f t="shared" si="1"/>
        <v>18982</v>
      </c>
      <c r="J41" s="40">
        <v>13958</v>
      </c>
      <c r="K41" s="26">
        <v>5418</v>
      </c>
      <c r="L41" s="27">
        <v>19376</v>
      </c>
      <c r="M41" s="26">
        <v>13062</v>
      </c>
      <c r="N41" s="26">
        <v>5154</v>
      </c>
      <c r="O41" s="27">
        <v>18216</v>
      </c>
      <c r="P41" s="26">
        <v>13057</v>
      </c>
      <c r="Q41" s="26">
        <v>7394</v>
      </c>
      <c r="R41" s="27">
        <v>20451</v>
      </c>
      <c r="S41" s="26">
        <v>13057</v>
      </c>
      <c r="T41" s="26">
        <v>11523</v>
      </c>
      <c r="U41" s="27">
        <v>24580</v>
      </c>
      <c r="V41" s="26">
        <v>12808</v>
      </c>
      <c r="W41" s="26">
        <v>12432</v>
      </c>
      <c r="X41" s="31">
        <v>25240</v>
      </c>
      <c r="Y41" s="16">
        <v>12773</v>
      </c>
      <c r="Z41" s="16">
        <v>84510</v>
      </c>
      <c r="AA41" s="31">
        <v>97283</v>
      </c>
      <c r="AB41" s="32">
        <v>12902</v>
      </c>
      <c r="AC41" s="16">
        <v>68791</v>
      </c>
      <c r="AD41" s="31">
        <v>81693</v>
      </c>
      <c r="AE41" s="16">
        <v>14886</v>
      </c>
      <c r="AF41" s="16">
        <v>11217</v>
      </c>
      <c r="AG41" s="31">
        <v>26103</v>
      </c>
      <c r="AH41" s="16">
        <v>13887</v>
      </c>
      <c r="AI41" s="16">
        <v>55593</v>
      </c>
      <c r="AJ41" s="31">
        <v>69480</v>
      </c>
      <c r="AK41" s="16">
        <v>14209</v>
      </c>
      <c r="AL41" s="16">
        <v>5289</v>
      </c>
      <c r="AM41" s="31">
        <v>19498</v>
      </c>
      <c r="AN41" s="16">
        <v>17144</v>
      </c>
      <c r="AO41" s="16">
        <v>7230</v>
      </c>
      <c r="AP41" s="31">
        <v>24374</v>
      </c>
      <c r="AQ41" s="42"/>
      <c r="AR41" s="43"/>
      <c r="AS41" s="42"/>
      <c r="AT41" s="42"/>
    </row>
    <row r="42" spans="1:46" ht="12.9" customHeight="1" x14ac:dyDescent="0.25">
      <c r="A42" s="28" t="s">
        <v>91</v>
      </c>
      <c r="B42" s="29" t="s">
        <v>92</v>
      </c>
      <c r="C42" s="30" t="s">
        <v>34</v>
      </c>
      <c r="D42" s="40">
        <v>115001</v>
      </c>
      <c r="E42" s="26">
        <v>323196</v>
      </c>
      <c r="F42" s="26">
        <f t="shared" si="0"/>
        <v>438197</v>
      </c>
      <c r="G42" s="40">
        <v>116398</v>
      </c>
      <c r="H42" s="26">
        <v>306988</v>
      </c>
      <c r="I42" s="27">
        <f t="shared" si="1"/>
        <v>423386</v>
      </c>
      <c r="J42" s="40">
        <v>120458</v>
      </c>
      <c r="K42" s="26">
        <v>288166</v>
      </c>
      <c r="L42" s="27">
        <v>408624</v>
      </c>
      <c r="M42" s="26">
        <v>129762</v>
      </c>
      <c r="N42" s="26">
        <v>206338</v>
      </c>
      <c r="O42" s="27">
        <v>336100</v>
      </c>
      <c r="P42" s="26">
        <v>136304</v>
      </c>
      <c r="Q42" s="26">
        <v>199856</v>
      </c>
      <c r="R42" s="27">
        <v>336160</v>
      </c>
      <c r="S42" s="26">
        <v>118820</v>
      </c>
      <c r="T42" s="26">
        <v>202068</v>
      </c>
      <c r="U42" s="27">
        <v>320888</v>
      </c>
      <c r="V42" s="26">
        <v>111390</v>
      </c>
      <c r="W42" s="26">
        <v>189901</v>
      </c>
      <c r="X42" s="31">
        <v>301291</v>
      </c>
      <c r="Y42" s="16">
        <v>105753</v>
      </c>
      <c r="Z42" s="16">
        <v>204970</v>
      </c>
      <c r="AA42" s="31">
        <v>310723</v>
      </c>
      <c r="AB42" s="32">
        <v>108202</v>
      </c>
      <c r="AC42" s="16">
        <v>194326</v>
      </c>
      <c r="AD42" s="31">
        <v>302528</v>
      </c>
      <c r="AE42" s="16">
        <v>116599</v>
      </c>
      <c r="AF42" s="16">
        <v>216420</v>
      </c>
      <c r="AG42" s="31">
        <v>333019</v>
      </c>
      <c r="AH42" s="16">
        <v>105899</v>
      </c>
      <c r="AI42" s="16">
        <v>208754</v>
      </c>
      <c r="AJ42" s="31">
        <v>314653</v>
      </c>
      <c r="AK42" s="16">
        <v>106263</v>
      </c>
      <c r="AL42" s="16">
        <v>209783</v>
      </c>
      <c r="AM42" s="31">
        <v>316046</v>
      </c>
      <c r="AN42" s="16">
        <v>99657</v>
      </c>
      <c r="AO42" s="16">
        <v>193188</v>
      </c>
      <c r="AP42" s="31">
        <v>292845</v>
      </c>
      <c r="AQ42" s="42"/>
      <c r="AR42" s="43"/>
      <c r="AS42" s="42"/>
      <c r="AT42" s="42"/>
    </row>
    <row r="43" spans="1:46" ht="12.9" customHeight="1" x14ac:dyDescent="0.25">
      <c r="A43" s="28" t="s">
        <v>93</v>
      </c>
      <c r="B43" s="29" t="s">
        <v>94</v>
      </c>
      <c r="C43" s="30" t="s">
        <v>95</v>
      </c>
      <c r="D43" s="40">
        <v>46134</v>
      </c>
      <c r="E43" s="26">
        <v>17352</v>
      </c>
      <c r="F43" s="26">
        <f t="shared" si="0"/>
        <v>63486</v>
      </c>
      <c r="G43" s="40">
        <v>46134</v>
      </c>
      <c r="H43" s="26">
        <v>17309</v>
      </c>
      <c r="I43" s="27">
        <f t="shared" si="1"/>
        <v>63443</v>
      </c>
      <c r="J43" s="40">
        <v>21203</v>
      </c>
      <c r="K43" s="26">
        <v>8724</v>
      </c>
      <c r="L43" s="27">
        <v>29927</v>
      </c>
      <c r="M43" s="26">
        <v>21203</v>
      </c>
      <c r="N43" s="26">
        <v>8724</v>
      </c>
      <c r="O43" s="27">
        <v>29927</v>
      </c>
      <c r="P43" s="26">
        <v>15768</v>
      </c>
      <c r="Q43" s="26">
        <v>7888</v>
      </c>
      <c r="R43" s="27">
        <v>23656</v>
      </c>
      <c r="S43" s="26">
        <v>21436</v>
      </c>
      <c r="T43" s="26">
        <v>7888</v>
      </c>
      <c r="U43" s="27">
        <v>29324</v>
      </c>
      <c r="V43" s="26">
        <v>15768</v>
      </c>
      <c r="W43" s="26">
        <v>7912</v>
      </c>
      <c r="X43" s="31">
        <v>23680</v>
      </c>
      <c r="Y43" s="16">
        <v>15768</v>
      </c>
      <c r="Z43" s="16">
        <v>7888</v>
      </c>
      <c r="AA43" s="31">
        <v>23656</v>
      </c>
      <c r="AB43" s="32">
        <v>15768</v>
      </c>
      <c r="AC43" s="16">
        <v>7888</v>
      </c>
      <c r="AD43" s="31">
        <v>23656</v>
      </c>
      <c r="AE43" s="16">
        <v>15768</v>
      </c>
      <c r="AF43" s="16">
        <v>7845</v>
      </c>
      <c r="AG43" s="31">
        <v>23613</v>
      </c>
      <c r="AH43" s="16">
        <v>15768</v>
      </c>
      <c r="AI43" s="16">
        <v>7668</v>
      </c>
      <c r="AJ43" s="31">
        <v>23436</v>
      </c>
      <c r="AK43" s="16">
        <v>15768</v>
      </c>
      <c r="AL43" s="16">
        <v>7668</v>
      </c>
      <c r="AM43" s="31">
        <v>23436</v>
      </c>
      <c r="AN43" s="16">
        <v>15768</v>
      </c>
      <c r="AO43" s="16">
        <v>7668</v>
      </c>
      <c r="AP43" s="31">
        <v>23436</v>
      </c>
      <c r="AQ43" s="42"/>
      <c r="AR43" s="43"/>
      <c r="AS43" s="42"/>
      <c r="AT43" s="42"/>
    </row>
    <row r="44" spans="1:46" ht="12.9" customHeight="1" x14ac:dyDescent="0.25">
      <c r="A44" s="28" t="s">
        <v>96</v>
      </c>
      <c r="B44" s="29" t="s">
        <v>97</v>
      </c>
      <c r="C44" s="30" t="s">
        <v>29</v>
      </c>
      <c r="D44" s="40">
        <v>13512</v>
      </c>
      <c r="E44" s="26">
        <v>11889</v>
      </c>
      <c r="F44" s="26">
        <f t="shared" si="0"/>
        <v>25401</v>
      </c>
      <c r="G44" s="40">
        <v>14061</v>
      </c>
      <c r="H44" s="26">
        <v>13873</v>
      </c>
      <c r="I44" s="27">
        <f t="shared" si="1"/>
        <v>27934</v>
      </c>
      <c r="J44" s="40">
        <v>14709</v>
      </c>
      <c r="K44" s="26">
        <v>9337</v>
      </c>
      <c r="L44" s="27">
        <v>24046</v>
      </c>
      <c r="M44" s="26">
        <v>15147</v>
      </c>
      <c r="N44" s="26">
        <v>8596</v>
      </c>
      <c r="O44" s="27">
        <v>23743</v>
      </c>
      <c r="P44" s="26">
        <v>16344</v>
      </c>
      <c r="Q44" s="26">
        <v>11460</v>
      </c>
      <c r="R44" s="27">
        <v>27804</v>
      </c>
      <c r="S44" s="26">
        <v>13649</v>
      </c>
      <c r="T44" s="26">
        <v>8323</v>
      </c>
      <c r="U44" s="27">
        <v>21972</v>
      </c>
      <c r="V44" s="26">
        <v>13285</v>
      </c>
      <c r="W44" s="26">
        <v>9135</v>
      </c>
      <c r="X44" s="31">
        <v>22420</v>
      </c>
      <c r="Y44" s="16">
        <v>13200</v>
      </c>
      <c r="Z44" s="16">
        <v>8584</v>
      </c>
      <c r="AA44" s="31">
        <v>21784</v>
      </c>
      <c r="AB44" s="32">
        <v>13327</v>
      </c>
      <c r="AC44" s="16">
        <v>8920</v>
      </c>
      <c r="AD44" s="31">
        <v>22247</v>
      </c>
      <c r="AE44" s="16">
        <v>14529</v>
      </c>
      <c r="AF44" s="16">
        <v>8743</v>
      </c>
      <c r="AG44" s="31">
        <v>23272</v>
      </c>
      <c r="AH44" s="16">
        <v>15069</v>
      </c>
      <c r="AI44" s="16">
        <v>7336</v>
      </c>
      <c r="AJ44" s="31">
        <v>22405</v>
      </c>
      <c r="AK44" s="16">
        <v>14497</v>
      </c>
      <c r="AL44" s="16">
        <v>8824</v>
      </c>
      <c r="AM44" s="31">
        <v>23321</v>
      </c>
      <c r="AN44" s="16">
        <v>14497</v>
      </c>
      <c r="AO44" s="16">
        <v>9150</v>
      </c>
      <c r="AP44" s="31">
        <v>23647</v>
      </c>
      <c r="AQ44" s="42"/>
      <c r="AR44" s="43"/>
      <c r="AS44" s="42"/>
      <c r="AT44" s="42"/>
    </row>
    <row r="45" spans="1:46" ht="12.9" customHeight="1" x14ac:dyDescent="0.25">
      <c r="A45" s="28" t="s">
        <v>98</v>
      </c>
      <c r="B45" s="29" t="s">
        <v>99</v>
      </c>
      <c r="C45" s="30" t="s">
        <v>34</v>
      </c>
      <c r="D45" s="40">
        <v>264121</v>
      </c>
      <c r="E45" s="26">
        <v>144732</v>
      </c>
      <c r="F45" s="26">
        <f t="shared" si="0"/>
        <v>408853</v>
      </c>
      <c r="G45" s="40">
        <v>271258</v>
      </c>
      <c r="H45" s="26">
        <v>175933</v>
      </c>
      <c r="I45" s="27">
        <f t="shared" si="1"/>
        <v>447191</v>
      </c>
      <c r="J45" s="40">
        <v>266070</v>
      </c>
      <c r="K45" s="26">
        <v>181624</v>
      </c>
      <c r="L45" s="27">
        <v>447694</v>
      </c>
      <c r="M45" s="26">
        <v>268549</v>
      </c>
      <c r="N45" s="26">
        <v>167410</v>
      </c>
      <c r="O45" s="27">
        <v>435959</v>
      </c>
      <c r="P45" s="26">
        <v>275131</v>
      </c>
      <c r="Q45" s="26">
        <v>172968</v>
      </c>
      <c r="R45" s="27">
        <v>448099</v>
      </c>
      <c r="S45" s="26">
        <v>257324</v>
      </c>
      <c r="T45" s="26">
        <v>194924</v>
      </c>
      <c r="U45" s="27">
        <v>452248</v>
      </c>
      <c r="V45" s="26">
        <v>258118</v>
      </c>
      <c r="W45" s="26">
        <v>188992</v>
      </c>
      <c r="X45" s="31">
        <v>447110</v>
      </c>
      <c r="Y45" s="16">
        <v>258525</v>
      </c>
      <c r="Z45" s="16">
        <v>199774</v>
      </c>
      <c r="AA45" s="31">
        <v>458299</v>
      </c>
      <c r="AB45" s="32">
        <v>258279</v>
      </c>
      <c r="AC45" s="16">
        <v>203343</v>
      </c>
      <c r="AD45" s="31">
        <v>461622</v>
      </c>
      <c r="AE45" s="16">
        <v>255476</v>
      </c>
      <c r="AF45" s="16">
        <v>223648</v>
      </c>
      <c r="AG45" s="31">
        <v>479124</v>
      </c>
      <c r="AH45" s="16">
        <v>253944</v>
      </c>
      <c r="AI45" s="16">
        <v>206543</v>
      </c>
      <c r="AJ45" s="31">
        <v>460487</v>
      </c>
      <c r="AK45" s="16">
        <v>256950</v>
      </c>
      <c r="AL45" s="16">
        <v>203750</v>
      </c>
      <c r="AM45" s="31">
        <v>460700</v>
      </c>
      <c r="AN45" s="16">
        <v>271611</v>
      </c>
      <c r="AO45" s="16">
        <v>188975</v>
      </c>
      <c r="AP45" s="31">
        <v>460586</v>
      </c>
      <c r="AQ45" s="42"/>
      <c r="AR45" s="43"/>
      <c r="AS45" s="42"/>
      <c r="AT45" s="42"/>
    </row>
    <row r="46" spans="1:46" ht="12.9" customHeight="1" x14ac:dyDescent="0.25">
      <c r="A46" s="28" t="s">
        <v>100</v>
      </c>
      <c r="B46" s="29" t="s">
        <v>101</v>
      </c>
      <c r="C46" s="30" t="s">
        <v>34</v>
      </c>
      <c r="D46" s="40">
        <v>10042</v>
      </c>
      <c r="E46" s="26">
        <v>55290</v>
      </c>
      <c r="F46" s="26">
        <f t="shared" si="0"/>
        <v>65332</v>
      </c>
      <c r="G46" s="40">
        <v>11507</v>
      </c>
      <c r="H46" s="26">
        <v>70517</v>
      </c>
      <c r="I46" s="27">
        <f t="shared" si="1"/>
        <v>82024</v>
      </c>
      <c r="J46" s="40">
        <v>11460</v>
      </c>
      <c r="K46" s="26">
        <v>72184</v>
      </c>
      <c r="L46" s="27">
        <v>83644</v>
      </c>
      <c r="M46" s="26">
        <v>11861</v>
      </c>
      <c r="N46" s="26">
        <v>73668</v>
      </c>
      <c r="O46" s="27">
        <v>85529</v>
      </c>
      <c r="P46" s="26">
        <v>11523</v>
      </c>
      <c r="Q46" s="26">
        <v>50883</v>
      </c>
      <c r="R46" s="27">
        <v>62406</v>
      </c>
      <c r="S46" s="26">
        <v>12566</v>
      </c>
      <c r="T46" s="26">
        <v>67367</v>
      </c>
      <c r="U46" s="27">
        <v>79933</v>
      </c>
      <c r="V46" s="26">
        <v>13446</v>
      </c>
      <c r="W46" s="26">
        <v>69826</v>
      </c>
      <c r="X46" s="31">
        <v>83272</v>
      </c>
      <c r="Y46" s="16">
        <v>12467</v>
      </c>
      <c r="Z46" s="16">
        <v>61937</v>
      </c>
      <c r="AA46" s="31">
        <v>74404</v>
      </c>
      <c r="AB46" s="32">
        <v>12886</v>
      </c>
      <c r="AC46" s="16">
        <v>67097</v>
      </c>
      <c r="AD46" s="31">
        <v>79983</v>
      </c>
      <c r="AE46" s="16">
        <v>12498</v>
      </c>
      <c r="AF46" s="16">
        <v>524</v>
      </c>
      <c r="AG46" s="31">
        <v>13022</v>
      </c>
      <c r="AH46" s="16">
        <v>12768</v>
      </c>
      <c r="AI46" s="16">
        <v>588</v>
      </c>
      <c r="AJ46" s="31">
        <v>13356</v>
      </c>
      <c r="AK46" s="16">
        <v>12504</v>
      </c>
      <c r="AL46" s="16">
        <v>587</v>
      </c>
      <c r="AM46" s="31">
        <v>13091</v>
      </c>
      <c r="AN46" s="16">
        <v>12969</v>
      </c>
      <c r="AO46" s="16">
        <v>616</v>
      </c>
      <c r="AP46" s="31">
        <v>13585</v>
      </c>
      <c r="AQ46" s="42"/>
      <c r="AR46" s="43"/>
      <c r="AS46" s="42"/>
      <c r="AT46" s="42"/>
    </row>
    <row r="47" spans="1:46" ht="12.9" customHeight="1" x14ac:dyDescent="0.25">
      <c r="A47" s="28" t="s">
        <v>102</v>
      </c>
      <c r="B47" s="29" t="s">
        <v>103</v>
      </c>
      <c r="C47" s="30" t="s">
        <v>34</v>
      </c>
      <c r="D47" s="40">
        <v>120202</v>
      </c>
      <c r="E47" s="26">
        <v>32120</v>
      </c>
      <c r="F47" s="26">
        <f t="shared" si="0"/>
        <v>152322</v>
      </c>
      <c r="G47" s="40">
        <v>119444</v>
      </c>
      <c r="H47" s="26">
        <v>24158</v>
      </c>
      <c r="I47" s="27">
        <f t="shared" si="1"/>
        <v>143602</v>
      </c>
      <c r="J47" s="40">
        <v>124315</v>
      </c>
      <c r="K47" s="26">
        <v>18042</v>
      </c>
      <c r="L47" s="27">
        <v>142357</v>
      </c>
      <c r="M47" s="26">
        <v>135481</v>
      </c>
      <c r="N47" s="26">
        <v>23599</v>
      </c>
      <c r="O47" s="27">
        <v>159080</v>
      </c>
      <c r="P47" s="26">
        <v>127676</v>
      </c>
      <c r="Q47" s="26">
        <v>19381</v>
      </c>
      <c r="R47" s="27">
        <v>147057</v>
      </c>
      <c r="S47" s="26">
        <v>125100</v>
      </c>
      <c r="T47" s="26">
        <v>29540</v>
      </c>
      <c r="U47" s="27">
        <v>154640</v>
      </c>
      <c r="V47" s="26">
        <v>122584</v>
      </c>
      <c r="W47" s="26">
        <v>18223</v>
      </c>
      <c r="X47" s="31">
        <v>140807</v>
      </c>
      <c r="Y47" s="16">
        <v>123739</v>
      </c>
      <c r="Z47" s="16">
        <v>25132</v>
      </c>
      <c r="AA47" s="31">
        <v>148871</v>
      </c>
      <c r="AB47" s="32">
        <v>118069</v>
      </c>
      <c r="AC47" s="16">
        <v>28115</v>
      </c>
      <c r="AD47" s="31">
        <v>146184</v>
      </c>
      <c r="AE47" s="16">
        <v>117709</v>
      </c>
      <c r="AF47" s="16">
        <v>25467</v>
      </c>
      <c r="AG47" s="31">
        <v>143176</v>
      </c>
      <c r="AH47" s="16">
        <v>121531</v>
      </c>
      <c r="AI47" s="16">
        <v>25240</v>
      </c>
      <c r="AJ47" s="31">
        <v>146771</v>
      </c>
      <c r="AK47" s="16">
        <v>127311</v>
      </c>
      <c r="AL47" s="16">
        <v>34220</v>
      </c>
      <c r="AM47" s="31">
        <v>161531</v>
      </c>
      <c r="AN47" s="16">
        <v>134888</v>
      </c>
      <c r="AO47" s="16">
        <v>29686</v>
      </c>
      <c r="AP47" s="31">
        <v>164574</v>
      </c>
      <c r="AQ47" s="42"/>
      <c r="AR47" s="43"/>
      <c r="AS47" s="42"/>
      <c r="AT47" s="42"/>
    </row>
    <row r="48" spans="1:46" ht="12.9" customHeight="1" x14ac:dyDescent="0.25">
      <c r="A48" s="28" t="s">
        <v>104</v>
      </c>
      <c r="B48" s="29" t="s">
        <v>105</v>
      </c>
      <c r="C48" s="30" t="s">
        <v>56</v>
      </c>
      <c r="D48" s="40">
        <v>84571</v>
      </c>
      <c r="E48" s="26">
        <v>1951</v>
      </c>
      <c r="F48" s="26">
        <f t="shared" si="0"/>
        <v>86522</v>
      </c>
      <c r="G48" s="40">
        <v>88484</v>
      </c>
      <c r="H48" s="26">
        <v>1445</v>
      </c>
      <c r="I48" s="27">
        <f t="shared" si="1"/>
        <v>89929</v>
      </c>
      <c r="J48" s="40">
        <v>92400</v>
      </c>
      <c r="K48" s="26">
        <v>2402</v>
      </c>
      <c r="L48" s="27">
        <v>94802</v>
      </c>
      <c r="M48" s="26">
        <v>95571</v>
      </c>
      <c r="N48" s="26">
        <v>4310</v>
      </c>
      <c r="O48" s="27">
        <v>99881</v>
      </c>
      <c r="P48" s="26">
        <v>96826</v>
      </c>
      <c r="Q48" s="26">
        <v>2112</v>
      </c>
      <c r="R48" s="27">
        <v>98938</v>
      </c>
      <c r="S48" s="26">
        <v>117796.33333333333</v>
      </c>
      <c r="T48" s="26">
        <v>1870</v>
      </c>
      <c r="U48" s="27">
        <v>119666.33333333333</v>
      </c>
      <c r="V48" s="26">
        <v>112567</v>
      </c>
      <c r="W48" s="26">
        <v>2396</v>
      </c>
      <c r="X48" s="31">
        <v>114963</v>
      </c>
      <c r="Y48" s="16">
        <v>92274</v>
      </c>
      <c r="Z48" s="16">
        <v>4724</v>
      </c>
      <c r="AA48" s="31">
        <v>96998</v>
      </c>
      <c r="AB48" s="32">
        <v>112996</v>
      </c>
      <c r="AC48" s="16">
        <v>3112</v>
      </c>
      <c r="AD48" s="31">
        <v>116108</v>
      </c>
      <c r="AE48" s="16">
        <v>100226</v>
      </c>
      <c r="AF48" s="16">
        <v>2474</v>
      </c>
      <c r="AG48" s="31">
        <v>102700</v>
      </c>
      <c r="AH48" s="16">
        <v>102729</v>
      </c>
      <c r="AI48" s="16">
        <v>4085</v>
      </c>
      <c r="AJ48" s="31">
        <v>106814</v>
      </c>
      <c r="AK48" s="16">
        <v>112002</v>
      </c>
      <c r="AL48" s="16">
        <v>4915</v>
      </c>
      <c r="AM48" s="31">
        <v>116917</v>
      </c>
      <c r="AN48" s="16">
        <v>117753</v>
      </c>
      <c r="AO48" s="16">
        <v>5005</v>
      </c>
      <c r="AP48" s="31">
        <v>122758</v>
      </c>
      <c r="AQ48" s="42"/>
      <c r="AR48" s="43"/>
      <c r="AS48" s="42"/>
      <c r="AT48" s="42"/>
    </row>
    <row r="49" spans="1:46" ht="12.9" customHeight="1" x14ac:dyDescent="0.25">
      <c r="A49" s="28" t="s">
        <v>106</v>
      </c>
      <c r="B49" s="29" t="s">
        <v>107</v>
      </c>
      <c r="C49" s="30" t="s">
        <v>14</v>
      </c>
      <c r="D49" s="40">
        <v>19578</v>
      </c>
      <c r="E49" s="26">
        <v>1337</v>
      </c>
      <c r="F49" s="26">
        <f t="shared" si="0"/>
        <v>20915</v>
      </c>
      <c r="G49" s="40">
        <v>18846</v>
      </c>
      <c r="H49" s="26">
        <v>540</v>
      </c>
      <c r="I49" s="27">
        <f t="shared" si="1"/>
        <v>19386</v>
      </c>
      <c r="J49" s="40">
        <v>18846</v>
      </c>
      <c r="K49" s="26">
        <v>540</v>
      </c>
      <c r="L49" s="27">
        <v>19386</v>
      </c>
      <c r="M49" s="26">
        <v>18846</v>
      </c>
      <c r="N49" s="26">
        <v>540</v>
      </c>
      <c r="O49" s="27">
        <v>19386</v>
      </c>
      <c r="P49" s="26">
        <v>18792</v>
      </c>
      <c r="Q49" s="26">
        <v>540</v>
      </c>
      <c r="R49" s="27">
        <v>19332</v>
      </c>
      <c r="S49" s="26">
        <v>18684</v>
      </c>
      <c r="T49" s="26">
        <v>540</v>
      </c>
      <c r="U49" s="27">
        <v>19224</v>
      </c>
      <c r="V49" s="26">
        <v>18684</v>
      </c>
      <c r="W49" s="26">
        <v>540</v>
      </c>
      <c r="X49" s="31">
        <v>19224</v>
      </c>
      <c r="Y49" s="16">
        <v>18684</v>
      </c>
      <c r="Z49" s="16">
        <v>432</v>
      </c>
      <c r="AA49" s="31">
        <v>19116</v>
      </c>
      <c r="AB49" s="32">
        <v>17928</v>
      </c>
      <c r="AC49" s="16">
        <v>432</v>
      </c>
      <c r="AD49" s="31">
        <v>18360</v>
      </c>
      <c r="AE49" s="16">
        <v>18360</v>
      </c>
      <c r="AF49" s="16">
        <v>432</v>
      </c>
      <c r="AG49" s="31">
        <v>18792</v>
      </c>
      <c r="AH49" s="16">
        <v>18822</v>
      </c>
      <c r="AI49" s="16">
        <v>432</v>
      </c>
      <c r="AJ49" s="31">
        <v>19254</v>
      </c>
      <c r="AK49" s="16">
        <v>19116</v>
      </c>
      <c r="AL49" s="16">
        <v>216</v>
      </c>
      <c r="AM49" s="31">
        <v>19332</v>
      </c>
      <c r="AN49" s="16">
        <v>15840</v>
      </c>
      <c r="AO49" s="16">
        <v>216</v>
      </c>
      <c r="AP49" s="31">
        <v>16056</v>
      </c>
      <c r="AQ49" s="42"/>
      <c r="AR49" s="43"/>
      <c r="AS49" s="42"/>
      <c r="AT49" s="42"/>
    </row>
    <row r="50" spans="1:46" ht="12.9" customHeight="1" x14ac:dyDescent="0.25">
      <c r="A50" s="28" t="s">
        <v>108</v>
      </c>
      <c r="B50" s="29" t="s">
        <v>109</v>
      </c>
      <c r="C50" s="30" t="s">
        <v>110</v>
      </c>
      <c r="D50" s="40">
        <v>136282</v>
      </c>
      <c r="E50" s="26">
        <v>724739</v>
      </c>
      <c r="F50" s="26">
        <f t="shared" si="0"/>
        <v>861021</v>
      </c>
      <c r="G50" s="40">
        <v>145472</v>
      </c>
      <c r="H50" s="26">
        <v>654232</v>
      </c>
      <c r="I50" s="27">
        <f t="shared" si="1"/>
        <v>799704</v>
      </c>
      <c r="J50" s="40">
        <v>163556</v>
      </c>
      <c r="K50" s="26">
        <v>602158</v>
      </c>
      <c r="L50" s="27">
        <v>765714</v>
      </c>
      <c r="M50" s="26">
        <v>143966</v>
      </c>
      <c r="N50" s="26">
        <v>711645</v>
      </c>
      <c r="O50" s="27">
        <v>855611</v>
      </c>
      <c r="P50" s="26">
        <v>152970</v>
      </c>
      <c r="Q50" s="26">
        <v>483906</v>
      </c>
      <c r="R50" s="27">
        <v>636876</v>
      </c>
      <c r="S50" s="26">
        <v>146926</v>
      </c>
      <c r="T50" s="26">
        <v>658163</v>
      </c>
      <c r="U50" s="27">
        <v>805089</v>
      </c>
      <c r="V50" s="26">
        <v>157222</v>
      </c>
      <c r="W50" s="26">
        <v>548065</v>
      </c>
      <c r="X50" s="31">
        <v>705287</v>
      </c>
      <c r="Y50" s="16">
        <v>144627</v>
      </c>
      <c r="Z50" s="16">
        <v>606587</v>
      </c>
      <c r="AA50" s="31">
        <v>751214</v>
      </c>
      <c r="AB50" s="32">
        <v>144009</v>
      </c>
      <c r="AC50" s="16">
        <v>702453</v>
      </c>
      <c r="AD50" s="31">
        <v>846462</v>
      </c>
      <c r="AE50" s="16">
        <v>132171</v>
      </c>
      <c r="AF50" s="16">
        <v>491807</v>
      </c>
      <c r="AG50" s="31">
        <v>623978</v>
      </c>
      <c r="AH50" s="16">
        <v>120730</v>
      </c>
      <c r="AI50" s="16">
        <v>348221</v>
      </c>
      <c r="AJ50" s="31">
        <v>468951</v>
      </c>
      <c r="AK50" s="16">
        <v>129331</v>
      </c>
      <c r="AL50" s="16">
        <v>561240</v>
      </c>
      <c r="AM50" s="31">
        <v>690571</v>
      </c>
      <c r="AN50" s="16">
        <v>164062</v>
      </c>
      <c r="AO50" s="16">
        <v>874246</v>
      </c>
      <c r="AP50" s="31">
        <v>1038308</v>
      </c>
      <c r="AQ50" s="42"/>
      <c r="AR50" s="43"/>
      <c r="AS50" s="42"/>
      <c r="AT50" s="42"/>
    </row>
    <row r="51" spans="1:46" ht="12.9" customHeight="1" x14ac:dyDescent="0.25">
      <c r="A51" s="28" t="s">
        <v>111</v>
      </c>
      <c r="B51" s="29" t="s">
        <v>112</v>
      </c>
      <c r="C51" s="47" t="s">
        <v>1946</v>
      </c>
      <c r="D51" s="40">
        <v>11346</v>
      </c>
      <c r="E51" s="26">
        <v>4525</v>
      </c>
      <c r="F51" s="26">
        <f t="shared" si="0"/>
        <v>15871</v>
      </c>
      <c r="G51" s="40">
        <v>11211</v>
      </c>
      <c r="H51" s="26">
        <v>4346</v>
      </c>
      <c r="I51" s="27">
        <f t="shared" si="1"/>
        <v>15557</v>
      </c>
      <c r="J51" s="40">
        <v>12147</v>
      </c>
      <c r="K51" s="26">
        <v>3710</v>
      </c>
      <c r="L51" s="27">
        <v>15857</v>
      </c>
      <c r="M51" s="26">
        <v>13997</v>
      </c>
      <c r="N51" s="26">
        <v>6165</v>
      </c>
      <c r="O51" s="27">
        <v>20162</v>
      </c>
      <c r="P51" s="26">
        <v>13634</v>
      </c>
      <c r="Q51" s="26">
        <v>4641</v>
      </c>
      <c r="R51" s="27">
        <v>18275</v>
      </c>
      <c r="S51" s="26">
        <v>12390</v>
      </c>
      <c r="T51" s="26">
        <v>4319</v>
      </c>
      <c r="U51" s="27">
        <v>16709</v>
      </c>
      <c r="V51" s="26">
        <v>11932</v>
      </c>
      <c r="W51" s="26">
        <v>4114</v>
      </c>
      <c r="X51" s="31">
        <v>16046</v>
      </c>
      <c r="Y51" s="16">
        <v>11849</v>
      </c>
      <c r="Z51" s="16">
        <v>4682</v>
      </c>
      <c r="AA51" s="31">
        <v>16531</v>
      </c>
      <c r="AB51" s="32">
        <v>11467</v>
      </c>
      <c r="AC51" s="16">
        <v>4626</v>
      </c>
      <c r="AD51" s="31">
        <v>16093</v>
      </c>
      <c r="AE51" s="16">
        <v>11813</v>
      </c>
      <c r="AF51" s="16">
        <v>3978</v>
      </c>
      <c r="AG51" s="31">
        <v>15791</v>
      </c>
      <c r="AH51" s="16">
        <v>11075</v>
      </c>
      <c r="AI51" s="16">
        <v>3821</v>
      </c>
      <c r="AJ51" s="31">
        <v>14896</v>
      </c>
      <c r="AK51" s="16">
        <v>10758.4</v>
      </c>
      <c r="AL51" s="16">
        <v>4286.88</v>
      </c>
      <c r="AM51" s="31">
        <v>15045.279999999999</v>
      </c>
      <c r="AN51" s="16">
        <v>12828</v>
      </c>
      <c r="AO51" s="16">
        <v>4015</v>
      </c>
      <c r="AP51" s="31">
        <v>16843</v>
      </c>
      <c r="AQ51" s="42"/>
      <c r="AR51" s="43"/>
      <c r="AS51" s="42"/>
      <c r="AT51" s="42"/>
    </row>
    <row r="52" spans="1:46" ht="12.9" customHeight="1" x14ac:dyDescent="0.25">
      <c r="A52" s="28" t="s">
        <v>114</v>
      </c>
      <c r="B52" s="29" t="s">
        <v>115</v>
      </c>
      <c r="C52" s="30" t="s">
        <v>34</v>
      </c>
      <c r="D52" s="40">
        <v>288843</v>
      </c>
      <c r="E52" s="26">
        <v>247856</v>
      </c>
      <c r="F52" s="26">
        <f t="shared" si="0"/>
        <v>536699</v>
      </c>
      <c r="G52" s="40">
        <v>287223</v>
      </c>
      <c r="H52" s="26">
        <v>265112</v>
      </c>
      <c r="I52" s="27">
        <f t="shared" si="1"/>
        <v>552335</v>
      </c>
      <c r="J52" s="40">
        <v>344173</v>
      </c>
      <c r="K52" s="26">
        <v>145491</v>
      </c>
      <c r="L52" s="27">
        <v>489664</v>
      </c>
      <c r="M52" s="26">
        <v>376937</v>
      </c>
      <c r="N52" s="26">
        <v>99807</v>
      </c>
      <c r="O52" s="27">
        <v>476744</v>
      </c>
      <c r="P52" s="26">
        <v>384444</v>
      </c>
      <c r="Q52" s="26">
        <v>92984</v>
      </c>
      <c r="R52" s="27">
        <v>477428</v>
      </c>
      <c r="S52" s="26">
        <v>323639</v>
      </c>
      <c r="T52" s="26">
        <v>108306</v>
      </c>
      <c r="U52" s="27">
        <v>431945</v>
      </c>
      <c r="V52" s="26">
        <v>319777</v>
      </c>
      <c r="W52" s="26">
        <v>112804</v>
      </c>
      <c r="X52" s="31">
        <v>432581</v>
      </c>
      <c r="Y52" s="16">
        <v>316181</v>
      </c>
      <c r="Z52" s="16">
        <v>124118</v>
      </c>
      <c r="AA52" s="31">
        <v>440299</v>
      </c>
      <c r="AB52" s="32">
        <v>318494</v>
      </c>
      <c r="AC52" s="16">
        <v>139873</v>
      </c>
      <c r="AD52" s="31">
        <v>458367</v>
      </c>
      <c r="AE52" s="16">
        <v>367017</v>
      </c>
      <c r="AF52" s="16">
        <v>132449</v>
      </c>
      <c r="AG52" s="31">
        <v>499466</v>
      </c>
      <c r="AH52" s="16">
        <v>291945</v>
      </c>
      <c r="AI52" s="16">
        <v>124693</v>
      </c>
      <c r="AJ52" s="31">
        <v>416638</v>
      </c>
      <c r="AK52" s="16">
        <v>285889</v>
      </c>
      <c r="AL52" s="16">
        <v>121605</v>
      </c>
      <c r="AM52" s="31">
        <v>407494</v>
      </c>
      <c r="AN52" s="16">
        <v>256471</v>
      </c>
      <c r="AO52" s="16">
        <v>120799</v>
      </c>
      <c r="AP52" s="31">
        <v>377270</v>
      </c>
      <c r="AQ52" s="42"/>
      <c r="AR52" s="43"/>
      <c r="AS52" s="42"/>
      <c r="AT52" s="42"/>
    </row>
    <row r="53" spans="1:46" ht="12.9" customHeight="1" x14ac:dyDescent="0.25">
      <c r="A53" s="28" t="s">
        <v>116</v>
      </c>
      <c r="B53" s="29" t="s">
        <v>117</v>
      </c>
      <c r="C53" s="30" t="s">
        <v>95</v>
      </c>
      <c r="D53" s="40">
        <v>77868</v>
      </c>
      <c r="E53" s="26">
        <v>6985</v>
      </c>
      <c r="F53" s="26">
        <f t="shared" si="0"/>
        <v>84853</v>
      </c>
      <c r="G53" s="40">
        <v>77760</v>
      </c>
      <c r="H53" s="26">
        <v>6330</v>
      </c>
      <c r="I53" s="27">
        <f t="shared" si="1"/>
        <v>84090</v>
      </c>
      <c r="J53" s="40">
        <v>77220</v>
      </c>
      <c r="K53" s="26">
        <v>5825</v>
      </c>
      <c r="L53" s="27">
        <v>83045</v>
      </c>
      <c r="M53" s="26">
        <v>79740</v>
      </c>
      <c r="N53" s="26">
        <v>9472</v>
      </c>
      <c r="O53" s="27">
        <v>89212</v>
      </c>
      <c r="P53" s="26">
        <v>77220</v>
      </c>
      <c r="Q53" s="26">
        <v>6315</v>
      </c>
      <c r="R53" s="27">
        <v>83535</v>
      </c>
      <c r="S53" s="26">
        <v>77220</v>
      </c>
      <c r="T53" s="26">
        <v>4758</v>
      </c>
      <c r="U53" s="27">
        <v>81978</v>
      </c>
      <c r="V53" s="26">
        <v>77004</v>
      </c>
      <c r="W53" s="26">
        <v>6326</v>
      </c>
      <c r="X53" s="31">
        <v>83330</v>
      </c>
      <c r="Y53" s="16">
        <v>76464</v>
      </c>
      <c r="Z53" s="16">
        <v>5358</v>
      </c>
      <c r="AA53" s="31">
        <v>81822</v>
      </c>
      <c r="AB53" s="32">
        <v>76680</v>
      </c>
      <c r="AC53" s="16">
        <v>4309</v>
      </c>
      <c r="AD53" s="31">
        <v>80989</v>
      </c>
      <c r="AE53" s="16">
        <v>75276</v>
      </c>
      <c r="AF53" s="16">
        <v>4340</v>
      </c>
      <c r="AG53" s="31">
        <v>79616</v>
      </c>
      <c r="AH53" s="16">
        <v>73440</v>
      </c>
      <c r="AI53" s="16">
        <v>3652</v>
      </c>
      <c r="AJ53" s="31">
        <v>77092</v>
      </c>
      <c r="AK53" s="16">
        <v>70092</v>
      </c>
      <c r="AL53" s="16">
        <v>4697</v>
      </c>
      <c r="AM53" s="31">
        <v>74789</v>
      </c>
      <c r="AN53" s="16">
        <v>68688</v>
      </c>
      <c r="AO53" s="16">
        <v>3885</v>
      </c>
      <c r="AP53" s="31">
        <v>72573</v>
      </c>
      <c r="AQ53" s="42"/>
      <c r="AR53" s="43"/>
      <c r="AS53" s="42"/>
      <c r="AT53" s="42"/>
    </row>
    <row r="54" spans="1:46" ht="12.9" customHeight="1" x14ac:dyDescent="0.25">
      <c r="A54" s="28" t="s">
        <v>118</v>
      </c>
      <c r="B54" s="29" t="s">
        <v>119</v>
      </c>
      <c r="C54" s="30" t="s">
        <v>120</v>
      </c>
      <c r="D54" s="40">
        <v>346863</v>
      </c>
      <c r="E54" s="26">
        <v>97761</v>
      </c>
      <c r="F54" s="26">
        <f t="shared" si="0"/>
        <v>444624</v>
      </c>
      <c r="G54" s="40">
        <v>380036</v>
      </c>
      <c r="H54" s="26">
        <v>106567</v>
      </c>
      <c r="I54" s="27">
        <f t="shared" si="1"/>
        <v>486603</v>
      </c>
      <c r="J54" s="40">
        <v>373659</v>
      </c>
      <c r="K54" s="26">
        <v>128582</v>
      </c>
      <c r="L54" s="27">
        <v>502241</v>
      </c>
      <c r="M54" s="26">
        <v>386508</v>
      </c>
      <c r="N54" s="26">
        <v>118003</v>
      </c>
      <c r="O54" s="27">
        <v>504511</v>
      </c>
      <c r="P54" s="26">
        <v>391054</v>
      </c>
      <c r="Q54" s="26">
        <v>86526</v>
      </c>
      <c r="R54" s="27">
        <v>477580</v>
      </c>
      <c r="S54" s="26">
        <v>379039</v>
      </c>
      <c r="T54" s="26">
        <v>113668</v>
      </c>
      <c r="U54" s="27">
        <v>492707</v>
      </c>
      <c r="V54" s="26">
        <v>355246</v>
      </c>
      <c r="W54" s="26">
        <v>113909</v>
      </c>
      <c r="X54" s="31">
        <v>469155</v>
      </c>
      <c r="Y54" s="16">
        <v>372555</v>
      </c>
      <c r="Z54" s="16">
        <v>111173</v>
      </c>
      <c r="AA54" s="31">
        <v>483728</v>
      </c>
      <c r="AB54" s="32">
        <v>366825</v>
      </c>
      <c r="AC54" s="16">
        <v>95236</v>
      </c>
      <c r="AD54" s="31">
        <v>462061</v>
      </c>
      <c r="AE54" s="16">
        <v>364462</v>
      </c>
      <c r="AF54" s="16">
        <v>94628</v>
      </c>
      <c r="AG54" s="31">
        <v>459090</v>
      </c>
      <c r="AH54" s="16">
        <v>380767</v>
      </c>
      <c r="AI54" s="16">
        <v>74587</v>
      </c>
      <c r="AJ54" s="31">
        <v>455354</v>
      </c>
      <c r="AK54" s="16">
        <v>368657</v>
      </c>
      <c r="AL54" s="16">
        <v>69998</v>
      </c>
      <c r="AM54" s="31">
        <v>438655</v>
      </c>
      <c r="AN54" s="16">
        <v>388491</v>
      </c>
      <c r="AO54" s="16">
        <v>82225</v>
      </c>
      <c r="AP54" s="31">
        <v>470716</v>
      </c>
      <c r="AQ54" s="42"/>
      <c r="AR54" s="43"/>
      <c r="AS54" s="42"/>
      <c r="AT54" s="42"/>
    </row>
    <row r="55" spans="1:46" ht="12.9" customHeight="1" x14ac:dyDescent="0.25">
      <c r="A55" s="28" t="s">
        <v>121</v>
      </c>
      <c r="B55" s="29" t="s">
        <v>122</v>
      </c>
      <c r="C55" s="30" t="s">
        <v>123</v>
      </c>
      <c r="D55" s="40">
        <v>78274</v>
      </c>
      <c r="E55" s="26">
        <v>198247</v>
      </c>
      <c r="F55" s="26">
        <f t="shared" si="0"/>
        <v>276521</v>
      </c>
      <c r="G55" s="40">
        <v>79095</v>
      </c>
      <c r="H55" s="26">
        <v>176493</v>
      </c>
      <c r="I55" s="27">
        <f t="shared" si="1"/>
        <v>255588</v>
      </c>
      <c r="J55" s="40">
        <v>82907</v>
      </c>
      <c r="K55" s="26">
        <v>236902</v>
      </c>
      <c r="L55" s="27">
        <v>319809</v>
      </c>
      <c r="M55" s="26">
        <v>86074</v>
      </c>
      <c r="N55" s="26">
        <v>232915</v>
      </c>
      <c r="O55" s="27">
        <v>318989</v>
      </c>
      <c r="P55" s="26">
        <v>93760</v>
      </c>
      <c r="Q55" s="26">
        <v>217025</v>
      </c>
      <c r="R55" s="27">
        <v>310785</v>
      </c>
      <c r="S55" s="26">
        <v>84325</v>
      </c>
      <c r="T55" s="26">
        <v>200165</v>
      </c>
      <c r="U55" s="27">
        <v>284490</v>
      </c>
      <c r="V55" s="26">
        <v>79281</v>
      </c>
      <c r="W55" s="26">
        <v>186518</v>
      </c>
      <c r="X55" s="31">
        <v>265799</v>
      </c>
      <c r="Y55" s="16">
        <v>78477</v>
      </c>
      <c r="Z55" s="16">
        <v>181139</v>
      </c>
      <c r="AA55" s="31">
        <v>259616</v>
      </c>
      <c r="AB55" s="32">
        <v>80753</v>
      </c>
      <c r="AC55" s="16">
        <v>211050</v>
      </c>
      <c r="AD55" s="31">
        <v>291803</v>
      </c>
      <c r="AE55" s="16">
        <v>80378</v>
      </c>
      <c r="AF55" s="16">
        <v>170128</v>
      </c>
      <c r="AG55" s="31">
        <v>250506</v>
      </c>
      <c r="AH55" s="16">
        <v>78706</v>
      </c>
      <c r="AI55" s="16">
        <v>132730</v>
      </c>
      <c r="AJ55" s="31">
        <v>211436</v>
      </c>
      <c r="AK55" s="16">
        <v>96326</v>
      </c>
      <c r="AL55" s="16">
        <v>129698</v>
      </c>
      <c r="AM55" s="31">
        <v>226024</v>
      </c>
      <c r="AN55" s="16">
        <v>84946</v>
      </c>
      <c r="AO55" s="16">
        <v>136381</v>
      </c>
      <c r="AP55" s="31">
        <v>221327</v>
      </c>
      <c r="AQ55" s="42"/>
      <c r="AR55" s="43"/>
      <c r="AS55" s="42"/>
      <c r="AT55" s="42"/>
    </row>
    <row r="56" spans="1:46" ht="12.9" customHeight="1" x14ac:dyDescent="0.25">
      <c r="A56" s="28" t="s">
        <v>124</v>
      </c>
      <c r="B56" s="29" t="s">
        <v>125</v>
      </c>
      <c r="C56" s="30" t="s">
        <v>73</v>
      </c>
      <c r="D56" s="40">
        <v>630991</v>
      </c>
      <c r="E56" s="26">
        <v>209707</v>
      </c>
      <c r="F56" s="26">
        <f t="shared" si="0"/>
        <v>840698</v>
      </c>
      <c r="G56" s="40">
        <v>650443</v>
      </c>
      <c r="H56" s="26">
        <v>227441</v>
      </c>
      <c r="I56" s="27">
        <f t="shared" si="1"/>
        <v>877884</v>
      </c>
      <c r="J56" s="40">
        <v>638452</v>
      </c>
      <c r="K56" s="26">
        <v>225077</v>
      </c>
      <c r="L56" s="27">
        <v>863529</v>
      </c>
      <c r="M56" s="26">
        <v>616276</v>
      </c>
      <c r="N56" s="26">
        <v>191744</v>
      </c>
      <c r="O56" s="27">
        <v>808020</v>
      </c>
      <c r="P56" s="26">
        <v>627215</v>
      </c>
      <c r="Q56" s="26">
        <v>144653</v>
      </c>
      <c r="R56" s="27">
        <v>771868</v>
      </c>
      <c r="S56" s="26">
        <v>640241</v>
      </c>
      <c r="T56" s="26">
        <v>191245</v>
      </c>
      <c r="U56" s="27">
        <v>831486</v>
      </c>
      <c r="V56" s="26">
        <v>635763</v>
      </c>
      <c r="W56" s="26">
        <v>195135</v>
      </c>
      <c r="X56" s="31">
        <v>830898</v>
      </c>
      <c r="Y56" s="16">
        <v>651168</v>
      </c>
      <c r="Z56" s="16">
        <v>178549</v>
      </c>
      <c r="AA56" s="31">
        <v>829717</v>
      </c>
      <c r="AB56" s="32">
        <v>656457</v>
      </c>
      <c r="AC56" s="16">
        <v>169405</v>
      </c>
      <c r="AD56" s="31">
        <v>825862</v>
      </c>
      <c r="AE56" s="16">
        <v>637367</v>
      </c>
      <c r="AF56" s="16">
        <v>162735</v>
      </c>
      <c r="AG56" s="31">
        <v>800102</v>
      </c>
      <c r="AH56" s="16">
        <v>670917</v>
      </c>
      <c r="AI56" s="16">
        <v>171736</v>
      </c>
      <c r="AJ56" s="31">
        <v>842653</v>
      </c>
      <c r="AK56" s="16">
        <v>683526</v>
      </c>
      <c r="AL56" s="16">
        <v>145271</v>
      </c>
      <c r="AM56" s="31">
        <v>828797</v>
      </c>
      <c r="AN56" s="16">
        <v>781747</v>
      </c>
      <c r="AO56" s="16">
        <v>130535</v>
      </c>
      <c r="AP56" s="31">
        <v>912282</v>
      </c>
      <c r="AQ56" s="42"/>
      <c r="AR56" s="43"/>
      <c r="AS56" s="42"/>
      <c r="AT56" s="42"/>
    </row>
    <row r="57" spans="1:46" ht="12.9" customHeight="1" x14ac:dyDescent="0.25">
      <c r="A57" s="28" t="s">
        <v>126</v>
      </c>
      <c r="B57" s="29" t="s">
        <v>127</v>
      </c>
      <c r="C57" s="30" t="s">
        <v>26</v>
      </c>
      <c r="D57" s="40">
        <v>401644</v>
      </c>
      <c r="E57" s="26">
        <v>101035</v>
      </c>
      <c r="F57" s="26">
        <f t="shared" si="0"/>
        <v>502679</v>
      </c>
      <c r="G57" s="40">
        <v>432785</v>
      </c>
      <c r="H57" s="26">
        <v>110573</v>
      </c>
      <c r="I57" s="27">
        <f t="shared" si="1"/>
        <v>543358</v>
      </c>
      <c r="J57" s="40">
        <v>506691</v>
      </c>
      <c r="K57" s="26">
        <v>123015</v>
      </c>
      <c r="L57" s="27">
        <v>629706</v>
      </c>
      <c r="M57" s="26">
        <v>500279</v>
      </c>
      <c r="N57" s="26">
        <v>116668</v>
      </c>
      <c r="O57" s="27">
        <v>616947</v>
      </c>
      <c r="P57" s="26">
        <v>464916</v>
      </c>
      <c r="Q57" s="26">
        <v>117780</v>
      </c>
      <c r="R57" s="27">
        <v>582696</v>
      </c>
      <c r="S57" s="26">
        <v>453963</v>
      </c>
      <c r="T57" s="26">
        <v>122045</v>
      </c>
      <c r="U57" s="27">
        <v>576008</v>
      </c>
      <c r="V57" s="26">
        <v>427199</v>
      </c>
      <c r="W57" s="26">
        <v>141922</v>
      </c>
      <c r="X57" s="31">
        <v>569121</v>
      </c>
      <c r="Y57" s="16">
        <v>437566</v>
      </c>
      <c r="Z57" s="16">
        <v>114525</v>
      </c>
      <c r="AA57" s="31">
        <v>552091</v>
      </c>
      <c r="AB57" s="32">
        <v>430115</v>
      </c>
      <c r="AC57" s="16">
        <v>131274</v>
      </c>
      <c r="AD57" s="31">
        <v>561389</v>
      </c>
      <c r="AE57" s="16">
        <v>413250</v>
      </c>
      <c r="AF57" s="16">
        <v>118174</v>
      </c>
      <c r="AG57" s="31">
        <v>531424</v>
      </c>
      <c r="AH57" s="16">
        <v>402959</v>
      </c>
      <c r="AI57" s="16">
        <v>137879</v>
      </c>
      <c r="AJ57" s="31">
        <v>540838</v>
      </c>
      <c r="AK57" s="16">
        <v>398823</v>
      </c>
      <c r="AL57" s="16">
        <v>102360</v>
      </c>
      <c r="AM57" s="31">
        <v>501183</v>
      </c>
      <c r="AN57" s="16">
        <v>457442</v>
      </c>
      <c r="AO57" s="16">
        <v>82770</v>
      </c>
      <c r="AP57" s="31">
        <v>540212</v>
      </c>
      <c r="AQ57" s="42"/>
      <c r="AR57" s="43"/>
      <c r="AS57" s="42"/>
      <c r="AT57" s="42"/>
    </row>
    <row r="58" spans="1:46" ht="12.9" customHeight="1" x14ac:dyDescent="0.25">
      <c r="A58" s="28" t="s">
        <v>128</v>
      </c>
      <c r="B58" s="29" t="s">
        <v>129</v>
      </c>
      <c r="C58" s="30" t="s">
        <v>73</v>
      </c>
      <c r="D58" s="40">
        <v>269632</v>
      </c>
      <c r="E58" s="26">
        <v>113246</v>
      </c>
      <c r="F58" s="26">
        <f t="shared" si="0"/>
        <v>382878</v>
      </c>
      <c r="G58" s="40">
        <v>267267</v>
      </c>
      <c r="H58" s="26">
        <v>132089</v>
      </c>
      <c r="I58" s="27">
        <f t="shared" si="1"/>
        <v>399356</v>
      </c>
      <c r="J58" s="40">
        <v>274588</v>
      </c>
      <c r="K58" s="26">
        <v>118329</v>
      </c>
      <c r="L58" s="27">
        <v>392917</v>
      </c>
      <c r="M58" s="26">
        <v>266952</v>
      </c>
      <c r="N58" s="26">
        <v>87583</v>
      </c>
      <c r="O58" s="27">
        <v>354535</v>
      </c>
      <c r="P58" s="26">
        <v>274396</v>
      </c>
      <c r="Q58" s="26">
        <v>61420</v>
      </c>
      <c r="R58" s="27">
        <v>335816</v>
      </c>
      <c r="S58" s="26">
        <v>270097</v>
      </c>
      <c r="T58" s="26">
        <v>87518</v>
      </c>
      <c r="U58" s="27">
        <v>357615</v>
      </c>
      <c r="V58" s="26">
        <v>254064</v>
      </c>
      <c r="W58" s="26">
        <v>87203</v>
      </c>
      <c r="X58" s="31">
        <v>341267</v>
      </c>
      <c r="Y58" s="16">
        <v>261852</v>
      </c>
      <c r="Z58" s="16">
        <v>84059</v>
      </c>
      <c r="AA58" s="31">
        <v>345911</v>
      </c>
      <c r="AB58" s="32">
        <v>265151</v>
      </c>
      <c r="AC58" s="16">
        <v>114904</v>
      </c>
      <c r="AD58" s="31">
        <v>380055</v>
      </c>
      <c r="AE58" s="16">
        <v>247165</v>
      </c>
      <c r="AF58" s="16">
        <v>123715</v>
      </c>
      <c r="AG58" s="31">
        <v>370880</v>
      </c>
      <c r="AH58" s="16">
        <v>261003</v>
      </c>
      <c r="AI58" s="16">
        <v>116833</v>
      </c>
      <c r="AJ58" s="31">
        <v>377836</v>
      </c>
      <c r="AK58" s="16">
        <v>257087</v>
      </c>
      <c r="AL58" s="16">
        <v>135048</v>
      </c>
      <c r="AM58" s="31">
        <v>392135</v>
      </c>
      <c r="AN58" s="16">
        <v>272454</v>
      </c>
      <c r="AO58" s="16">
        <v>127863</v>
      </c>
      <c r="AP58" s="31">
        <v>400317</v>
      </c>
      <c r="AQ58" s="42"/>
      <c r="AR58" s="43"/>
      <c r="AS58" s="42"/>
      <c r="AT58" s="42"/>
    </row>
    <row r="59" spans="1:46" ht="12.9" customHeight="1" x14ac:dyDescent="0.25">
      <c r="A59" s="28" t="s">
        <v>130</v>
      </c>
      <c r="B59" s="29" t="s">
        <v>131</v>
      </c>
      <c r="C59" s="30" t="s">
        <v>62</v>
      </c>
      <c r="D59" s="40">
        <v>886308</v>
      </c>
      <c r="E59" s="26">
        <v>834171</v>
      </c>
      <c r="F59" s="26">
        <f t="shared" si="0"/>
        <v>1720479</v>
      </c>
      <c r="G59" s="40">
        <v>823385</v>
      </c>
      <c r="H59" s="26">
        <v>848396</v>
      </c>
      <c r="I59" s="27">
        <f t="shared" si="1"/>
        <v>1671781</v>
      </c>
      <c r="J59" s="40">
        <v>817829</v>
      </c>
      <c r="K59" s="26">
        <v>872931</v>
      </c>
      <c r="L59" s="27">
        <v>1690760</v>
      </c>
      <c r="M59" s="26">
        <v>892973</v>
      </c>
      <c r="N59" s="26">
        <v>853270</v>
      </c>
      <c r="O59" s="27">
        <v>1746243</v>
      </c>
      <c r="P59" s="26">
        <v>830026</v>
      </c>
      <c r="Q59" s="26">
        <v>822167</v>
      </c>
      <c r="R59" s="27">
        <v>1652193</v>
      </c>
      <c r="S59" s="26">
        <v>821086</v>
      </c>
      <c r="T59" s="26">
        <v>895563</v>
      </c>
      <c r="U59" s="27">
        <v>1716649</v>
      </c>
      <c r="V59" s="26">
        <v>802244</v>
      </c>
      <c r="W59" s="26">
        <v>849830</v>
      </c>
      <c r="X59" s="31">
        <v>1652074</v>
      </c>
      <c r="Y59" s="16">
        <v>790427</v>
      </c>
      <c r="Z59" s="16">
        <v>800902</v>
      </c>
      <c r="AA59" s="31">
        <v>1591329</v>
      </c>
      <c r="AB59" s="32">
        <v>816292</v>
      </c>
      <c r="AC59" s="16">
        <v>813131</v>
      </c>
      <c r="AD59" s="31">
        <v>1629423</v>
      </c>
      <c r="AE59" s="16">
        <v>825320</v>
      </c>
      <c r="AF59" s="16">
        <v>885201</v>
      </c>
      <c r="AG59" s="31">
        <v>1710521</v>
      </c>
      <c r="AH59" s="16">
        <v>789147</v>
      </c>
      <c r="AI59" s="16">
        <v>752478</v>
      </c>
      <c r="AJ59" s="31">
        <v>1541625</v>
      </c>
      <c r="AK59" s="16">
        <v>797912</v>
      </c>
      <c r="AL59" s="16">
        <v>721091</v>
      </c>
      <c r="AM59" s="31">
        <v>1519003</v>
      </c>
      <c r="AN59" s="16">
        <v>839133</v>
      </c>
      <c r="AO59" s="16">
        <v>713468</v>
      </c>
      <c r="AP59" s="31">
        <v>1552601</v>
      </c>
      <c r="AQ59" s="42"/>
      <c r="AR59" s="43"/>
      <c r="AS59" s="42"/>
      <c r="AT59" s="42"/>
    </row>
    <row r="60" spans="1:46" ht="12.9" customHeight="1" x14ac:dyDescent="0.25">
      <c r="A60" s="28" t="s">
        <v>132</v>
      </c>
      <c r="B60" s="29" t="s">
        <v>133</v>
      </c>
      <c r="C60" s="30" t="s">
        <v>123</v>
      </c>
      <c r="D60" s="40">
        <v>204918</v>
      </c>
      <c r="E60" s="26">
        <v>309438</v>
      </c>
      <c r="F60" s="26">
        <f t="shared" si="0"/>
        <v>514356</v>
      </c>
      <c r="G60" s="40">
        <v>205946</v>
      </c>
      <c r="H60" s="26">
        <v>323100</v>
      </c>
      <c r="I60" s="27">
        <f t="shared" si="1"/>
        <v>529046</v>
      </c>
      <c r="J60" s="40">
        <v>210990</v>
      </c>
      <c r="K60" s="26">
        <v>365345</v>
      </c>
      <c r="L60" s="27">
        <v>576335</v>
      </c>
      <c r="M60" s="26">
        <v>213975</v>
      </c>
      <c r="N60" s="26">
        <v>335751</v>
      </c>
      <c r="O60" s="27">
        <v>549726</v>
      </c>
      <c r="P60" s="26">
        <v>217138</v>
      </c>
      <c r="Q60" s="26">
        <v>304131</v>
      </c>
      <c r="R60" s="27">
        <v>521269</v>
      </c>
      <c r="S60" s="26">
        <v>207110</v>
      </c>
      <c r="T60" s="26">
        <v>370486</v>
      </c>
      <c r="U60" s="27">
        <v>577596</v>
      </c>
      <c r="V60" s="26">
        <v>199192</v>
      </c>
      <c r="W60" s="26">
        <v>340083</v>
      </c>
      <c r="X60" s="31">
        <v>539275</v>
      </c>
      <c r="Y60" s="16">
        <v>201232</v>
      </c>
      <c r="Z60" s="16">
        <v>387492</v>
      </c>
      <c r="AA60" s="31">
        <v>588724</v>
      </c>
      <c r="AB60" s="32">
        <v>200399</v>
      </c>
      <c r="AC60" s="16">
        <v>357341</v>
      </c>
      <c r="AD60" s="31">
        <v>557740</v>
      </c>
      <c r="AE60" s="16">
        <v>196723</v>
      </c>
      <c r="AF60" s="16">
        <v>339925</v>
      </c>
      <c r="AG60" s="31">
        <v>536648</v>
      </c>
      <c r="AH60" s="16">
        <v>193660</v>
      </c>
      <c r="AI60" s="16">
        <v>324416</v>
      </c>
      <c r="AJ60" s="31">
        <v>518076</v>
      </c>
      <c r="AK60" s="16">
        <v>197308</v>
      </c>
      <c r="AL60" s="16">
        <v>351395</v>
      </c>
      <c r="AM60" s="31">
        <v>548703</v>
      </c>
      <c r="AN60" s="16">
        <v>204806</v>
      </c>
      <c r="AO60" s="16">
        <v>325452</v>
      </c>
      <c r="AP60" s="31">
        <v>530258</v>
      </c>
      <c r="AQ60" s="42"/>
      <c r="AR60" s="43"/>
      <c r="AS60" s="42"/>
      <c r="AT60" s="42"/>
    </row>
    <row r="61" spans="1:46" ht="12.9" customHeight="1" x14ac:dyDescent="0.25">
      <c r="A61" s="28" t="s">
        <v>134</v>
      </c>
      <c r="B61" s="29" t="s">
        <v>135</v>
      </c>
      <c r="C61" s="30" t="s">
        <v>17</v>
      </c>
      <c r="D61" s="40">
        <v>52679</v>
      </c>
      <c r="E61" s="26">
        <v>42533</v>
      </c>
      <c r="F61" s="26">
        <f t="shared" si="0"/>
        <v>95212</v>
      </c>
      <c r="G61" s="40">
        <v>52364</v>
      </c>
      <c r="H61" s="26">
        <v>38365</v>
      </c>
      <c r="I61" s="27">
        <f t="shared" si="1"/>
        <v>90729</v>
      </c>
      <c r="J61" s="40">
        <v>56084</v>
      </c>
      <c r="K61" s="26">
        <v>49012</v>
      </c>
      <c r="L61" s="27">
        <v>105096</v>
      </c>
      <c r="M61" s="26">
        <v>59373</v>
      </c>
      <c r="N61" s="26">
        <v>45581</v>
      </c>
      <c r="O61" s="27">
        <v>104954</v>
      </c>
      <c r="P61" s="26">
        <v>54311</v>
      </c>
      <c r="Q61" s="26">
        <v>35411</v>
      </c>
      <c r="R61" s="27">
        <v>89722</v>
      </c>
      <c r="S61" s="26">
        <v>54426</v>
      </c>
      <c r="T61" s="26">
        <v>44944</v>
      </c>
      <c r="U61" s="27">
        <v>99370</v>
      </c>
      <c r="V61" s="26">
        <v>50738</v>
      </c>
      <c r="W61" s="26">
        <v>30306</v>
      </c>
      <c r="X61" s="31">
        <v>81044</v>
      </c>
      <c r="Y61" s="16">
        <v>43921.333333333328</v>
      </c>
      <c r="Z61" s="16">
        <v>11123.980000000001</v>
      </c>
      <c r="AA61" s="31">
        <v>55045.313333333332</v>
      </c>
      <c r="AB61" s="32">
        <v>54536</v>
      </c>
      <c r="AC61" s="16">
        <v>14442</v>
      </c>
      <c r="AD61" s="31">
        <v>68978</v>
      </c>
      <c r="AE61" s="16">
        <v>54843</v>
      </c>
      <c r="AF61" s="16">
        <v>7329</v>
      </c>
      <c r="AG61" s="31">
        <v>62172</v>
      </c>
      <c r="AH61" s="16">
        <v>54843</v>
      </c>
      <c r="AI61" s="16">
        <v>17278</v>
      </c>
      <c r="AJ61" s="31">
        <v>72121</v>
      </c>
      <c r="AK61" s="16">
        <v>54843</v>
      </c>
      <c r="AL61" s="16">
        <v>17291</v>
      </c>
      <c r="AM61" s="31">
        <v>72134</v>
      </c>
      <c r="AN61" s="16">
        <v>66667.95618333813</v>
      </c>
      <c r="AO61" s="16">
        <v>21196.624203821655</v>
      </c>
      <c r="AP61" s="31">
        <v>87864.580387159789</v>
      </c>
      <c r="AQ61" s="42"/>
      <c r="AR61" s="43"/>
      <c r="AS61" s="42"/>
      <c r="AT61" s="42"/>
    </row>
    <row r="62" spans="1:46" ht="12.9" customHeight="1" x14ac:dyDescent="0.25">
      <c r="A62" s="28" t="s">
        <v>136</v>
      </c>
      <c r="B62" s="29" t="s">
        <v>137</v>
      </c>
      <c r="C62" s="30" t="s">
        <v>42</v>
      </c>
      <c r="D62" s="40">
        <v>66673</v>
      </c>
      <c r="E62" s="26">
        <v>105170</v>
      </c>
      <c r="F62" s="26">
        <f t="shared" si="0"/>
        <v>171843</v>
      </c>
      <c r="G62" s="40">
        <v>67830</v>
      </c>
      <c r="H62" s="26">
        <v>108638</v>
      </c>
      <c r="I62" s="27">
        <f t="shared" si="1"/>
        <v>176468</v>
      </c>
      <c r="J62" s="40">
        <v>74795</v>
      </c>
      <c r="K62" s="26">
        <v>178201</v>
      </c>
      <c r="L62" s="27">
        <v>252996</v>
      </c>
      <c r="M62" s="26">
        <v>76414</v>
      </c>
      <c r="N62" s="26">
        <v>208021</v>
      </c>
      <c r="O62" s="27">
        <v>284435</v>
      </c>
      <c r="P62" s="26">
        <v>75630</v>
      </c>
      <c r="Q62" s="26">
        <v>120043</v>
      </c>
      <c r="R62" s="27">
        <v>195673</v>
      </c>
      <c r="S62" s="26">
        <v>72193</v>
      </c>
      <c r="T62" s="26">
        <v>117385</v>
      </c>
      <c r="U62" s="27">
        <v>189578</v>
      </c>
      <c r="V62" s="26">
        <v>66194</v>
      </c>
      <c r="W62" s="26">
        <v>160198</v>
      </c>
      <c r="X62" s="31">
        <v>226392</v>
      </c>
      <c r="Y62" s="16">
        <v>75301</v>
      </c>
      <c r="Z62" s="16">
        <v>147510</v>
      </c>
      <c r="AA62" s="31">
        <v>222811</v>
      </c>
      <c r="AB62" s="32">
        <v>73267</v>
      </c>
      <c r="AC62" s="16">
        <v>129142</v>
      </c>
      <c r="AD62" s="31">
        <v>202409</v>
      </c>
      <c r="AE62" s="16">
        <v>77049</v>
      </c>
      <c r="AF62" s="16">
        <v>162678</v>
      </c>
      <c r="AG62" s="31">
        <v>239727</v>
      </c>
      <c r="AH62" s="16">
        <v>84023</v>
      </c>
      <c r="AI62" s="16">
        <v>80067</v>
      </c>
      <c r="AJ62" s="31">
        <v>164090</v>
      </c>
      <c r="AK62" s="16">
        <v>75215</v>
      </c>
      <c r="AL62" s="16">
        <v>70553</v>
      </c>
      <c r="AM62" s="31">
        <v>145768</v>
      </c>
      <c r="AN62" s="16">
        <v>66806</v>
      </c>
      <c r="AO62" s="16">
        <v>72728</v>
      </c>
      <c r="AP62" s="31">
        <v>139534</v>
      </c>
      <c r="AQ62" s="42"/>
      <c r="AR62" s="43"/>
      <c r="AS62" s="42"/>
      <c r="AT62" s="42"/>
    </row>
    <row r="63" spans="1:46" ht="12.9" customHeight="1" x14ac:dyDescent="0.25">
      <c r="A63" s="28" t="s">
        <v>138</v>
      </c>
      <c r="B63" s="29" t="s">
        <v>139</v>
      </c>
      <c r="C63" s="30" t="s">
        <v>53</v>
      </c>
      <c r="D63" s="40">
        <v>189722</v>
      </c>
      <c r="E63" s="26">
        <v>226811</v>
      </c>
      <c r="F63" s="26">
        <f t="shared" si="0"/>
        <v>416533</v>
      </c>
      <c r="G63" s="40">
        <v>195138</v>
      </c>
      <c r="H63" s="26">
        <v>220076</v>
      </c>
      <c r="I63" s="27">
        <f t="shared" si="1"/>
        <v>415214</v>
      </c>
      <c r="J63" s="40">
        <v>194555</v>
      </c>
      <c r="K63" s="26">
        <v>207071</v>
      </c>
      <c r="L63" s="27">
        <v>401626</v>
      </c>
      <c r="M63" s="26">
        <v>198513</v>
      </c>
      <c r="N63" s="26">
        <v>195802</v>
      </c>
      <c r="O63" s="27">
        <v>394315</v>
      </c>
      <c r="P63" s="26">
        <v>195197</v>
      </c>
      <c r="Q63" s="26">
        <v>250283</v>
      </c>
      <c r="R63" s="27">
        <v>445480</v>
      </c>
      <c r="S63" s="26">
        <v>187269</v>
      </c>
      <c r="T63" s="26">
        <v>289037</v>
      </c>
      <c r="U63" s="27">
        <v>476306</v>
      </c>
      <c r="V63" s="26">
        <v>182076</v>
      </c>
      <c r="W63" s="26">
        <v>279979</v>
      </c>
      <c r="X63" s="31">
        <v>462055</v>
      </c>
      <c r="Y63" s="16">
        <v>179225</v>
      </c>
      <c r="Z63" s="16">
        <v>295957</v>
      </c>
      <c r="AA63" s="31">
        <v>475182</v>
      </c>
      <c r="AB63" s="32">
        <v>178146</v>
      </c>
      <c r="AC63" s="16">
        <v>288060</v>
      </c>
      <c r="AD63" s="31">
        <v>466206</v>
      </c>
      <c r="AE63" s="16">
        <v>175823</v>
      </c>
      <c r="AF63" s="16">
        <v>292732</v>
      </c>
      <c r="AG63" s="31">
        <v>468555</v>
      </c>
      <c r="AH63" s="16">
        <v>177662</v>
      </c>
      <c r="AI63" s="16">
        <v>277684</v>
      </c>
      <c r="AJ63" s="31">
        <v>455346</v>
      </c>
      <c r="AK63" s="16">
        <v>177801</v>
      </c>
      <c r="AL63" s="16">
        <v>272352</v>
      </c>
      <c r="AM63" s="31">
        <v>450153</v>
      </c>
      <c r="AN63" s="16">
        <v>197904</v>
      </c>
      <c r="AO63" s="16">
        <v>278853</v>
      </c>
      <c r="AP63" s="31">
        <v>476757</v>
      </c>
      <c r="AQ63" s="42"/>
      <c r="AR63" s="43"/>
      <c r="AS63" s="42"/>
      <c r="AT63" s="42"/>
    </row>
    <row r="64" spans="1:46" ht="12.9" customHeight="1" x14ac:dyDescent="0.25">
      <c r="A64" s="28" t="s">
        <v>140</v>
      </c>
      <c r="B64" s="29" t="s">
        <v>141</v>
      </c>
      <c r="C64" s="30" t="s">
        <v>56</v>
      </c>
      <c r="D64" s="40">
        <v>3711</v>
      </c>
      <c r="E64" s="26">
        <v>840</v>
      </c>
      <c r="F64" s="26">
        <f t="shared" si="0"/>
        <v>4551</v>
      </c>
      <c r="G64" s="40">
        <v>3871</v>
      </c>
      <c r="H64" s="26">
        <v>674</v>
      </c>
      <c r="I64" s="27">
        <f t="shared" si="1"/>
        <v>4545</v>
      </c>
      <c r="J64" s="40">
        <v>4182</v>
      </c>
      <c r="K64" s="26">
        <v>649</v>
      </c>
      <c r="L64" s="27">
        <v>4831</v>
      </c>
      <c r="M64" s="26">
        <v>4147</v>
      </c>
      <c r="N64" s="26">
        <v>654</v>
      </c>
      <c r="O64" s="27">
        <v>4801</v>
      </c>
      <c r="P64" s="26">
        <v>4242.5</v>
      </c>
      <c r="Q64" s="26">
        <v>430</v>
      </c>
      <c r="R64" s="27">
        <v>4672.5</v>
      </c>
      <c r="S64" s="26">
        <v>3756</v>
      </c>
      <c r="T64" s="26">
        <v>646</v>
      </c>
      <c r="U64" s="27">
        <v>4402</v>
      </c>
      <c r="V64" s="26">
        <v>3179</v>
      </c>
      <c r="W64" s="26">
        <v>611</v>
      </c>
      <c r="X64" s="31">
        <v>3790</v>
      </c>
      <c r="Y64" s="16">
        <v>3310</v>
      </c>
      <c r="Z64" s="16">
        <v>797</v>
      </c>
      <c r="AA64" s="31">
        <v>4107</v>
      </c>
      <c r="AB64" s="32">
        <v>3347</v>
      </c>
      <c r="AC64" s="16">
        <v>743</v>
      </c>
      <c r="AD64" s="31">
        <v>4090</v>
      </c>
      <c r="AE64" s="16">
        <v>3211</v>
      </c>
      <c r="AF64" s="16">
        <v>841</v>
      </c>
      <c r="AG64" s="31">
        <v>4052</v>
      </c>
      <c r="AH64" s="16">
        <v>3431</v>
      </c>
      <c r="AI64" s="16">
        <v>1118</v>
      </c>
      <c r="AJ64" s="31">
        <v>4549</v>
      </c>
      <c r="AK64" s="16">
        <v>2609</v>
      </c>
      <c r="AL64" s="16">
        <v>753</v>
      </c>
      <c r="AM64" s="31">
        <v>3362</v>
      </c>
      <c r="AN64" s="16">
        <v>2609</v>
      </c>
      <c r="AO64" s="16">
        <v>753</v>
      </c>
      <c r="AP64" s="31">
        <v>3362</v>
      </c>
      <c r="AQ64" s="42"/>
      <c r="AR64" s="43"/>
      <c r="AS64" s="42"/>
      <c r="AT64" s="42"/>
    </row>
    <row r="65" spans="1:46" ht="12.9" customHeight="1" x14ac:dyDescent="0.25">
      <c r="A65" s="28" t="s">
        <v>142</v>
      </c>
      <c r="B65" s="29" t="s">
        <v>143</v>
      </c>
      <c r="C65" s="30" t="s">
        <v>123</v>
      </c>
      <c r="D65" s="40">
        <v>246979</v>
      </c>
      <c r="E65" s="26">
        <v>905408</v>
      </c>
      <c r="F65" s="26">
        <f t="shared" si="0"/>
        <v>1152387</v>
      </c>
      <c r="G65" s="40">
        <v>247599</v>
      </c>
      <c r="H65" s="26">
        <v>914119</v>
      </c>
      <c r="I65" s="27">
        <f t="shared" si="1"/>
        <v>1161718</v>
      </c>
      <c r="J65" s="40">
        <v>264043</v>
      </c>
      <c r="K65" s="26">
        <v>930393</v>
      </c>
      <c r="L65" s="27">
        <v>1194436</v>
      </c>
      <c r="M65" s="26">
        <v>267035</v>
      </c>
      <c r="N65" s="26">
        <v>787901</v>
      </c>
      <c r="O65" s="27">
        <v>1054936</v>
      </c>
      <c r="P65" s="26">
        <v>276257</v>
      </c>
      <c r="Q65" s="26">
        <v>755624</v>
      </c>
      <c r="R65" s="27">
        <v>1031881</v>
      </c>
      <c r="S65" s="26">
        <v>263356</v>
      </c>
      <c r="T65" s="26">
        <v>873812</v>
      </c>
      <c r="U65" s="27">
        <v>1137168</v>
      </c>
      <c r="V65" s="26">
        <v>243751</v>
      </c>
      <c r="W65" s="26">
        <v>809292</v>
      </c>
      <c r="X65" s="31">
        <v>1053043</v>
      </c>
      <c r="Y65" s="16">
        <v>236620</v>
      </c>
      <c r="Z65" s="16">
        <v>766570</v>
      </c>
      <c r="AA65" s="31">
        <v>1003190</v>
      </c>
      <c r="AB65" s="32">
        <v>237002</v>
      </c>
      <c r="AC65" s="16">
        <v>707397</v>
      </c>
      <c r="AD65" s="31">
        <v>944399</v>
      </c>
      <c r="AE65" s="16">
        <v>237368</v>
      </c>
      <c r="AF65" s="16">
        <v>745052</v>
      </c>
      <c r="AG65" s="31">
        <v>982420</v>
      </c>
      <c r="AH65" s="16">
        <v>227357</v>
      </c>
      <c r="AI65" s="16">
        <v>697205</v>
      </c>
      <c r="AJ65" s="31">
        <v>924562</v>
      </c>
      <c r="AK65" s="16">
        <v>225373</v>
      </c>
      <c r="AL65" s="16">
        <v>682280</v>
      </c>
      <c r="AM65" s="31">
        <v>907653</v>
      </c>
      <c r="AN65" s="16">
        <v>254002</v>
      </c>
      <c r="AO65" s="16">
        <v>712434</v>
      </c>
      <c r="AP65" s="31">
        <v>966436</v>
      </c>
      <c r="AQ65" s="42"/>
      <c r="AR65" s="43"/>
      <c r="AS65" s="42"/>
      <c r="AT65" s="42"/>
    </row>
    <row r="66" spans="1:46" ht="12.9" customHeight="1" x14ac:dyDescent="0.25">
      <c r="A66" s="28" t="s">
        <v>144</v>
      </c>
      <c r="B66" s="29" t="s">
        <v>145</v>
      </c>
      <c r="C66" s="30" t="s">
        <v>80</v>
      </c>
      <c r="D66" s="40">
        <v>685968</v>
      </c>
      <c r="E66" s="26">
        <v>254543</v>
      </c>
      <c r="F66" s="26">
        <f t="shared" si="0"/>
        <v>940511</v>
      </c>
      <c r="G66" s="40">
        <v>677628</v>
      </c>
      <c r="H66" s="26">
        <v>255379</v>
      </c>
      <c r="I66" s="27">
        <f t="shared" si="1"/>
        <v>933007</v>
      </c>
      <c r="J66" s="40">
        <v>713585</v>
      </c>
      <c r="K66" s="26">
        <v>293322</v>
      </c>
      <c r="L66" s="27">
        <v>1006907</v>
      </c>
      <c r="M66" s="26">
        <v>733856</v>
      </c>
      <c r="N66" s="26">
        <v>278362</v>
      </c>
      <c r="O66" s="27">
        <v>1012218</v>
      </c>
      <c r="P66" s="26">
        <v>810341</v>
      </c>
      <c r="Q66" s="26">
        <v>263491</v>
      </c>
      <c r="R66" s="27">
        <v>1073832</v>
      </c>
      <c r="S66" s="26">
        <v>708986</v>
      </c>
      <c r="T66" s="26">
        <v>294800</v>
      </c>
      <c r="U66" s="27">
        <v>1003786</v>
      </c>
      <c r="V66" s="26">
        <v>711644</v>
      </c>
      <c r="W66" s="26">
        <v>318520</v>
      </c>
      <c r="X66" s="31">
        <v>1030164</v>
      </c>
      <c r="Y66" s="16">
        <v>706577</v>
      </c>
      <c r="Z66" s="16">
        <v>311212</v>
      </c>
      <c r="AA66" s="31">
        <v>1017789</v>
      </c>
      <c r="AB66" s="32">
        <v>737531</v>
      </c>
      <c r="AC66" s="16">
        <v>330826</v>
      </c>
      <c r="AD66" s="31">
        <v>1068357</v>
      </c>
      <c r="AE66" s="16">
        <v>704838</v>
      </c>
      <c r="AF66" s="16">
        <v>259794</v>
      </c>
      <c r="AG66" s="31">
        <v>964632</v>
      </c>
      <c r="AH66" s="16">
        <v>685163</v>
      </c>
      <c r="AI66" s="16">
        <v>242377</v>
      </c>
      <c r="AJ66" s="31">
        <v>927540</v>
      </c>
      <c r="AK66" s="16">
        <v>673833.10932475887</v>
      </c>
      <c r="AL66" s="16">
        <v>221192</v>
      </c>
      <c r="AM66" s="31">
        <v>895025.10932475887</v>
      </c>
      <c r="AN66" s="16">
        <v>712881.10932475887</v>
      </c>
      <c r="AO66" s="16">
        <v>223011</v>
      </c>
      <c r="AP66" s="31">
        <v>935892.10932475887</v>
      </c>
      <c r="AQ66" s="42"/>
      <c r="AR66" s="43"/>
      <c r="AS66" s="42"/>
      <c r="AT66" s="42"/>
    </row>
    <row r="67" spans="1:46" ht="12.9" customHeight="1" x14ac:dyDescent="0.25">
      <c r="A67" s="28" t="s">
        <v>146</v>
      </c>
      <c r="B67" s="29" t="s">
        <v>147</v>
      </c>
      <c r="C67" s="30" t="s">
        <v>80</v>
      </c>
      <c r="D67" s="40">
        <v>364580.66666666669</v>
      </c>
      <c r="E67" s="26">
        <v>103516.66666666667</v>
      </c>
      <c r="F67" s="26">
        <f t="shared" si="0"/>
        <v>468097.33333333337</v>
      </c>
      <c r="G67" s="40">
        <f>460371*0.8</f>
        <v>368296.80000000005</v>
      </c>
      <c r="H67" s="26">
        <v>142383</v>
      </c>
      <c r="I67" s="27">
        <f t="shared" si="1"/>
        <v>510679.80000000005</v>
      </c>
      <c r="J67" s="40">
        <v>399507</v>
      </c>
      <c r="K67" s="26">
        <v>147007</v>
      </c>
      <c r="L67" s="27">
        <v>546514</v>
      </c>
      <c r="M67" s="26">
        <v>403558</v>
      </c>
      <c r="N67" s="26">
        <v>148989</v>
      </c>
      <c r="O67" s="27">
        <v>552547</v>
      </c>
      <c r="P67" s="26">
        <v>402396</v>
      </c>
      <c r="Q67" s="26">
        <v>120132</v>
      </c>
      <c r="R67" s="27">
        <v>522528</v>
      </c>
      <c r="S67" s="26">
        <v>384883</v>
      </c>
      <c r="T67" s="26">
        <v>131649</v>
      </c>
      <c r="U67" s="27">
        <v>516532</v>
      </c>
      <c r="V67" s="26">
        <v>367781</v>
      </c>
      <c r="W67" s="26">
        <v>114121</v>
      </c>
      <c r="X67" s="31">
        <v>481902</v>
      </c>
      <c r="Y67" s="16">
        <v>383882</v>
      </c>
      <c r="Z67" s="16">
        <v>109994</v>
      </c>
      <c r="AA67" s="31">
        <v>493876</v>
      </c>
      <c r="AB67" s="32">
        <v>380107</v>
      </c>
      <c r="AC67" s="16">
        <v>112779</v>
      </c>
      <c r="AD67" s="31">
        <v>492886</v>
      </c>
      <c r="AE67" s="16">
        <v>372220</v>
      </c>
      <c r="AF67" s="16">
        <v>106509</v>
      </c>
      <c r="AG67" s="31">
        <v>478729</v>
      </c>
      <c r="AH67" s="16">
        <v>354899</v>
      </c>
      <c r="AI67" s="16">
        <v>93378</v>
      </c>
      <c r="AJ67" s="31">
        <v>448277</v>
      </c>
      <c r="AK67" s="16">
        <v>421749</v>
      </c>
      <c r="AL67" s="16">
        <v>69033</v>
      </c>
      <c r="AM67" s="31">
        <v>490782</v>
      </c>
      <c r="AN67" s="16">
        <v>427760</v>
      </c>
      <c r="AO67" s="16">
        <v>71065</v>
      </c>
      <c r="AP67" s="31">
        <v>498825</v>
      </c>
      <c r="AQ67" s="42"/>
      <c r="AR67" s="43"/>
      <c r="AS67" s="42"/>
      <c r="AT67" s="42"/>
    </row>
    <row r="68" spans="1:46" ht="12.9" customHeight="1" x14ac:dyDescent="0.25">
      <c r="A68" s="28" t="s">
        <v>148</v>
      </c>
      <c r="B68" s="29" t="s">
        <v>149</v>
      </c>
      <c r="C68" s="30" t="s">
        <v>150</v>
      </c>
      <c r="D68" s="40">
        <v>16212</v>
      </c>
      <c r="E68" s="26">
        <v>89690</v>
      </c>
      <c r="F68" s="26">
        <f t="shared" si="0"/>
        <v>105902</v>
      </c>
      <c r="G68" s="40">
        <v>16846</v>
      </c>
      <c r="H68" s="26">
        <v>101689</v>
      </c>
      <c r="I68" s="27">
        <f t="shared" si="1"/>
        <v>118535</v>
      </c>
      <c r="J68" s="40">
        <v>19926</v>
      </c>
      <c r="K68" s="26">
        <v>104409</v>
      </c>
      <c r="L68" s="27">
        <v>124335</v>
      </c>
      <c r="M68" s="26">
        <v>18088</v>
      </c>
      <c r="N68" s="26">
        <v>109763</v>
      </c>
      <c r="O68" s="27">
        <v>127851</v>
      </c>
      <c r="P68" s="26">
        <v>18017</v>
      </c>
      <c r="Q68" s="26">
        <v>112237</v>
      </c>
      <c r="R68" s="27">
        <v>130254</v>
      </c>
      <c r="S68" s="26">
        <v>18410</v>
      </c>
      <c r="T68" s="26">
        <v>107322</v>
      </c>
      <c r="U68" s="27">
        <v>125732</v>
      </c>
      <c r="V68" s="26">
        <v>15959</v>
      </c>
      <c r="W68" s="26">
        <v>104951</v>
      </c>
      <c r="X68" s="31">
        <v>120910</v>
      </c>
      <c r="Y68" s="16">
        <v>20191</v>
      </c>
      <c r="Z68" s="16">
        <v>106875</v>
      </c>
      <c r="AA68" s="31">
        <v>127066</v>
      </c>
      <c r="AB68" s="32">
        <v>17355</v>
      </c>
      <c r="AC68" s="16">
        <v>102308</v>
      </c>
      <c r="AD68" s="31">
        <v>119663</v>
      </c>
      <c r="AE68" s="16">
        <v>19220</v>
      </c>
      <c r="AF68" s="16">
        <v>90586</v>
      </c>
      <c r="AG68" s="31">
        <v>109806</v>
      </c>
      <c r="AH68" s="16">
        <v>17806</v>
      </c>
      <c r="AI68" s="16">
        <v>78739</v>
      </c>
      <c r="AJ68" s="31">
        <v>96545</v>
      </c>
      <c r="AK68" s="16">
        <v>17319</v>
      </c>
      <c r="AL68" s="16">
        <v>90159</v>
      </c>
      <c r="AM68" s="31">
        <v>107478</v>
      </c>
      <c r="AN68" s="16">
        <v>20453</v>
      </c>
      <c r="AO68" s="16">
        <v>100772</v>
      </c>
      <c r="AP68" s="31">
        <v>121225</v>
      </c>
      <c r="AQ68" s="42"/>
      <c r="AR68" s="43"/>
      <c r="AS68" s="42"/>
      <c r="AT68" s="42"/>
    </row>
    <row r="69" spans="1:46" ht="12.9" customHeight="1" x14ac:dyDescent="0.25">
      <c r="A69" s="28" t="s">
        <v>151</v>
      </c>
      <c r="B69" s="29" t="s">
        <v>152</v>
      </c>
      <c r="C69" s="30" t="s">
        <v>153</v>
      </c>
      <c r="D69" s="40">
        <v>5751</v>
      </c>
      <c r="E69" s="26">
        <v>47</v>
      </c>
      <c r="F69" s="26">
        <f t="shared" si="0"/>
        <v>5798</v>
      </c>
      <c r="G69" s="40">
        <v>6033</v>
      </c>
      <c r="H69" s="26">
        <v>134</v>
      </c>
      <c r="I69" s="27">
        <f t="shared" si="1"/>
        <v>6167</v>
      </c>
      <c r="J69" s="40">
        <v>6523</v>
      </c>
      <c r="K69" s="26">
        <v>209</v>
      </c>
      <c r="L69" s="27">
        <v>6732</v>
      </c>
      <c r="M69" s="26">
        <v>6674</v>
      </c>
      <c r="N69" s="26">
        <v>118</v>
      </c>
      <c r="O69" s="27">
        <v>6792</v>
      </c>
      <c r="P69" s="26">
        <v>6678</v>
      </c>
      <c r="Q69" s="26">
        <v>100</v>
      </c>
      <c r="R69" s="27">
        <v>6778</v>
      </c>
      <c r="S69" s="26">
        <v>6229</v>
      </c>
      <c r="T69" s="26">
        <v>224</v>
      </c>
      <c r="U69" s="27">
        <v>6453</v>
      </c>
      <c r="V69" s="26">
        <v>5859</v>
      </c>
      <c r="W69" s="26">
        <v>108</v>
      </c>
      <c r="X69" s="31">
        <v>5967</v>
      </c>
      <c r="Y69" s="16">
        <v>6865</v>
      </c>
      <c r="Z69" s="16">
        <v>83</v>
      </c>
      <c r="AA69" s="31">
        <v>6948</v>
      </c>
      <c r="AB69" s="32">
        <v>5904</v>
      </c>
      <c r="AC69" s="16">
        <v>79</v>
      </c>
      <c r="AD69" s="31">
        <v>5983</v>
      </c>
      <c r="AE69" s="16">
        <v>5804</v>
      </c>
      <c r="AF69" s="16">
        <v>29</v>
      </c>
      <c r="AG69" s="31">
        <v>5833</v>
      </c>
      <c r="AH69" s="16">
        <v>5330</v>
      </c>
      <c r="AI69" s="16">
        <v>26</v>
      </c>
      <c r="AJ69" s="31">
        <v>5356</v>
      </c>
      <c r="AK69" s="16">
        <v>8110</v>
      </c>
      <c r="AL69" s="16">
        <v>47</v>
      </c>
      <c r="AM69" s="31">
        <v>8157</v>
      </c>
      <c r="AN69" s="16">
        <v>5789</v>
      </c>
      <c r="AO69" s="16">
        <v>326.39999999999998</v>
      </c>
      <c r="AP69" s="31">
        <v>6115.4</v>
      </c>
      <c r="AQ69" s="42"/>
      <c r="AR69" s="43"/>
      <c r="AS69" s="42"/>
      <c r="AT69" s="42"/>
    </row>
    <row r="70" spans="1:46" ht="12.9" customHeight="1" x14ac:dyDescent="0.25">
      <c r="A70" s="28" t="s">
        <v>154</v>
      </c>
      <c r="B70" s="29" t="s">
        <v>155</v>
      </c>
      <c r="C70" s="30" t="s">
        <v>56</v>
      </c>
      <c r="D70" s="40">
        <v>6251</v>
      </c>
      <c r="E70" s="26">
        <v>857</v>
      </c>
      <c r="F70" s="26">
        <f t="shared" si="0"/>
        <v>7108</v>
      </c>
      <c r="G70" s="40">
        <v>6883</v>
      </c>
      <c r="H70" s="26">
        <v>892</v>
      </c>
      <c r="I70" s="27">
        <f t="shared" si="1"/>
        <v>7775</v>
      </c>
      <c r="J70" s="40">
        <v>8261</v>
      </c>
      <c r="K70" s="26">
        <v>93</v>
      </c>
      <c r="L70" s="27">
        <v>8354</v>
      </c>
      <c r="M70" s="26">
        <v>6989</v>
      </c>
      <c r="N70" s="26">
        <v>0</v>
      </c>
      <c r="O70" s="27">
        <v>6989</v>
      </c>
      <c r="P70" s="26">
        <v>7153</v>
      </c>
      <c r="Q70" s="26">
        <v>0</v>
      </c>
      <c r="R70" s="27">
        <v>7153</v>
      </c>
      <c r="S70" s="26">
        <v>8222</v>
      </c>
      <c r="T70" s="26">
        <v>0</v>
      </c>
      <c r="U70" s="27">
        <v>8222</v>
      </c>
      <c r="V70" s="26">
        <v>7527</v>
      </c>
      <c r="W70" s="26">
        <v>0</v>
      </c>
      <c r="X70" s="31">
        <v>7527</v>
      </c>
      <c r="Y70" s="16">
        <v>10098</v>
      </c>
      <c r="Z70" s="16">
        <v>0</v>
      </c>
      <c r="AA70" s="31">
        <v>10098</v>
      </c>
      <c r="AB70" s="32">
        <v>8549</v>
      </c>
      <c r="AC70" s="16">
        <v>0</v>
      </c>
      <c r="AD70" s="31">
        <v>8549</v>
      </c>
      <c r="AE70" s="16">
        <v>8430</v>
      </c>
      <c r="AF70" s="16">
        <v>0</v>
      </c>
      <c r="AG70" s="31">
        <v>8430</v>
      </c>
      <c r="AH70" s="16">
        <v>11733</v>
      </c>
      <c r="AI70" s="16">
        <v>0</v>
      </c>
      <c r="AJ70" s="31">
        <v>11733</v>
      </c>
      <c r="AK70" s="16">
        <v>13196</v>
      </c>
      <c r="AL70" s="16">
        <v>0</v>
      </c>
      <c r="AM70" s="31">
        <v>13196</v>
      </c>
      <c r="AN70" s="16">
        <v>13196</v>
      </c>
      <c r="AO70" s="16">
        <v>0</v>
      </c>
      <c r="AP70" s="31">
        <v>13196</v>
      </c>
      <c r="AQ70" s="42"/>
      <c r="AR70" s="43"/>
      <c r="AS70" s="42"/>
      <c r="AT70" s="42"/>
    </row>
    <row r="71" spans="1:46" ht="12.9" customHeight="1" x14ac:dyDescent="0.25">
      <c r="A71" s="28" t="s">
        <v>156</v>
      </c>
      <c r="B71" s="29" t="s">
        <v>157</v>
      </c>
      <c r="C71" s="30" t="s">
        <v>80</v>
      </c>
      <c r="D71" s="40">
        <v>491281</v>
      </c>
      <c r="E71" s="26">
        <v>244576</v>
      </c>
      <c r="F71" s="26">
        <f t="shared" si="0"/>
        <v>735857</v>
      </c>
      <c r="G71" s="40">
        <v>547503</v>
      </c>
      <c r="H71" s="26">
        <v>244827</v>
      </c>
      <c r="I71" s="27">
        <f t="shared" si="1"/>
        <v>792330</v>
      </c>
      <c r="J71" s="40">
        <v>586563</v>
      </c>
      <c r="K71" s="26">
        <v>250395</v>
      </c>
      <c r="L71" s="27">
        <v>836958</v>
      </c>
      <c r="M71" s="26">
        <v>589907</v>
      </c>
      <c r="N71" s="26">
        <v>224084</v>
      </c>
      <c r="O71" s="27">
        <v>813991</v>
      </c>
      <c r="P71" s="26">
        <v>598317</v>
      </c>
      <c r="Q71" s="26">
        <v>210756</v>
      </c>
      <c r="R71" s="27">
        <v>809073</v>
      </c>
      <c r="S71" s="26">
        <v>550807</v>
      </c>
      <c r="T71" s="26">
        <v>275750</v>
      </c>
      <c r="U71" s="27">
        <v>826557</v>
      </c>
      <c r="V71" s="26">
        <v>531223</v>
      </c>
      <c r="W71" s="26">
        <v>238052</v>
      </c>
      <c r="X71" s="31">
        <v>769275</v>
      </c>
      <c r="Y71" s="16">
        <v>536593</v>
      </c>
      <c r="Z71" s="16">
        <v>254768</v>
      </c>
      <c r="AA71" s="31">
        <v>791361</v>
      </c>
      <c r="AB71" s="32">
        <v>529921</v>
      </c>
      <c r="AC71" s="16">
        <v>250990</v>
      </c>
      <c r="AD71" s="31">
        <v>780911</v>
      </c>
      <c r="AE71" s="16">
        <v>528046</v>
      </c>
      <c r="AF71" s="16">
        <v>254146</v>
      </c>
      <c r="AG71" s="31">
        <v>782192</v>
      </c>
      <c r="AH71" s="16">
        <v>518661</v>
      </c>
      <c r="AI71" s="16">
        <v>266579</v>
      </c>
      <c r="AJ71" s="31">
        <v>785240</v>
      </c>
      <c r="AK71" s="16">
        <v>518919</v>
      </c>
      <c r="AL71" s="16">
        <v>268667</v>
      </c>
      <c r="AM71" s="31">
        <v>787586</v>
      </c>
      <c r="AN71" s="16">
        <v>561959</v>
      </c>
      <c r="AO71" s="16">
        <v>335156</v>
      </c>
      <c r="AP71" s="31">
        <v>897115</v>
      </c>
      <c r="AQ71" s="42"/>
      <c r="AR71" s="43"/>
      <c r="AS71" s="42"/>
      <c r="AT71" s="42"/>
    </row>
    <row r="72" spans="1:46" ht="12.9" customHeight="1" x14ac:dyDescent="0.25">
      <c r="A72" s="28" t="s">
        <v>158</v>
      </c>
      <c r="B72" s="29" t="s">
        <v>159</v>
      </c>
      <c r="C72" s="30" t="s">
        <v>23</v>
      </c>
      <c r="D72" s="40">
        <v>30629</v>
      </c>
      <c r="E72" s="26">
        <v>30119</v>
      </c>
      <c r="F72" s="26">
        <f t="shared" si="0"/>
        <v>60748</v>
      </c>
      <c r="G72" s="40">
        <v>27707</v>
      </c>
      <c r="H72" s="26">
        <v>31757</v>
      </c>
      <c r="I72" s="27">
        <f t="shared" si="1"/>
        <v>59464</v>
      </c>
      <c r="J72" s="40">
        <v>27103</v>
      </c>
      <c r="K72" s="26">
        <v>34883</v>
      </c>
      <c r="L72" s="27">
        <v>61986</v>
      </c>
      <c r="M72" s="26">
        <v>21349</v>
      </c>
      <c r="N72" s="26">
        <v>35656</v>
      </c>
      <c r="O72" s="27">
        <v>57005</v>
      </c>
      <c r="P72" s="26">
        <v>16105</v>
      </c>
      <c r="Q72" s="26">
        <v>33521</v>
      </c>
      <c r="R72" s="27">
        <v>49626</v>
      </c>
      <c r="S72" s="26">
        <v>18386</v>
      </c>
      <c r="T72" s="26">
        <v>26456</v>
      </c>
      <c r="U72" s="27">
        <v>44842</v>
      </c>
      <c r="V72" s="26">
        <v>14651</v>
      </c>
      <c r="W72" s="26">
        <v>44084</v>
      </c>
      <c r="X72" s="31">
        <v>58735</v>
      </c>
      <c r="Y72" s="16">
        <v>12812</v>
      </c>
      <c r="Z72" s="16">
        <v>24761</v>
      </c>
      <c r="AA72" s="31">
        <v>37573</v>
      </c>
      <c r="AB72" s="32">
        <v>12570</v>
      </c>
      <c r="AC72" s="16">
        <v>2967</v>
      </c>
      <c r="AD72" s="31">
        <v>15537</v>
      </c>
      <c r="AE72" s="16">
        <v>13151</v>
      </c>
      <c r="AF72" s="16">
        <v>3318</v>
      </c>
      <c r="AG72" s="31">
        <v>16469</v>
      </c>
      <c r="AH72" s="16">
        <v>11791</v>
      </c>
      <c r="AI72" s="16">
        <v>16755</v>
      </c>
      <c r="AJ72" s="31">
        <v>28546</v>
      </c>
      <c r="AK72" s="16">
        <v>10575</v>
      </c>
      <c r="AL72" s="16">
        <v>39833</v>
      </c>
      <c r="AM72" s="31">
        <v>50408</v>
      </c>
      <c r="AN72" s="32" t="s">
        <v>160</v>
      </c>
      <c r="AO72" s="16">
        <v>24079</v>
      </c>
      <c r="AP72" s="31">
        <v>24079</v>
      </c>
      <c r="AQ72" s="42"/>
      <c r="AR72" s="43"/>
      <c r="AS72" s="42"/>
      <c r="AT72" s="42"/>
    </row>
    <row r="73" spans="1:46" ht="12.9" customHeight="1" x14ac:dyDescent="0.25">
      <c r="A73" s="28" t="s">
        <v>161</v>
      </c>
      <c r="B73" s="29" t="s">
        <v>162</v>
      </c>
      <c r="C73" s="30" t="s">
        <v>163</v>
      </c>
      <c r="D73" s="40">
        <v>20671</v>
      </c>
      <c r="E73" s="26">
        <v>30979</v>
      </c>
      <c r="F73" s="26">
        <f t="shared" ref="F73:F136" si="2">+D73+E73</f>
        <v>51650</v>
      </c>
      <c r="G73" s="40">
        <v>21440</v>
      </c>
      <c r="H73" s="26">
        <v>28356</v>
      </c>
      <c r="I73" s="27">
        <f t="shared" si="1"/>
        <v>49796</v>
      </c>
      <c r="J73" s="40">
        <v>25443</v>
      </c>
      <c r="K73" s="26">
        <v>33607</v>
      </c>
      <c r="L73" s="27">
        <v>59050</v>
      </c>
      <c r="M73" s="26">
        <v>25443</v>
      </c>
      <c r="N73" s="26">
        <v>33607</v>
      </c>
      <c r="O73" s="27">
        <v>59050</v>
      </c>
      <c r="P73" s="26">
        <v>18103</v>
      </c>
      <c r="Q73" s="26">
        <v>25823</v>
      </c>
      <c r="R73" s="27">
        <v>43926</v>
      </c>
      <c r="S73" s="26">
        <v>22457</v>
      </c>
      <c r="T73" s="26">
        <v>56173</v>
      </c>
      <c r="U73" s="27">
        <v>78630</v>
      </c>
      <c r="V73" s="26">
        <v>22089</v>
      </c>
      <c r="W73" s="26">
        <v>50172</v>
      </c>
      <c r="X73" s="31">
        <v>72261</v>
      </c>
      <c r="Y73" s="16">
        <v>19943</v>
      </c>
      <c r="Z73" s="16">
        <v>39564</v>
      </c>
      <c r="AA73" s="31">
        <v>59507</v>
      </c>
      <c r="AB73" s="32">
        <v>23010</v>
      </c>
      <c r="AC73" s="16">
        <v>29004</v>
      </c>
      <c r="AD73" s="31">
        <v>52014</v>
      </c>
      <c r="AE73" s="16">
        <v>20552</v>
      </c>
      <c r="AF73" s="16">
        <v>25891</v>
      </c>
      <c r="AG73" s="31">
        <v>46443</v>
      </c>
      <c r="AH73" s="16">
        <v>19248</v>
      </c>
      <c r="AI73" s="16">
        <v>20365</v>
      </c>
      <c r="AJ73" s="31">
        <v>39613</v>
      </c>
      <c r="AK73" s="16">
        <v>24054</v>
      </c>
      <c r="AL73" s="16">
        <v>37354</v>
      </c>
      <c r="AM73" s="31">
        <v>61408</v>
      </c>
      <c r="AN73" s="16">
        <v>24054</v>
      </c>
      <c r="AO73" s="16">
        <v>37354</v>
      </c>
      <c r="AP73" s="31">
        <v>61408</v>
      </c>
      <c r="AQ73" s="42"/>
      <c r="AR73" s="43"/>
      <c r="AS73" s="42"/>
      <c r="AT73" s="42"/>
    </row>
    <row r="74" spans="1:46" ht="12.9" customHeight="1" x14ac:dyDescent="0.25">
      <c r="A74" s="28" t="s">
        <v>164</v>
      </c>
      <c r="B74" s="29" t="s">
        <v>165</v>
      </c>
      <c r="C74" s="30" t="s">
        <v>166</v>
      </c>
      <c r="D74" s="40">
        <v>2600</v>
      </c>
      <c r="E74" s="26">
        <v>256</v>
      </c>
      <c r="F74" s="26">
        <f t="shared" si="2"/>
        <v>2856</v>
      </c>
      <c r="G74" s="40">
        <v>2600</v>
      </c>
      <c r="H74" s="26">
        <v>144</v>
      </c>
      <c r="I74" s="27">
        <f t="shared" ref="I74:I137" si="3">+G74+H74</f>
        <v>2744</v>
      </c>
      <c r="J74" s="40">
        <v>2600</v>
      </c>
      <c r="K74" s="26">
        <v>216</v>
      </c>
      <c r="L74" s="27">
        <v>2816</v>
      </c>
      <c r="M74" s="26">
        <v>2000</v>
      </c>
      <c r="N74" s="26">
        <v>216</v>
      </c>
      <c r="O74" s="27">
        <v>2216</v>
      </c>
      <c r="P74" s="26">
        <v>2000</v>
      </c>
      <c r="Q74" s="26">
        <v>216</v>
      </c>
      <c r="R74" s="27">
        <v>2216</v>
      </c>
      <c r="S74" s="26">
        <v>2000</v>
      </c>
      <c r="T74" s="26">
        <v>0</v>
      </c>
      <c r="U74" s="27">
        <v>2000</v>
      </c>
      <c r="V74" s="26">
        <v>2160</v>
      </c>
      <c r="W74" s="26">
        <v>0</v>
      </c>
      <c r="X74" s="31">
        <v>2160</v>
      </c>
      <c r="Y74" s="16">
        <v>2160</v>
      </c>
      <c r="Z74" s="16">
        <v>90</v>
      </c>
      <c r="AA74" s="31">
        <v>2250</v>
      </c>
      <c r="AB74" s="32">
        <v>2160</v>
      </c>
      <c r="AC74" s="16">
        <v>157</v>
      </c>
      <c r="AD74" s="31">
        <v>2317</v>
      </c>
      <c r="AE74" s="16">
        <v>2160</v>
      </c>
      <c r="AF74" s="16">
        <v>29</v>
      </c>
      <c r="AG74" s="31">
        <v>2189</v>
      </c>
      <c r="AH74" s="16">
        <v>2160</v>
      </c>
      <c r="AI74" s="16">
        <v>45</v>
      </c>
      <c r="AJ74" s="31">
        <v>2205</v>
      </c>
      <c r="AK74" s="16">
        <v>2160</v>
      </c>
      <c r="AL74" s="16">
        <v>921</v>
      </c>
      <c r="AM74" s="31">
        <v>3081</v>
      </c>
      <c r="AN74" s="16">
        <v>2160</v>
      </c>
      <c r="AO74" s="16">
        <v>1054</v>
      </c>
      <c r="AP74" s="31">
        <v>3214</v>
      </c>
      <c r="AQ74" s="42"/>
      <c r="AR74" s="43"/>
      <c r="AS74" s="42"/>
      <c r="AT74" s="42"/>
    </row>
    <row r="75" spans="1:46" ht="12.9" customHeight="1" x14ac:dyDescent="0.25">
      <c r="A75" s="28" t="s">
        <v>167</v>
      </c>
      <c r="B75" s="29" t="s">
        <v>168</v>
      </c>
      <c r="C75" s="30" t="s">
        <v>39</v>
      </c>
      <c r="D75" s="40">
        <v>5670</v>
      </c>
      <c r="E75" s="26">
        <v>1468</v>
      </c>
      <c r="F75" s="26">
        <f t="shared" si="2"/>
        <v>7138</v>
      </c>
      <c r="G75" s="40">
        <v>5670</v>
      </c>
      <c r="H75" s="26">
        <v>1468</v>
      </c>
      <c r="I75" s="27">
        <f t="shared" si="3"/>
        <v>7138</v>
      </c>
      <c r="J75" s="40">
        <v>6236</v>
      </c>
      <c r="K75" s="26">
        <v>1048</v>
      </c>
      <c r="L75" s="27">
        <v>7284</v>
      </c>
      <c r="M75" s="26">
        <v>5733</v>
      </c>
      <c r="N75" s="26">
        <v>1048</v>
      </c>
      <c r="O75" s="27">
        <v>6781</v>
      </c>
      <c r="P75" s="26">
        <v>6804</v>
      </c>
      <c r="Q75" s="26">
        <v>0</v>
      </c>
      <c r="R75" s="27">
        <v>6804</v>
      </c>
      <c r="S75" s="26">
        <v>6804</v>
      </c>
      <c r="T75" s="26">
        <v>0</v>
      </c>
      <c r="U75" s="27">
        <v>6804</v>
      </c>
      <c r="V75" s="26">
        <v>6804</v>
      </c>
      <c r="W75" s="26">
        <v>0</v>
      </c>
      <c r="X75" s="31">
        <v>6804</v>
      </c>
      <c r="Y75" s="16">
        <v>6804</v>
      </c>
      <c r="Z75" s="16">
        <v>0</v>
      </c>
      <c r="AA75" s="31">
        <v>6804</v>
      </c>
      <c r="AB75" s="32">
        <v>6804</v>
      </c>
      <c r="AC75" s="16">
        <v>0</v>
      </c>
      <c r="AD75" s="31">
        <v>6804</v>
      </c>
      <c r="AE75" s="16">
        <v>6804</v>
      </c>
      <c r="AF75" s="16">
        <v>0</v>
      </c>
      <c r="AG75" s="31">
        <v>6804</v>
      </c>
      <c r="AH75" s="16">
        <v>6804</v>
      </c>
      <c r="AI75" s="16">
        <v>0</v>
      </c>
      <c r="AJ75" s="31">
        <v>6804</v>
      </c>
      <c r="AK75" s="16">
        <v>6804</v>
      </c>
      <c r="AL75" s="16">
        <v>0</v>
      </c>
      <c r="AM75" s="31">
        <v>6804</v>
      </c>
      <c r="AN75" s="16">
        <v>6804</v>
      </c>
      <c r="AO75" s="16">
        <v>0</v>
      </c>
      <c r="AP75" s="31">
        <v>6804</v>
      </c>
      <c r="AQ75" s="42"/>
      <c r="AR75" s="43"/>
      <c r="AS75" s="42"/>
      <c r="AT75" s="42"/>
    </row>
    <row r="76" spans="1:46" ht="12.9" customHeight="1" x14ac:dyDescent="0.25">
      <c r="A76" s="28" t="s">
        <v>169</v>
      </c>
      <c r="B76" s="29" t="s">
        <v>170</v>
      </c>
      <c r="C76" s="30" t="s">
        <v>20</v>
      </c>
      <c r="D76" s="40">
        <v>203733</v>
      </c>
      <c r="E76" s="26">
        <v>210346</v>
      </c>
      <c r="F76" s="26">
        <f t="shared" si="2"/>
        <v>414079</v>
      </c>
      <c r="G76" s="40">
        <v>201262</v>
      </c>
      <c r="H76" s="26">
        <v>225149</v>
      </c>
      <c r="I76" s="27">
        <f t="shared" si="3"/>
        <v>426411</v>
      </c>
      <c r="J76" s="40">
        <v>213543</v>
      </c>
      <c r="K76" s="26">
        <v>220946</v>
      </c>
      <c r="L76" s="27">
        <v>434489</v>
      </c>
      <c r="M76" s="26">
        <v>221140</v>
      </c>
      <c r="N76" s="26">
        <v>207135</v>
      </c>
      <c r="O76" s="27">
        <v>428275</v>
      </c>
      <c r="P76" s="26">
        <v>227955</v>
      </c>
      <c r="Q76" s="26">
        <v>191813</v>
      </c>
      <c r="R76" s="27">
        <v>419768</v>
      </c>
      <c r="S76" s="26">
        <v>206838</v>
      </c>
      <c r="T76" s="26">
        <v>236013</v>
      </c>
      <c r="U76" s="27">
        <v>442851</v>
      </c>
      <c r="V76" s="26">
        <v>198386</v>
      </c>
      <c r="W76" s="26">
        <v>202239</v>
      </c>
      <c r="X76" s="31">
        <v>400625</v>
      </c>
      <c r="Y76" s="16">
        <v>208546</v>
      </c>
      <c r="Z76" s="16">
        <v>191210</v>
      </c>
      <c r="AA76" s="31">
        <v>399756</v>
      </c>
      <c r="AB76" s="32">
        <v>222448</v>
      </c>
      <c r="AC76" s="16">
        <v>200778</v>
      </c>
      <c r="AD76" s="31">
        <v>423226</v>
      </c>
      <c r="AE76" s="16">
        <v>209137</v>
      </c>
      <c r="AF76" s="16">
        <v>171854</v>
      </c>
      <c r="AG76" s="31">
        <v>380991</v>
      </c>
      <c r="AH76" s="16">
        <v>205274</v>
      </c>
      <c r="AI76" s="16">
        <v>160969</v>
      </c>
      <c r="AJ76" s="31">
        <v>366243</v>
      </c>
      <c r="AK76" s="16">
        <v>204604</v>
      </c>
      <c r="AL76" s="16">
        <v>150937</v>
      </c>
      <c r="AM76" s="31">
        <v>355541</v>
      </c>
      <c r="AN76" s="16">
        <v>211388</v>
      </c>
      <c r="AO76" s="16">
        <v>158760</v>
      </c>
      <c r="AP76" s="31">
        <v>370148</v>
      </c>
      <c r="AQ76" s="42"/>
      <c r="AR76" s="43"/>
      <c r="AS76" s="42"/>
      <c r="AT76" s="42"/>
    </row>
    <row r="77" spans="1:46" ht="12.9" customHeight="1" x14ac:dyDescent="0.25">
      <c r="A77" s="28" t="s">
        <v>171</v>
      </c>
      <c r="B77" s="29" t="s">
        <v>172</v>
      </c>
      <c r="C77" s="30" t="s">
        <v>34</v>
      </c>
      <c r="D77" s="40">
        <v>53476</v>
      </c>
      <c r="E77" s="26">
        <v>16895</v>
      </c>
      <c r="F77" s="26">
        <f t="shared" si="2"/>
        <v>70371</v>
      </c>
      <c r="G77" s="40">
        <v>68173</v>
      </c>
      <c r="H77" s="26">
        <v>25009</v>
      </c>
      <c r="I77" s="27">
        <f t="shared" si="3"/>
        <v>93182</v>
      </c>
      <c r="J77" s="40">
        <v>68173</v>
      </c>
      <c r="K77" s="26">
        <v>10762</v>
      </c>
      <c r="L77" s="27">
        <v>78935</v>
      </c>
      <c r="M77" s="26">
        <v>63190</v>
      </c>
      <c r="N77" s="26">
        <v>9170</v>
      </c>
      <c r="O77" s="27">
        <v>72360</v>
      </c>
      <c r="P77" s="26">
        <v>57638</v>
      </c>
      <c r="Q77" s="26">
        <v>13615</v>
      </c>
      <c r="R77" s="27">
        <v>71253</v>
      </c>
      <c r="S77" s="26">
        <v>61757</v>
      </c>
      <c r="T77" s="26">
        <v>14400</v>
      </c>
      <c r="U77" s="27">
        <v>76157</v>
      </c>
      <c r="V77" s="26">
        <v>61757</v>
      </c>
      <c r="W77" s="26">
        <v>14370</v>
      </c>
      <c r="X77" s="31">
        <v>76127</v>
      </c>
      <c r="Y77" s="16">
        <v>61757</v>
      </c>
      <c r="Z77" s="16">
        <v>14440</v>
      </c>
      <c r="AA77" s="31">
        <v>76197</v>
      </c>
      <c r="AB77" s="32">
        <v>61757</v>
      </c>
      <c r="AC77" s="16">
        <v>14400</v>
      </c>
      <c r="AD77" s="31">
        <v>76157</v>
      </c>
      <c r="AE77" s="16">
        <v>61757</v>
      </c>
      <c r="AF77" s="16">
        <v>14372</v>
      </c>
      <c r="AG77" s="31">
        <v>76129</v>
      </c>
      <c r="AH77" s="16">
        <v>61757</v>
      </c>
      <c r="AI77" s="16">
        <v>17887</v>
      </c>
      <c r="AJ77" s="31">
        <v>79644</v>
      </c>
      <c r="AK77" s="16">
        <v>76288</v>
      </c>
      <c r="AL77" s="16">
        <v>17877</v>
      </c>
      <c r="AM77" s="31">
        <v>94165</v>
      </c>
      <c r="AN77" s="16">
        <v>76288</v>
      </c>
      <c r="AO77" s="16">
        <v>17874</v>
      </c>
      <c r="AP77" s="31">
        <v>94162</v>
      </c>
      <c r="AQ77" s="42"/>
      <c r="AR77" s="43"/>
      <c r="AS77" s="42"/>
      <c r="AT77" s="42"/>
    </row>
    <row r="78" spans="1:46" ht="12.9" customHeight="1" x14ac:dyDescent="0.25">
      <c r="A78" s="28" t="s">
        <v>173</v>
      </c>
      <c r="B78" s="29" t="s">
        <v>174</v>
      </c>
      <c r="C78" s="30" t="s">
        <v>14</v>
      </c>
      <c r="D78" s="40">
        <v>126612</v>
      </c>
      <c r="E78" s="26">
        <v>169542</v>
      </c>
      <c r="F78" s="26">
        <f t="shared" si="2"/>
        <v>296154</v>
      </c>
      <c r="G78" s="40">
        <v>129759</v>
      </c>
      <c r="H78" s="26">
        <v>162250</v>
      </c>
      <c r="I78" s="27">
        <f t="shared" si="3"/>
        <v>292009</v>
      </c>
      <c r="J78" s="40">
        <v>134542</v>
      </c>
      <c r="K78" s="26">
        <v>170490</v>
      </c>
      <c r="L78" s="27">
        <v>305032</v>
      </c>
      <c r="M78" s="26">
        <v>139442</v>
      </c>
      <c r="N78" s="26">
        <v>168509</v>
      </c>
      <c r="O78" s="27">
        <v>307951</v>
      </c>
      <c r="P78" s="26">
        <v>137179</v>
      </c>
      <c r="Q78" s="26">
        <v>150596</v>
      </c>
      <c r="R78" s="27">
        <v>287775</v>
      </c>
      <c r="S78" s="26">
        <v>136317</v>
      </c>
      <c r="T78" s="26">
        <v>134673</v>
      </c>
      <c r="U78" s="27">
        <v>270990</v>
      </c>
      <c r="V78" s="26">
        <v>128750</v>
      </c>
      <c r="W78" s="26">
        <v>106923</v>
      </c>
      <c r="X78" s="31">
        <v>235673</v>
      </c>
      <c r="Y78" s="16">
        <v>127689</v>
      </c>
      <c r="Z78" s="16">
        <v>127859</v>
      </c>
      <c r="AA78" s="31">
        <v>255548</v>
      </c>
      <c r="AB78" s="32">
        <v>126685</v>
      </c>
      <c r="AC78" s="16">
        <v>134005</v>
      </c>
      <c r="AD78" s="31">
        <v>260690</v>
      </c>
      <c r="AE78" s="16">
        <v>125091</v>
      </c>
      <c r="AF78" s="16">
        <v>118787</v>
      </c>
      <c r="AG78" s="31">
        <v>243878</v>
      </c>
      <c r="AH78" s="16">
        <v>121956</v>
      </c>
      <c r="AI78" s="16">
        <v>114843</v>
      </c>
      <c r="AJ78" s="31">
        <v>236799</v>
      </c>
      <c r="AK78" s="16">
        <v>122633</v>
      </c>
      <c r="AL78" s="16">
        <v>143006</v>
      </c>
      <c r="AM78" s="31">
        <v>265639</v>
      </c>
      <c r="AN78" s="16">
        <v>129486</v>
      </c>
      <c r="AO78" s="16">
        <v>175512</v>
      </c>
      <c r="AP78" s="31">
        <v>304998</v>
      </c>
      <c r="AQ78" s="42"/>
      <c r="AR78" s="43"/>
      <c r="AS78" s="42"/>
      <c r="AT78" s="42"/>
    </row>
    <row r="79" spans="1:46" ht="12.9" customHeight="1" x14ac:dyDescent="0.25">
      <c r="A79" s="28" t="s">
        <v>175</v>
      </c>
      <c r="B79" s="29" t="s">
        <v>176</v>
      </c>
      <c r="C79" s="30" t="s">
        <v>177</v>
      </c>
      <c r="D79" s="40">
        <v>97092</v>
      </c>
      <c r="E79" s="26">
        <v>79454</v>
      </c>
      <c r="F79" s="26">
        <f t="shared" si="2"/>
        <v>176546</v>
      </c>
      <c r="G79" s="40">
        <v>97092</v>
      </c>
      <c r="H79" s="26">
        <v>83644</v>
      </c>
      <c r="I79" s="27">
        <f t="shared" si="3"/>
        <v>180736</v>
      </c>
      <c r="J79" s="40">
        <v>94481</v>
      </c>
      <c r="K79" s="26">
        <v>83644</v>
      </c>
      <c r="L79" s="27">
        <v>178125</v>
      </c>
      <c r="M79" s="26">
        <v>179735</v>
      </c>
      <c r="N79" s="26">
        <v>22305</v>
      </c>
      <c r="O79" s="27">
        <v>202040</v>
      </c>
      <c r="P79" s="26">
        <v>180167</v>
      </c>
      <c r="Q79" s="26">
        <v>36805</v>
      </c>
      <c r="R79" s="27">
        <v>216972</v>
      </c>
      <c r="S79" s="26">
        <v>153670</v>
      </c>
      <c r="T79" s="26">
        <v>7992</v>
      </c>
      <c r="U79" s="27">
        <v>161662</v>
      </c>
      <c r="V79" s="26">
        <v>153670</v>
      </c>
      <c r="W79" s="26">
        <v>13363</v>
      </c>
      <c r="X79" s="31">
        <v>167033</v>
      </c>
      <c r="Y79" s="16">
        <v>150597</v>
      </c>
      <c r="Z79" s="16">
        <v>8100</v>
      </c>
      <c r="AA79" s="31">
        <v>158697</v>
      </c>
      <c r="AB79" s="32">
        <v>126299</v>
      </c>
      <c r="AC79" s="16">
        <v>5617</v>
      </c>
      <c r="AD79" s="31">
        <v>131916</v>
      </c>
      <c r="AE79" s="16">
        <v>96120</v>
      </c>
      <c r="AF79" s="16">
        <v>6157</v>
      </c>
      <c r="AG79" s="31">
        <v>102277</v>
      </c>
      <c r="AH79" s="16">
        <v>95868</v>
      </c>
      <c r="AI79" s="16">
        <v>8532</v>
      </c>
      <c r="AJ79" s="31">
        <v>104400</v>
      </c>
      <c r="AK79" s="16">
        <v>88319</v>
      </c>
      <c r="AL79" s="16">
        <v>5184</v>
      </c>
      <c r="AM79" s="31">
        <v>93503</v>
      </c>
      <c r="AN79" s="16">
        <v>88319</v>
      </c>
      <c r="AO79" s="16">
        <v>5184</v>
      </c>
      <c r="AP79" s="31">
        <v>93503</v>
      </c>
      <c r="AQ79" s="42"/>
      <c r="AR79" s="43"/>
      <c r="AS79" s="42"/>
      <c r="AT79" s="42"/>
    </row>
    <row r="80" spans="1:46" ht="12.9" customHeight="1" x14ac:dyDescent="0.25">
      <c r="A80" s="28" t="s">
        <v>178</v>
      </c>
      <c r="B80" s="29" t="s">
        <v>179</v>
      </c>
      <c r="C80" s="30" t="s">
        <v>34</v>
      </c>
      <c r="D80" s="40">
        <v>8468</v>
      </c>
      <c r="E80" s="26">
        <v>21218</v>
      </c>
      <c r="F80" s="26">
        <f t="shared" si="2"/>
        <v>29686</v>
      </c>
      <c r="G80" s="40">
        <v>7168</v>
      </c>
      <c r="H80" s="26">
        <v>21254</v>
      </c>
      <c r="I80" s="27">
        <f t="shared" si="3"/>
        <v>28422</v>
      </c>
      <c r="J80" s="40">
        <v>7875</v>
      </c>
      <c r="K80" s="26">
        <v>21159</v>
      </c>
      <c r="L80" s="27">
        <v>29034</v>
      </c>
      <c r="M80" s="26">
        <v>10222</v>
      </c>
      <c r="N80" s="26">
        <v>22131</v>
      </c>
      <c r="O80" s="27">
        <v>32353</v>
      </c>
      <c r="P80" s="26">
        <v>7169</v>
      </c>
      <c r="Q80" s="26">
        <v>18635</v>
      </c>
      <c r="R80" s="27">
        <v>25804</v>
      </c>
      <c r="S80" s="26">
        <v>7169</v>
      </c>
      <c r="T80" s="26">
        <v>18635</v>
      </c>
      <c r="U80" s="27">
        <v>25804</v>
      </c>
      <c r="V80" s="26">
        <v>7725</v>
      </c>
      <c r="W80" s="26">
        <v>20881</v>
      </c>
      <c r="X80" s="31">
        <v>28606</v>
      </c>
      <c r="Y80" s="16">
        <v>7355</v>
      </c>
      <c r="Z80" s="16">
        <v>17931</v>
      </c>
      <c r="AA80" s="31">
        <v>25286</v>
      </c>
      <c r="AB80" s="32">
        <v>7789</v>
      </c>
      <c r="AC80" s="16">
        <v>11347</v>
      </c>
      <c r="AD80" s="31">
        <v>19136</v>
      </c>
      <c r="AE80" s="16">
        <v>7922</v>
      </c>
      <c r="AF80" s="16">
        <v>10753</v>
      </c>
      <c r="AG80" s="31">
        <v>18675</v>
      </c>
      <c r="AH80" s="16">
        <v>8529</v>
      </c>
      <c r="AI80" s="16">
        <v>11421</v>
      </c>
      <c r="AJ80" s="31">
        <v>19950</v>
      </c>
      <c r="AK80" s="16">
        <v>8444</v>
      </c>
      <c r="AL80" s="16">
        <v>16803</v>
      </c>
      <c r="AM80" s="31">
        <v>25247</v>
      </c>
      <c r="AN80" s="16">
        <v>7474</v>
      </c>
      <c r="AO80" s="16">
        <v>8529</v>
      </c>
      <c r="AP80" s="31">
        <v>16003</v>
      </c>
      <c r="AQ80" s="42"/>
      <c r="AR80" s="43"/>
      <c r="AS80" s="42"/>
      <c r="AT80" s="42"/>
    </row>
    <row r="81" spans="1:46" ht="12.9" customHeight="1" x14ac:dyDescent="0.25">
      <c r="A81" s="28" t="s">
        <v>180</v>
      </c>
      <c r="B81" s="29" t="s">
        <v>181</v>
      </c>
      <c r="C81" s="30" t="s">
        <v>14</v>
      </c>
      <c r="D81" s="40">
        <v>17171</v>
      </c>
      <c r="E81" s="26">
        <v>108723</v>
      </c>
      <c r="F81" s="26">
        <f t="shared" si="2"/>
        <v>125894</v>
      </c>
      <c r="G81" s="40">
        <v>22267.200000000001</v>
      </c>
      <c r="H81" s="26">
        <v>109676</v>
      </c>
      <c r="I81" s="27">
        <f t="shared" si="3"/>
        <v>131943.20000000001</v>
      </c>
      <c r="J81" s="40">
        <v>21059</v>
      </c>
      <c r="K81" s="26">
        <v>103199</v>
      </c>
      <c r="L81" s="27">
        <v>124258</v>
      </c>
      <c r="M81" s="26">
        <v>21103</v>
      </c>
      <c r="N81" s="26">
        <v>92019</v>
      </c>
      <c r="O81" s="27">
        <v>113122</v>
      </c>
      <c r="P81" s="26">
        <v>21233</v>
      </c>
      <c r="Q81" s="26">
        <v>97229</v>
      </c>
      <c r="R81" s="27">
        <v>118462</v>
      </c>
      <c r="S81" s="26">
        <v>20049</v>
      </c>
      <c r="T81" s="26">
        <v>99861</v>
      </c>
      <c r="U81" s="27">
        <v>119910</v>
      </c>
      <c r="V81" s="26">
        <v>20574</v>
      </c>
      <c r="W81" s="26">
        <v>98605</v>
      </c>
      <c r="X81" s="31">
        <v>119179</v>
      </c>
      <c r="Y81" s="16">
        <v>20827</v>
      </c>
      <c r="Z81" s="16">
        <v>97634</v>
      </c>
      <c r="AA81" s="31">
        <v>118461</v>
      </c>
      <c r="AB81" s="32">
        <v>22171</v>
      </c>
      <c r="AC81" s="16">
        <v>93066</v>
      </c>
      <c r="AD81" s="31">
        <v>115237</v>
      </c>
      <c r="AE81" s="16">
        <v>22382</v>
      </c>
      <c r="AF81" s="16">
        <v>74961</v>
      </c>
      <c r="AG81" s="31">
        <v>97343</v>
      </c>
      <c r="AH81" s="16">
        <v>22549</v>
      </c>
      <c r="AI81" s="16">
        <v>62995</v>
      </c>
      <c r="AJ81" s="31">
        <v>85544</v>
      </c>
      <c r="AK81" s="16">
        <v>24205</v>
      </c>
      <c r="AL81" s="16">
        <v>68086</v>
      </c>
      <c r="AM81" s="31">
        <v>92291</v>
      </c>
      <c r="AN81" s="16">
        <v>26647</v>
      </c>
      <c r="AO81" s="16">
        <v>0</v>
      </c>
      <c r="AP81" s="31">
        <v>26647</v>
      </c>
      <c r="AQ81" s="42"/>
      <c r="AR81" s="43"/>
      <c r="AS81" s="42"/>
      <c r="AT81" s="42"/>
    </row>
    <row r="82" spans="1:46" ht="12.9" customHeight="1" x14ac:dyDescent="0.25">
      <c r="A82" s="28" t="s">
        <v>182</v>
      </c>
      <c r="B82" s="29" t="s">
        <v>183</v>
      </c>
      <c r="C82" s="30" t="s">
        <v>184</v>
      </c>
      <c r="D82" s="40">
        <v>67611</v>
      </c>
      <c r="E82" s="26">
        <v>81518</v>
      </c>
      <c r="F82" s="26">
        <f t="shared" si="2"/>
        <v>149129</v>
      </c>
      <c r="G82" s="40">
        <v>72450</v>
      </c>
      <c r="H82" s="26">
        <v>83125</v>
      </c>
      <c r="I82" s="27">
        <f t="shared" si="3"/>
        <v>155575</v>
      </c>
      <c r="J82" s="40">
        <v>72721</v>
      </c>
      <c r="K82" s="26">
        <v>91741</v>
      </c>
      <c r="L82" s="27">
        <v>164462</v>
      </c>
      <c r="M82" s="26">
        <v>74753</v>
      </c>
      <c r="N82" s="26">
        <v>86238</v>
      </c>
      <c r="O82" s="27">
        <v>160991</v>
      </c>
      <c r="P82" s="26">
        <v>76810</v>
      </c>
      <c r="Q82" s="26">
        <v>81981</v>
      </c>
      <c r="R82" s="27">
        <v>158791</v>
      </c>
      <c r="S82" s="26">
        <v>71141</v>
      </c>
      <c r="T82" s="26">
        <v>99732</v>
      </c>
      <c r="U82" s="27">
        <v>170873</v>
      </c>
      <c r="V82" s="26">
        <v>70181</v>
      </c>
      <c r="W82" s="26">
        <v>72808</v>
      </c>
      <c r="X82" s="31">
        <v>142989</v>
      </c>
      <c r="Y82" s="16">
        <v>74920</v>
      </c>
      <c r="Z82" s="16">
        <v>73879</v>
      </c>
      <c r="AA82" s="31">
        <v>148799</v>
      </c>
      <c r="AB82" s="32">
        <v>71479</v>
      </c>
      <c r="AC82" s="16">
        <v>69188</v>
      </c>
      <c r="AD82" s="31">
        <v>140667</v>
      </c>
      <c r="AE82" s="16">
        <v>91211</v>
      </c>
      <c r="AF82" s="16">
        <v>93554</v>
      </c>
      <c r="AG82" s="31">
        <v>184765</v>
      </c>
      <c r="AH82" s="16">
        <v>100892</v>
      </c>
      <c r="AI82" s="16">
        <v>63677</v>
      </c>
      <c r="AJ82" s="31">
        <v>164569</v>
      </c>
      <c r="AK82" s="16">
        <v>85840</v>
      </c>
      <c r="AL82" s="16">
        <v>83040</v>
      </c>
      <c r="AM82" s="31">
        <v>168880</v>
      </c>
      <c r="AN82" s="16">
        <v>78790</v>
      </c>
      <c r="AO82" s="16">
        <v>89685</v>
      </c>
      <c r="AP82" s="31">
        <v>168475</v>
      </c>
      <c r="AQ82" s="42"/>
      <c r="AR82" s="43"/>
      <c r="AS82" s="42"/>
      <c r="AT82" s="42"/>
    </row>
    <row r="83" spans="1:46" ht="12.9" customHeight="1" x14ac:dyDescent="0.25">
      <c r="A83" s="28" t="s">
        <v>185</v>
      </c>
      <c r="B83" s="29" t="s">
        <v>186</v>
      </c>
      <c r="C83" s="30" t="s">
        <v>20</v>
      </c>
      <c r="D83" s="40">
        <v>70266</v>
      </c>
      <c r="E83" s="26">
        <v>295619</v>
      </c>
      <c r="F83" s="26">
        <f t="shared" si="2"/>
        <v>365885</v>
      </c>
      <c r="G83" s="40">
        <v>72984</v>
      </c>
      <c r="H83" s="26">
        <v>304365</v>
      </c>
      <c r="I83" s="27">
        <f t="shared" si="3"/>
        <v>377349</v>
      </c>
      <c r="J83" s="40">
        <v>77054</v>
      </c>
      <c r="K83" s="26">
        <v>337892</v>
      </c>
      <c r="L83" s="27">
        <v>414946</v>
      </c>
      <c r="M83" s="26">
        <v>82721</v>
      </c>
      <c r="N83" s="26">
        <v>364095</v>
      </c>
      <c r="O83" s="27">
        <v>446816</v>
      </c>
      <c r="P83" s="26">
        <v>79570</v>
      </c>
      <c r="Q83" s="26">
        <v>344638</v>
      </c>
      <c r="R83" s="27">
        <v>424208</v>
      </c>
      <c r="S83" s="26">
        <v>72988</v>
      </c>
      <c r="T83" s="26">
        <v>507932</v>
      </c>
      <c r="U83" s="27">
        <v>580920</v>
      </c>
      <c r="V83" s="26">
        <v>70979</v>
      </c>
      <c r="W83" s="26">
        <v>468468</v>
      </c>
      <c r="X83" s="31">
        <v>539447</v>
      </c>
      <c r="Y83" s="16">
        <v>73656</v>
      </c>
      <c r="Z83" s="16">
        <v>409147</v>
      </c>
      <c r="AA83" s="31">
        <v>482803</v>
      </c>
      <c r="AB83" s="32">
        <v>72471</v>
      </c>
      <c r="AC83" s="16">
        <v>560175</v>
      </c>
      <c r="AD83" s="31">
        <v>632646</v>
      </c>
      <c r="AE83" s="16">
        <v>71397</v>
      </c>
      <c r="AF83" s="16">
        <v>390358</v>
      </c>
      <c r="AG83" s="31">
        <v>461755</v>
      </c>
      <c r="AH83" s="16">
        <v>69875</v>
      </c>
      <c r="AI83" s="16">
        <v>450832</v>
      </c>
      <c r="AJ83" s="31">
        <v>520707</v>
      </c>
      <c r="AK83" s="16">
        <v>71298.478491205766</v>
      </c>
      <c r="AL83" s="16">
        <v>311417.59999999998</v>
      </c>
      <c r="AM83" s="31">
        <v>382716.07849120576</v>
      </c>
      <c r="AN83" s="16">
        <v>76144</v>
      </c>
      <c r="AO83" s="16">
        <v>430253</v>
      </c>
      <c r="AP83" s="31">
        <v>506397</v>
      </c>
      <c r="AQ83" s="42"/>
      <c r="AR83" s="43"/>
      <c r="AS83" s="42"/>
      <c r="AT83" s="42"/>
    </row>
    <row r="84" spans="1:46" ht="12.9" customHeight="1" x14ac:dyDescent="0.25">
      <c r="A84" s="28" t="s">
        <v>187</v>
      </c>
      <c r="B84" s="29" t="s">
        <v>188</v>
      </c>
      <c r="C84" s="30" t="s">
        <v>23</v>
      </c>
      <c r="D84" s="40">
        <v>68161</v>
      </c>
      <c r="E84" s="26">
        <v>10545</v>
      </c>
      <c r="F84" s="26">
        <f t="shared" si="2"/>
        <v>78706</v>
      </c>
      <c r="G84" s="40">
        <v>67733</v>
      </c>
      <c r="H84" s="26">
        <v>15743</v>
      </c>
      <c r="I84" s="27">
        <f t="shared" si="3"/>
        <v>83476</v>
      </c>
      <c r="J84" s="40">
        <v>76101</v>
      </c>
      <c r="K84" s="26">
        <v>18128</v>
      </c>
      <c r="L84" s="27">
        <v>94229</v>
      </c>
      <c r="M84" s="26">
        <v>79263</v>
      </c>
      <c r="N84" s="26">
        <v>17251</v>
      </c>
      <c r="O84" s="27">
        <v>96514</v>
      </c>
      <c r="P84" s="26">
        <v>79122</v>
      </c>
      <c r="Q84" s="26">
        <v>13395</v>
      </c>
      <c r="R84" s="27">
        <v>92517</v>
      </c>
      <c r="S84" s="26">
        <v>82875</v>
      </c>
      <c r="T84" s="26">
        <v>18197</v>
      </c>
      <c r="U84" s="27">
        <v>101072</v>
      </c>
      <c r="V84" s="26">
        <v>71424</v>
      </c>
      <c r="W84" s="26">
        <v>17421</v>
      </c>
      <c r="X84" s="31">
        <v>88845</v>
      </c>
      <c r="Y84" s="16">
        <v>79233</v>
      </c>
      <c r="Z84" s="16">
        <v>25037</v>
      </c>
      <c r="AA84" s="31">
        <v>104270</v>
      </c>
      <c r="AB84" s="32">
        <v>72014</v>
      </c>
      <c r="AC84" s="16">
        <v>19931</v>
      </c>
      <c r="AD84" s="31">
        <v>91945</v>
      </c>
      <c r="AE84" s="16">
        <v>78559</v>
      </c>
      <c r="AF84" s="16">
        <v>9110</v>
      </c>
      <c r="AG84" s="31">
        <v>87669</v>
      </c>
      <c r="AH84" s="16">
        <v>73657</v>
      </c>
      <c r="AI84" s="16">
        <v>14381</v>
      </c>
      <c r="AJ84" s="31">
        <v>88038</v>
      </c>
      <c r="AK84" s="16">
        <v>71409</v>
      </c>
      <c r="AL84" s="16">
        <v>18113</v>
      </c>
      <c r="AM84" s="31">
        <v>89522</v>
      </c>
      <c r="AN84" s="16">
        <v>79479</v>
      </c>
      <c r="AO84" s="16">
        <v>15984</v>
      </c>
      <c r="AP84" s="31">
        <v>95463</v>
      </c>
      <c r="AQ84" s="42"/>
      <c r="AR84" s="43"/>
      <c r="AS84" s="42"/>
      <c r="AT84" s="42"/>
    </row>
    <row r="85" spans="1:46" ht="12.9" customHeight="1" x14ac:dyDescent="0.25">
      <c r="A85" s="28" t="s">
        <v>189</v>
      </c>
      <c r="B85" s="29" t="s">
        <v>190</v>
      </c>
      <c r="C85" s="30" t="s">
        <v>191</v>
      </c>
      <c r="D85" s="40">
        <v>65220</v>
      </c>
      <c r="E85" s="26">
        <v>86888</v>
      </c>
      <c r="F85" s="26">
        <f t="shared" si="2"/>
        <v>152108</v>
      </c>
      <c r="G85" s="40">
        <v>68742</v>
      </c>
      <c r="H85" s="26">
        <v>90130</v>
      </c>
      <c r="I85" s="27">
        <f t="shared" si="3"/>
        <v>158872</v>
      </c>
      <c r="J85" s="40">
        <v>74148</v>
      </c>
      <c r="K85" s="26">
        <v>95389</v>
      </c>
      <c r="L85" s="27">
        <v>169537</v>
      </c>
      <c r="M85" s="26">
        <v>70943</v>
      </c>
      <c r="N85" s="26">
        <v>65637</v>
      </c>
      <c r="O85" s="27">
        <v>136580</v>
      </c>
      <c r="P85" s="26">
        <v>73597</v>
      </c>
      <c r="Q85" s="26">
        <v>59404</v>
      </c>
      <c r="R85" s="27">
        <v>133001</v>
      </c>
      <c r="S85" s="26">
        <v>73093</v>
      </c>
      <c r="T85" s="26">
        <v>73513</v>
      </c>
      <c r="U85" s="27">
        <v>146606</v>
      </c>
      <c r="V85" s="26">
        <v>70890</v>
      </c>
      <c r="W85" s="26">
        <v>57112</v>
      </c>
      <c r="X85" s="31">
        <v>128002</v>
      </c>
      <c r="Y85" s="16">
        <v>65494</v>
      </c>
      <c r="Z85" s="16">
        <v>66239</v>
      </c>
      <c r="AA85" s="31">
        <v>131733</v>
      </c>
      <c r="AB85" s="32">
        <v>62174</v>
      </c>
      <c r="AC85" s="16">
        <v>87607</v>
      </c>
      <c r="AD85" s="31">
        <v>149781</v>
      </c>
      <c r="AE85" s="16">
        <v>60687</v>
      </c>
      <c r="AF85" s="16">
        <v>81192</v>
      </c>
      <c r="AG85" s="31">
        <v>141879</v>
      </c>
      <c r="AH85" s="16">
        <v>60810</v>
      </c>
      <c r="AI85" s="16">
        <v>71247</v>
      </c>
      <c r="AJ85" s="31">
        <v>132057</v>
      </c>
      <c r="AK85" s="16">
        <v>51784</v>
      </c>
      <c r="AL85" s="16">
        <v>73861</v>
      </c>
      <c r="AM85" s="31">
        <v>125645</v>
      </c>
      <c r="AN85" s="16">
        <v>50779</v>
      </c>
      <c r="AO85" s="16">
        <v>67384.5</v>
      </c>
      <c r="AP85" s="31">
        <v>118163.5</v>
      </c>
      <c r="AQ85" s="42"/>
      <c r="AR85" s="43"/>
      <c r="AS85" s="42"/>
      <c r="AT85" s="42"/>
    </row>
    <row r="86" spans="1:46" ht="12.9" customHeight="1" x14ac:dyDescent="0.25">
      <c r="A86" s="28" t="s">
        <v>192</v>
      </c>
      <c r="B86" s="29" t="s">
        <v>193</v>
      </c>
      <c r="C86" s="30" t="s">
        <v>194</v>
      </c>
      <c r="D86" s="40">
        <v>7895079</v>
      </c>
      <c r="E86" s="26">
        <v>1718537</v>
      </c>
      <c r="F86" s="26">
        <f t="shared" si="2"/>
        <v>9613616</v>
      </c>
      <c r="G86" s="40">
        <v>8110177</v>
      </c>
      <c r="H86" s="26">
        <v>1905752</v>
      </c>
      <c r="I86" s="27">
        <f t="shared" si="3"/>
        <v>10015929</v>
      </c>
      <c r="J86" s="40">
        <v>8088298</v>
      </c>
      <c r="K86" s="26">
        <v>2053075</v>
      </c>
      <c r="L86" s="27">
        <v>10141373</v>
      </c>
      <c r="M86" s="26">
        <v>8331794</v>
      </c>
      <c r="N86" s="26">
        <v>1919964</v>
      </c>
      <c r="O86" s="27">
        <v>10251758</v>
      </c>
      <c r="P86" s="26">
        <v>8679732</v>
      </c>
      <c r="Q86" s="26">
        <v>1826974</v>
      </c>
      <c r="R86" s="27">
        <v>10506706</v>
      </c>
      <c r="S86" s="26">
        <v>8035601</v>
      </c>
      <c r="T86" s="26">
        <v>2167640</v>
      </c>
      <c r="U86" s="27">
        <v>10203241</v>
      </c>
      <c r="V86" s="26">
        <v>8017678</v>
      </c>
      <c r="W86" s="26">
        <v>2641016</v>
      </c>
      <c r="X86" s="31">
        <v>10658694</v>
      </c>
      <c r="Y86" s="16">
        <v>7861150</v>
      </c>
      <c r="Z86" s="16">
        <v>2112082</v>
      </c>
      <c r="AA86" s="31">
        <v>9973232</v>
      </c>
      <c r="AB86" s="32">
        <v>7780986</v>
      </c>
      <c r="AC86" s="16">
        <v>1946258</v>
      </c>
      <c r="AD86" s="31">
        <v>9727244</v>
      </c>
      <c r="AE86" s="16">
        <v>7580636</v>
      </c>
      <c r="AF86" s="16">
        <v>1842486</v>
      </c>
      <c r="AG86" s="31">
        <v>9423122</v>
      </c>
      <c r="AH86" s="16">
        <v>7614981</v>
      </c>
      <c r="AI86" s="16">
        <v>1824292</v>
      </c>
      <c r="AJ86" s="31">
        <v>9439273</v>
      </c>
      <c r="AK86" s="16">
        <v>7783208</v>
      </c>
      <c r="AL86" s="16">
        <v>1826555</v>
      </c>
      <c r="AM86" s="31">
        <v>9609763</v>
      </c>
      <c r="AN86" s="16">
        <v>8002487</v>
      </c>
      <c r="AO86" s="16">
        <v>1751437</v>
      </c>
      <c r="AP86" s="31">
        <v>9753924</v>
      </c>
      <c r="AQ86" s="42"/>
      <c r="AR86" s="43"/>
      <c r="AS86" s="42"/>
      <c r="AT86" s="42"/>
    </row>
    <row r="87" spans="1:46" ht="12.9" customHeight="1" x14ac:dyDescent="0.25">
      <c r="A87" s="28" t="s">
        <v>195</v>
      </c>
      <c r="B87" s="29" t="s">
        <v>196</v>
      </c>
      <c r="C87" s="30" t="s">
        <v>197</v>
      </c>
      <c r="D87" s="40">
        <v>396417</v>
      </c>
      <c r="E87" s="26">
        <v>93253</v>
      </c>
      <c r="F87" s="26">
        <f t="shared" si="2"/>
        <v>489670</v>
      </c>
      <c r="G87" s="40">
        <v>397111</v>
      </c>
      <c r="H87" s="26">
        <v>83923</v>
      </c>
      <c r="I87" s="27">
        <f t="shared" si="3"/>
        <v>481034</v>
      </c>
      <c r="J87" s="40">
        <v>399040</v>
      </c>
      <c r="K87" s="26">
        <v>99383</v>
      </c>
      <c r="L87" s="27">
        <v>498423</v>
      </c>
      <c r="M87" s="26">
        <v>417259</v>
      </c>
      <c r="N87" s="26">
        <v>87420</v>
      </c>
      <c r="O87" s="27">
        <v>504679</v>
      </c>
      <c r="P87" s="26">
        <v>448874</v>
      </c>
      <c r="Q87" s="26">
        <v>102996</v>
      </c>
      <c r="R87" s="27">
        <v>551870</v>
      </c>
      <c r="S87" s="26">
        <v>422046</v>
      </c>
      <c r="T87" s="26">
        <v>129134</v>
      </c>
      <c r="U87" s="27">
        <v>551180</v>
      </c>
      <c r="V87" s="26">
        <v>410652</v>
      </c>
      <c r="W87" s="26">
        <v>128937</v>
      </c>
      <c r="X87" s="31">
        <v>539589</v>
      </c>
      <c r="Y87" s="16">
        <v>423408</v>
      </c>
      <c r="Z87" s="16">
        <v>124986</v>
      </c>
      <c r="AA87" s="31">
        <v>548394</v>
      </c>
      <c r="AB87" s="32">
        <v>475331</v>
      </c>
      <c r="AC87" s="16">
        <v>140442</v>
      </c>
      <c r="AD87" s="31">
        <v>615773</v>
      </c>
      <c r="AE87" s="16">
        <v>423313</v>
      </c>
      <c r="AF87" s="16">
        <v>116175</v>
      </c>
      <c r="AG87" s="31">
        <v>539488</v>
      </c>
      <c r="AH87" s="16">
        <v>418290</v>
      </c>
      <c r="AI87" s="16">
        <v>92647</v>
      </c>
      <c r="AJ87" s="31">
        <v>510937</v>
      </c>
      <c r="AK87" s="16">
        <v>445054</v>
      </c>
      <c r="AL87" s="16">
        <v>140072</v>
      </c>
      <c r="AM87" s="31">
        <v>585126</v>
      </c>
      <c r="AN87" s="16">
        <v>493901</v>
      </c>
      <c r="AO87" s="16">
        <v>127827</v>
      </c>
      <c r="AP87" s="31">
        <v>621728</v>
      </c>
      <c r="AQ87" s="42"/>
      <c r="AR87" s="43"/>
      <c r="AS87" s="42"/>
      <c r="AT87" s="42"/>
    </row>
    <row r="88" spans="1:46" ht="12.9" customHeight="1" x14ac:dyDescent="0.25">
      <c r="A88" s="28" t="s">
        <v>198</v>
      </c>
      <c r="B88" s="29" t="s">
        <v>199</v>
      </c>
      <c r="C88" s="30" t="s">
        <v>184</v>
      </c>
      <c r="D88" s="40">
        <v>70621</v>
      </c>
      <c r="E88" s="26">
        <v>17964</v>
      </c>
      <c r="F88" s="26">
        <f t="shared" si="2"/>
        <v>88585</v>
      </c>
      <c r="G88" s="40">
        <v>70954</v>
      </c>
      <c r="H88" s="26">
        <v>20986</v>
      </c>
      <c r="I88" s="27">
        <f t="shared" si="3"/>
        <v>91940</v>
      </c>
      <c r="J88" s="40">
        <v>79799</v>
      </c>
      <c r="K88" s="26">
        <v>35739</v>
      </c>
      <c r="L88" s="27">
        <v>115538</v>
      </c>
      <c r="M88" s="26">
        <v>76659</v>
      </c>
      <c r="N88" s="26">
        <v>34845</v>
      </c>
      <c r="O88" s="27">
        <v>111504</v>
      </c>
      <c r="P88" s="26">
        <v>74685</v>
      </c>
      <c r="Q88" s="26">
        <v>27964</v>
      </c>
      <c r="R88" s="27">
        <v>102649</v>
      </c>
      <c r="S88" s="26">
        <v>74685</v>
      </c>
      <c r="T88" s="26">
        <v>27734</v>
      </c>
      <c r="U88" s="27">
        <v>102419</v>
      </c>
      <c r="V88" s="26">
        <v>71112</v>
      </c>
      <c r="W88" s="26">
        <v>15727</v>
      </c>
      <c r="X88" s="31">
        <v>86839</v>
      </c>
      <c r="Y88" s="16">
        <v>65073.333333333328</v>
      </c>
      <c r="Z88" s="16">
        <v>9903</v>
      </c>
      <c r="AA88" s="31">
        <v>74976.333333333328</v>
      </c>
      <c r="AB88" s="32">
        <v>73128</v>
      </c>
      <c r="AC88" s="16">
        <v>14866</v>
      </c>
      <c r="AD88" s="31">
        <v>87994</v>
      </c>
      <c r="AE88" s="16">
        <v>67970</v>
      </c>
      <c r="AF88" s="16">
        <v>12141</v>
      </c>
      <c r="AG88" s="31">
        <v>80111</v>
      </c>
      <c r="AH88" s="16">
        <v>69618</v>
      </c>
      <c r="AI88" s="16">
        <v>13772</v>
      </c>
      <c r="AJ88" s="31">
        <v>83390</v>
      </c>
      <c r="AK88" s="16">
        <v>66581</v>
      </c>
      <c r="AL88" s="16">
        <v>14151</v>
      </c>
      <c r="AM88" s="31">
        <v>80732</v>
      </c>
      <c r="AN88" s="16">
        <v>81751</v>
      </c>
      <c r="AO88" s="16">
        <v>18726</v>
      </c>
      <c r="AP88" s="31">
        <v>100477</v>
      </c>
      <c r="AQ88" s="42"/>
      <c r="AR88" s="43"/>
      <c r="AS88" s="42"/>
      <c r="AT88" s="42"/>
    </row>
    <row r="89" spans="1:46" ht="12.9" customHeight="1" x14ac:dyDescent="0.25">
      <c r="A89" s="28" t="s">
        <v>200</v>
      </c>
      <c r="B89" s="29" t="s">
        <v>201</v>
      </c>
      <c r="C89" s="30" t="s">
        <v>95</v>
      </c>
      <c r="D89" s="40">
        <v>44928</v>
      </c>
      <c r="E89" s="26">
        <v>3990</v>
      </c>
      <c r="F89" s="26">
        <f t="shared" si="2"/>
        <v>48918</v>
      </c>
      <c r="G89" s="40">
        <v>40293</v>
      </c>
      <c r="H89" s="26">
        <v>3990</v>
      </c>
      <c r="I89" s="27">
        <f t="shared" si="3"/>
        <v>44283</v>
      </c>
      <c r="J89" s="40">
        <v>40194</v>
      </c>
      <c r="K89" s="26">
        <v>3902</v>
      </c>
      <c r="L89" s="27">
        <v>44096</v>
      </c>
      <c r="M89" s="26">
        <v>36947</v>
      </c>
      <c r="N89" s="26">
        <v>3902</v>
      </c>
      <c r="O89" s="27">
        <v>40849</v>
      </c>
      <c r="P89" s="26">
        <v>43848</v>
      </c>
      <c r="Q89" s="26">
        <v>3449</v>
      </c>
      <c r="R89" s="27">
        <v>47297</v>
      </c>
      <c r="S89" s="26">
        <v>43848</v>
      </c>
      <c r="T89" s="26">
        <v>3453</v>
      </c>
      <c r="U89" s="27">
        <v>47301</v>
      </c>
      <c r="V89" s="26">
        <v>43958</v>
      </c>
      <c r="W89" s="26">
        <v>1638</v>
      </c>
      <c r="X89" s="31">
        <v>45596</v>
      </c>
      <c r="Y89" s="16">
        <v>43848</v>
      </c>
      <c r="Z89" s="16">
        <v>3276</v>
      </c>
      <c r="AA89" s="31">
        <v>47124</v>
      </c>
      <c r="AB89" s="32">
        <v>44064</v>
      </c>
      <c r="AC89" s="16">
        <v>3276</v>
      </c>
      <c r="AD89" s="31">
        <v>47340</v>
      </c>
      <c r="AE89" s="16">
        <v>44388</v>
      </c>
      <c r="AF89" s="16">
        <v>3276</v>
      </c>
      <c r="AG89" s="31">
        <v>47664</v>
      </c>
      <c r="AH89" s="16">
        <v>44388</v>
      </c>
      <c r="AI89" s="16">
        <v>3276</v>
      </c>
      <c r="AJ89" s="31">
        <v>47664</v>
      </c>
      <c r="AK89" s="16">
        <v>42768</v>
      </c>
      <c r="AL89" s="16">
        <v>2844</v>
      </c>
      <c r="AM89" s="31">
        <v>45612</v>
      </c>
      <c r="AN89" s="16">
        <v>26623.44385026738</v>
      </c>
      <c r="AO89" s="16">
        <v>614.31372549019602</v>
      </c>
      <c r="AP89" s="31">
        <v>27237.757575757576</v>
      </c>
      <c r="AQ89" s="42"/>
      <c r="AR89" s="43"/>
      <c r="AS89" s="42"/>
      <c r="AT89" s="42"/>
    </row>
    <row r="90" spans="1:46" ht="12.9" customHeight="1" x14ac:dyDescent="0.25">
      <c r="A90" s="28" t="s">
        <v>202</v>
      </c>
      <c r="B90" s="29" t="s">
        <v>203</v>
      </c>
      <c r="C90" s="30" t="s">
        <v>14</v>
      </c>
      <c r="D90" s="40">
        <v>707342</v>
      </c>
      <c r="E90" s="26">
        <v>319830</v>
      </c>
      <c r="F90" s="26">
        <f t="shared" si="2"/>
        <v>1027172</v>
      </c>
      <c r="G90" s="40">
        <v>728094</v>
      </c>
      <c r="H90" s="26">
        <v>327872</v>
      </c>
      <c r="I90" s="27">
        <f t="shared" si="3"/>
        <v>1055966</v>
      </c>
      <c r="J90" s="40">
        <v>781344</v>
      </c>
      <c r="K90" s="26">
        <v>328760</v>
      </c>
      <c r="L90" s="27">
        <v>1110104</v>
      </c>
      <c r="M90" s="26">
        <v>769223</v>
      </c>
      <c r="N90" s="26">
        <v>330118</v>
      </c>
      <c r="O90" s="27">
        <v>1099341</v>
      </c>
      <c r="P90" s="26">
        <v>767512</v>
      </c>
      <c r="Q90" s="26">
        <v>267154</v>
      </c>
      <c r="R90" s="27">
        <v>1034666</v>
      </c>
      <c r="S90" s="26">
        <v>729291</v>
      </c>
      <c r="T90" s="26">
        <v>347104</v>
      </c>
      <c r="U90" s="27">
        <v>1076395</v>
      </c>
      <c r="V90" s="26">
        <v>673917</v>
      </c>
      <c r="W90" s="26">
        <v>404997</v>
      </c>
      <c r="X90" s="31">
        <v>1078914</v>
      </c>
      <c r="Y90" s="16">
        <v>702948</v>
      </c>
      <c r="Z90" s="16">
        <v>480961</v>
      </c>
      <c r="AA90" s="31">
        <v>1183909</v>
      </c>
      <c r="AB90" s="32">
        <v>712004.8</v>
      </c>
      <c r="AC90" s="16">
        <v>417385</v>
      </c>
      <c r="AD90" s="31">
        <v>1129389.8</v>
      </c>
      <c r="AE90" s="16">
        <v>673413</v>
      </c>
      <c r="AF90" s="16">
        <v>425677</v>
      </c>
      <c r="AG90" s="31">
        <v>1099090</v>
      </c>
      <c r="AH90" s="16">
        <v>683043</v>
      </c>
      <c r="AI90" s="16">
        <v>312320</v>
      </c>
      <c r="AJ90" s="31">
        <v>995363</v>
      </c>
      <c r="AK90" s="16">
        <v>693993</v>
      </c>
      <c r="AL90" s="16">
        <v>302073</v>
      </c>
      <c r="AM90" s="31">
        <v>996066</v>
      </c>
      <c r="AN90" s="16">
        <v>769972</v>
      </c>
      <c r="AO90" s="16">
        <v>383370</v>
      </c>
      <c r="AP90" s="31">
        <v>1153342</v>
      </c>
      <c r="AQ90" s="42"/>
      <c r="AR90" s="43"/>
      <c r="AS90" s="42"/>
      <c r="AT90" s="42"/>
    </row>
    <row r="91" spans="1:46" ht="12.9" customHeight="1" x14ac:dyDescent="0.25">
      <c r="A91" s="28" t="s">
        <v>204</v>
      </c>
      <c r="B91" s="29" t="s">
        <v>205</v>
      </c>
      <c r="C91" s="30" t="s">
        <v>113</v>
      </c>
      <c r="D91" s="40">
        <v>126140</v>
      </c>
      <c r="E91" s="26">
        <v>63000</v>
      </c>
      <c r="F91" s="26">
        <f t="shared" si="2"/>
        <v>189140</v>
      </c>
      <c r="G91" s="40">
        <v>129448</v>
      </c>
      <c r="H91" s="26">
        <v>62656</v>
      </c>
      <c r="I91" s="27">
        <f t="shared" si="3"/>
        <v>192104</v>
      </c>
      <c r="J91" s="40">
        <v>164399</v>
      </c>
      <c r="K91" s="26">
        <v>74529</v>
      </c>
      <c r="L91" s="27">
        <v>238928</v>
      </c>
      <c r="M91" s="26">
        <v>141233</v>
      </c>
      <c r="N91" s="26">
        <v>56804</v>
      </c>
      <c r="O91" s="27">
        <v>198037</v>
      </c>
      <c r="P91" s="26">
        <v>140277</v>
      </c>
      <c r="Q91" s="26">
        <v>51482</v>
      </c>
      <c r="R91" s="27">
        <v>191759</v>
      </c>
      <c r="S91" s="26">
        <v>131316</v>
      </c>
      <c r="T91" s="26">
        <v>68397</v>
      </c>
      <c r="U91" s="27">
        <v>199713</v>
      </c>
      <c r="V91" s="26">
        <v>127398</v>
      </c>
      <c r="W91" s="26">
        <v>55064</v>
      </c>
      <c r="X91" s="31">
        <v>182462</v>
      </c>
      <c r="Y91" s="16">
        <v>128924</v>
      </c>
      <c r="Z91" s="16">
        <v>58720</v>
      </c>
      <c r="AA91" s="31">
        <v>187644</v>
      </c>
      <c r="AB91" s="32">
        <v>125666</v>
      </c>
      <c r="AC91" s="16">
        <v>51221</v>
      </c>
      <c r="AD91" s="31">
        <v>176887</v>
      </c>
      <c r="AE91" s="16">
        <v>128689</v>
      </c>
      <c r="AF91" s="16">
        <v>58526</v>
      </c>
      <c r="AG91" s="31">
        <v>187215</v>
      </c>
      <c r="AH91" s="16">
        <v>124719</v>
      </c>
      <c r="AI91" s="16">
        <v>58512</v>
      </c>
      <c r="AJ91" s="31">
        <v>183231</v>
      </c>
      <c r="AK91" s="16">
        <v>126244</v>
      </c>
      <c r="AL91" s="16">
        <v>49559</v>
      </c>
      <c r="AM91" s="31">
        <v>175803</v>
      </c>
      <c r="AN91" s="16">
        <v>128199</v>
      </c>
      <c r="AO91" s="16">
        <v>50265</v>
      </c>
      <c r="AP91" s="31">
        <v>178464</v>
      </c>
      <c r="AQ91" s="42"/>
      <c r="AR91" s="43"/>
      <c r="AS91" s="42"/>
      <c r="AT91" s="42"/>
    </row>
    <row r="92" spans="1:46" ht="12.9" customHeight="1" x14ac:dyDescent="0.25">
      <c r="A92" s="28" t="s">
        <v>206</v>
      </c>
      <c r="B92" s="29" t="s">
        <v>207</v>
      </c>
      <c r="C92" s="30" t="s">
        <v>20</v>
      </c>
      <c r="D92" s="40">
        <v>110958</v>
      </c>
      <c r="E92" s="26">
        <v>133338</v>
      </c>
      <c r="F92" s="26">
        <f t="shared" si="2"/>
        <v>244296</v>
      </c>
      <c r="G92" s="40">
        <v>112710</v>
      </c>
      <c r="H92" s="26">
        <v>143711</v>
      </c>
      <c r="I92" s="27">
        <f t="shared" si="3"/>
        <v>256421</v>
      </c>
      <c r="J92" s="40">
        <v>118605</v>
      </c>
      <c r="K92" s="26">
        <v>144348</v>
      </c>
      <c r="L92" s="27">
        <v>262953</v>
      </c>
      <c r="M92" s="26">
        <v>123063</v>
      </c>
      <c r="N92" s="26">
        <v>171493</v>
      </c>
      <c r="O92" s="27">
        <v>294556</v>
      </c>
      <c r="P92" s="26">
        <v>130994</v>
      </c>
      <c r="Q92" s="26">
        <v>165133</v>
      </c>
      <c r="R92" s="27">
        <v>296127</v>
      </c>
      <c r="S92" s="26">
        <v>114437</v>
      </c>
      <c r="T92" s="26">
        <v>192589</v>
      </c>
      <c r="U92" s="27">
        <v>307026</v>
      </c>
      <c r="V92" s="26">
        <v>111771</v>
      </c>
      <c r="W92" s="26">
        <v>191056</v>
      </c>
      <c r="X92" s="31">
        <v>302827</v>
      </c>
      <c r="Y92" s="16">
        <v>113707</v>
      </c>
      <c r="Z92" s="16">
        <v>172997</v>
      </c>
      <c r="AA92" s="31">
        <v>286704</v>
      </c>
      <c r="AB92" s="32">
        <v>115123</v>
      </c>
      <c r="AC92" s="16">
        <v>173961</v>
      </c>
      <c r="AD92" s="31">
        <v>289084</v>
      </c>
      <c r="AE92" s="16">
        <v>112717</v>
      </c>
      <c r="AF92" s="16">
        <v>159615</v>
      </c>
      <c r="AG92" s="31">
        <v>272332</v>
      </c>
      <c r="AH92" s="16">
        <v>112745</v>
      </c>
      <c r="AI92" s="16">
        <v>158109</v>
      </c>
      <c r="AJ92" s="31">
        <v>270854</v>
      </c>
      <c r="AK92" s="16">
        <v>111811</v>
      </c>
      <c r="AL92" s="16">
        <v>139019</v>
      </c>
      <c r="AM92" s="31">
        <v>250830</v>
      </c>
      <c r="AN92" s="16">
        <v>116265</v>
      </c>
      <c r="AO92" s="16">
        <v>159543</v>
      </c>
      <c r="AP92" s="31">
        <v>275808</v>
      </c>
      <c r="AQ92" s="42"/>
      <c r="AR92" s="43"/>
      <c r="AS92" s="42"/>
      <c r="AT92" s="42"/>
    </row>
    <row r="93" spans="1:46" ht="12.9" customHeight="1" x14ac:dyDescent="0.25">
      <c r="A93" s="28" t="s">
        <v>208</v>
      </c>
      <c r="B93" s="29" t="s">
        <v>209</v>
      </c>
      <c r="C93" s="30" t="s">
        <v>53</v>
      </c>
      <c r="D93" s="40">
        <v>141494</v>
      </c>
      <c r="E93" s="26">
        <v>75390</v>
      </c>
      <c r="F93" s="26">
        <f t="shared" si="2"/>
        <v>216884</v>
      </c>
      <c r="G93" s="40">
        <v>143810</v>
      </c>
      <c r="H93" s="26">
        <v>76381</v>
      </c>
      <c r="I93" s="27">
        <f t="shared" si="3"/>
        <v>220191</v>
      </c>
      <c r="J93" s="40">
        <v>146165</v>
      </c>
      <c r="K93" s="26">
        <v>85510</v>
      </c>
      <c r="L93" s="27">
        <v>231675</v>
      </c>
      <c r="M93" s="26">
        <v>149327</v>
      </c>
      <c r="N93" s="26">
        <v>71317</v>
      </c>
      <c r="O93" s="27">
        <v>220644</v>
      </c>
      <c r="P93" s="26">
        <v>143900</v>
      </c>
      <c r="Q93" s="26">
        <v>65660</v>
      </c>
      <c r="R93" s="27">
        <v>209560</v>
      </c>
      <c r="S93" s="26">
        <v>147262</v>
      </c>
      <c r="T93" s="26">
        <v>71658</v>
      </c>
      <c r="U93" s="27">
        <v>218920</v>
      </c>
      <c r="V93" s="26">
        <v>136893</v>
      </c>
      <c r="W93" s="26">
        <v>79673</v>
      </c>
      <c r="X93" s="31">
        <v>216566</v>
      </c>
      <c r="Y93" s="16">
        <v>142615</v>
      </c>
      <c r="Z93" s="16">
        <v>85414</v>
      </c>
      <c r="AA93" s="31">
        <v>228029</v>
      </c>
      <c r="AB93" s="32">
        <v>143347</v>
      </c>
      <c r="AC93" s="16">
        <v>80223</v>
      </c>
      <c r="AD93" s="31">
        <v>223570</v>
      </c>
      <c r="AE93" s="16">
        <v>139755</v>
      </c>
      <c r="AF93" s="16">
        <v>83291</v>
      </c>
      <c r="AG93" s="31">
        <v>223046</v>
      </c>
      <c r="AH93" s="16">
        <v>139465</v>
      </c>
      <c r="AI93" s="16">
        <v>80669</v>
      </c>
      <c r="AJ93" s="31">
        <v>220134</v>
      </c>
      <c r="AK93" s="16">
        <v>156147</v>
      </c>
      <c r="AL93" s="16">
        <v>83656</v>
      </c>
      <c r="AM93" s="31">
        <v>239803</v>
      </c>
      <c r="AN93" s="16">
        <v>156147</v>
      </c>
      <c r="AO93" s="16">
        <v>70793</v>
      </c>
      <c r="AP93" s="31">
        <v>226940</v>
      </c>
      <c r="AQ93" s="42"/>
      <c r="AR93" s="43"/>
      <c r="AS93" s="42"/>
      <c r="AT93" s="42"/>
    </row>
    <row r="94" spans="1:46" ht="12.9" customHeight="1" x14ac:dyDescent="0.25">
      <c r="A94" s="28" t="s">
        <v>210</v>
      </c>
      <c r="B94" s="29" t="s">
        <v>211</v>
      </c>
      <c r="C94" s="30" t="s">
        <v>212</v>
      </c>
      <c r="D94" s="40">
        <v>880123</v>
      </c>
      <c r="E94" s="26">
        <v>864375</v>
      </c>
      <c r="F94" s="26">
        <f t="shared" si="2"/>
        <v>1744498</v>
      </c>
      <c r="G94" s="40">
        <v>891278</v>
      </c>
      <c r="H94" s="26">
        <v>869345</v>
      </c>
      <c r="I94" s="27">
        <f t="shared" si="3"/>
        <v>1760623</v>
      </c>
      <c r="J94" s="40">
        <v>880692</v>
      </c>
      <c r="K94" s="26">
        <v>975209</v>
      </c>
      <c r="L94" s="27">
        <v>1855901</v>
      </c>
      <c r="M94" s="26">
        <v>886392</v>
      </c>
      <c r="N94" s="26">
        <v>834262</v>
      </c>
      <c r="O94" s="27">
        <v>1720654</v>
      </c>
      <c r="P94" s="26">
        <v>907998</v>
      </c>
      <c r="Q94" s="26">
        <v>869577</v>
      </c>
      <c r="R94" s="27">
        <v>1777575</v>
      </c>
      <c r="S94" s="26">
        <v>863908</v>
      </c>
      <c r="T94" s="26">
        <v>826306</v>
      </c>
      <c r="U94" s="27">
        <v>1690214</v>
      </c>
      <c r="V94" s="26">
        <v>834578</v>
      </c>
      <c r="W94" s="26">
        <v>853024</v>
      </c>
      <c r="X94" s="31">
        <v>1687602</v>
      </c>
      <c r="Y94" s="16">
        <v>849449</v>
      </c>
      <c r="Z94" s="16">
        <v>684154</v>
      </c>
      <c r="AA94" s="31">
        <v>1533603</v>
      </c>
      <c r="AB94" s="32">
        <v>821769</v>
      </c>
      <c r="AC94" s="16">
        <v>507185</v>
      </c>
      <c r="AD94" s="31">
        <v>1328954</v>
      </c>
      <c r="AE94" s="16">
        <v>817788</v>
      </c>
      <c r="AF94" s="16">
        <v>521303</v>
      </c>
      <c r="AG94" s="31">
        <v>1339091</v>
      </c>
      <c r="AH94" s="16">
        <v>794482</v>
      </c>
      <c r="AI94" s="16">
        <v>545820</v>
      </c>
      <c r="AJ94" s="31">
        <v>1340302</v>
      </c>
      <c r="AK94" s="16">
        <v>799867</v>
      </c>
      <c r="AL94" s="16">
        <v>515713</v>
      </c>
      <c r="AM94" s="31">
        <v>1315580</v>
      </c>
      <c r="AN94" s="16">
        <v>915694.5</v>
      </c>
      <c r="AO94" s="16">
        <v>547230.5</v>
      </c>
      <c r="AP94" s="31">
        <v>1462925</v>
      </c>
      <c r="AQ94" s="42"/>
      <c r="AR94" s="43"/>
      <c r="AS94" s="42"/>
      <c r="AT94" s="42"/>
    </row>
    <row r="95" spans="1:46" ht="12.9" customHeight="1" x14ac:dyDescent="0.25">
      <c r="A95" s="28" t="s">
        <v>213</v>
      </c>
      <c r="B95" s="29" t="s">
        <v>214</v>
      </c>
      <c r="C95" s="30" t="s">
        <v>215</v>
      </c>
      <c r="D95" s="40">
        <v>30302</v>
      </c>
      <c r="E95" s="26">
        <v>10073</v>
      </c>
      <c r="F95" s="26">
        <f t="shared" si="2"/>
        <v>40375</v>
      </c>
      <c r="G95" s="40">
        <v>30951</v>
      </c>
      <c r="H95" s="26">
        <v>9430</v>
      </c>
      <c r="I95" s="27">
        <f t="shared" si="3"/>
        <v>40381</v>
      </c>
      <c r="J95" s="40">
        <v>34228</v>
      </c>
      <c r="K95" s="26">
        <v>14040</v>
      </c>
      <c r="L95" s="27">
        <v>48268</v>
      </c>
      <c r="M95" s="26">
        <v>25951</v>
      </c>
      <c r="N95" s="26">
        <v>11805</v>
      </c>
      <c r="O95" s="27">
        <v>37756</v>
      </c>
      <c r="P95" s="26">
        <v>22079</v>
      </c>
      <c r="Q95" s="26">
        <v>9339</v>
      </c>
      <c r="R95" s="27">
        <v>31418</v>
      </c>
      <c r="S95" s="26">
        <v>26779</v>
      </c>
      <c r="T95" s="26">
        <v>9807</v>
      </c>
      <c r="U95" s="27">
        <v>36586</v>
      </c>
      <c r="V95" s="26">
        <v>26033</v>
      </c>
      <c r="W95" s="26">
        <v>10329</v>
      </c>
      <c r="X95" s="31">
        <v>36362</v>
      </c>
      <c r="Y95" s="16">
        <v>24709</v>
      </c>
      <c r="Z95" s="16">
        <v>9721</v>
      </c>
      <c r="AA95" s="31">
        <v>34430</v>
      </c>
      <c r="AB95" s="32">
        <v>24687</v>
      </c>
      <c r="AC95" s="16">
        <v>8615</v>
      </c>
      <c r="AD95" s="31">
        <v>33302</v>
      </c>
      <c r="AE95" s="16">
        <v>24627</v>
      </c>
      <c r="AF95" s="16">
        <v>6786</v>
      </c>
      <c r="AG95" s="31">
        <v>31413</v>
      </c>
      <c r="AH95" s="16">
        <v>19612</v>
      </c>
      <c r="AI95" s="16">
        <v>4711</v>
      </c>
      <c r="AJ95" s="31">
        <v>24323</v>
      </c>
      <c r="AK95" s="16">
        <v>29324</v>
      </c>
      <c r="AL95" s="16">
        <v>7971</v>
      </c>
      <c r="AM95" s="31">
        <v>37295</v>
      </c>
      <c r="AN95" s="16">
        <v>27564</v>
      </c>
      <c r="AO95" s="16">
        <v>5828</v>
      </c>
      <c r="AP95" s="31">
        <v>33392</v>
      </c>
      <c r="AQ95" s="42"/>
      <c r="AR95" s="43"/>
      <c r="AS95" s="42"/>
      <c r="AT95" s="42"/>
    </row>
    <row r="96" spans="1:46" ht="12.9" customHeight="1" x14ac:dyDescent="0.25">
      <c r="A96" s="28" t="s">
        <v>216</v>
      </c>
      <c r="B96" s="29" t="s">
        <v>217</v>
      </c>
      <c r="C96" s="30" t="s">
        <v>218</v>
      </c>
      <c r="D96" s="40">
        <v>23589</v>
      </c>
      <c r="E96" s="26">
        <v>31039</v>
      </c>
      <c r="F96" s="26">
        <f t="shared" si="2"/>
        <v>54628</v>
      </c>
      <c r="G96" s="40">
        <v>23260</v>
      </c>
      <c r="H96" s="26">
        <v>27883</v>
      </c>
      <c r="I96" s="27">
        <f t="shared" si="3"/>
        <v>51143</v>
      </c>
      <c r="J96" s="40">
        <v>25816</v>
      </c>
      <c r="K96" s="26">
        <v>24216</v>
      </c>
      <c r="L96" s="27">
        <v>50032</v>
      </c>
      <c r="M96" s="26">
        <v>26105</v>
      </c>
      <c r="N96" s="26">
        <v>22925</v>
      </c>
      <c r="O96" s="27">
        <v>49030</v>
      </c>
      <c r="P96" s="26">
        <v>24390</v>
      </c>
      <c r="Q96" s="26">
        <v>22377</v>
      </c>
      <c r="R96" s="27">
        <v>46767</v>
      </c>
      <c r="S96" s="26">
        <v>24370</v>
      </c>
      <c r="T96" s="26">
        <v>26745</v>
      </c>
      <c r="U96" s="27">
        <v>51115</v>
      </c>
      <c r="V96" s="26">
        <v>23189</v>
      </c>
      <c r="W96" s="26">
        <v>25839</v>
      </c>
      <c r="X96" s="31">
        <v>49028</v>
      </c>
      <c r="Y96" s="16">
        <v>24669</v>
      </c>
      <c r="Z96" s="16">
        <v>27568</v>
      </c>
      <c r="AA96" s="31">
        <v>52237</v>
      </c>
      <c r="AB96" s="32">
        <v>24936</v>
      </c>
      <c r="AC96" s="16">
        <v>10733</v>
      </c>
      <c r="AD96" s="31">
        <v>35669</v>
      </c>
      <c r="AE96" s="16">
        <v>23193</v>
      </c>
      <c r="AF96" s="16">
        <v>25675</v>
      </c>
      <c r="AG96" s="31">
        <v>48868</v>
      </c>
      <c r="AH96" s="16">
        <v>24238</v>
      </c>
      <c r="AI96" s="16">
        <v>22309</v>
      </c>
      <c r="AJ96" s="31">
        <v>46547</v>
      </c>
      <c r="AK96" s="16">
        <v>28952</v>
      </c>
      <c r="AL96" s="16">
        <v>20575</v>
      </c>
      <c r="AM96" s="31">
        <v>49527</v>
      </c>
      <c r="AN96" s="16">
        <v>28952</v>
      </c>
      <c r="AO96" s="16">
        <v>20312</v>
      </c>
      <c r="AP96" s="31">
        <v>49264</v>
      </c>
      <c r="AQ96" s="42"/>
      <c r="AR96" s="43"/>
      <c r="AS96" s="42"/>
      <c r="AT96" s="42"/>
    </row>
    <row r="97" spans="1:46" ht="12.9" customHeight="1" x14ac:dyDescent="0.25">
      <c r="A97" s="28" t="s">
        <v>219</v>
      </c>
      <c r="B97" s="29" t="s">
        <v>220</v>
      </c>
      <c r="C97" s="30" t="s">
        <v>197</v>
      </c>
      <c r="D97" s="40">
        <v>1217980</v>
      </c>
      <c r="E97" s="26">
        <v>811042</v>
      </c>
      <c r="F97" s="26">
        <f t="shared" si="2"/>
        <v>2029022</v>
      </c>
      <c r="G97" s="40">
        <v>1259115</v>
      </c>
      <c r="H97" s="26">
        <v>943634</v>
      </c>
      <c r="I97" s="27">
        <f t="shared" si="3"/>
        <v>2202749</v>
      </c>
      <c r="J97" s="40">
        <v>1292606</v>
      </c>
      <c r="K97" s="26">
        <v>1035380</v>
      </c>
      <c r="L97" s="27">
        <v>2327986</v>
      </c>
      <c r="M97" s="26">
        <v>1346831</v>
      </c>
      <c r="N97" s="26">
        <v>967459</v>
      </c>
      <c r="O97" s="27">
        <v>2314290</v>
      </c>
      <c r="P97" s="26">
        <v>1366419</v>
      </c>
      <c r="Q97" s="26">
        <v>894354</v>
      </c>
      <c r="R97" s="27">
        <v>2260773</v>
      </c>
      <c r="S97" s="26">
        <v>1275921</v>
      </c>
      <c r="T97" s="26">
        <v>1043274</v>
      </c>
      <c r="U97" s="27">
        <v>2319195</v>
      </c>
      <c r="V97" s="26">
        <v>1243463</v>
      </c>
      <c r="W97" s="26">
        <v>1072226</v>
      </c>
      <c r="X97" s="31">
        <v>2315689</v>
      </c>
      <c r="Y97" s="16">
        <v>1263318</v>
      </c>
      <c r="Z97" s="16">
        <v>1136461</v>
      </c>
      <c r="AA97" s="31">
        <v>2399779</v>
      </c>
      <c r="AB97" s="32">
        <v>1245918</v>
      </c>
      <c r="AC97" s="16">
        <v>1108501</v>
      </c>
      <c r="AD97" s="31">
        <v>2354419</v>
      </c>
      <c r="AE97" s="16">
        <v>1233009</v>
      </c>
      <c r="AF97" s="16">
        <v>1102823</v>
      </c>
      <c r="AG97" s="31">
        <v>2335832</v>
      </c>
      <c r="AH97" s="16">
        <v>1218498</v>
      </c>
      <c r="AI97" s="16">
        <v>1082058</v>
      </c>
      <c r="AJ97" s="31">
        <v>2300556</v>
      </c>
      <c r="AK97" s="16">
        <v>1217097</v>
      </c>
      <c r="AL97" s="16">
        <v>1081999</v>
      </c>
      <c r="AM97" s="31">
        <v>2299096</v>
      </c>
      <c r="AN97" s="16">
        <v>1258970</v>
      </c>
      <c r="AO97" s="16">
        <v>1096687</v>
      </c>
      <c r="AP97" s="31">
        <v>2355657</v>
      </c>
      <c r="AQ97" s="42"/>
      <c r="AR97" s="43"/>
      <c r="AS97" s="42"/>
      <c r="AT97" s="42"/>
    </row>
    <row r="98" spans="1:46" ht="12.9" customHeight="1" x14ac:dyDescent="0.25">
      <c r="A98" s="28" t="s">
        <v>221</v>
      </c>
      <c r="B98" s="29" t="s">
        <v>222</v>
      </c>
      <c r="C98" s="30" t="s">
        <v>194</v>
      </c>
      <c r="D98" s="40">
        <v>61565441</v>
      </c>
      <c r="E98" s="26">
        <v>29791382</v>
      </c>
      <c r="F98" s="26">
        <f t="shared" si="2"/>
        <v>91356823</v>
      </c>
      <c r="G98" s="40">
        <v>63401101</v>
      </c>
      <c r="H98" s="26">
        <v>33501582</v>
      </c>
      <c r="I98" s="27">
        <f t="shared" si="3"/>
        <v>96902683</v>
      </c>
      <c r="J98" s="40">
        <v>62993373</v>
      </c>
      <c r="K98" s="26">
        <v>34302967</v>
      </c>
      <c r="L98" s="27">
        <v>97296340</v>
      </c>
      <c r="M98" s="26">
        <v>64307809</v>
      </c>
      <c r="N98" s="26">
        <v>27880898</v>
      </c>
      <c r="O98" s="27">
        <v>92188707</v>
      </c>
      <c r="P98" s="26">
        <v>67641475</v>
      </c>
      <c r="Q98" s="26">
        <v>25998875</v>
      </c>
      <c r="R98" s="27">
        <v>93640350</v>
      </c>
      <c r="S98" s="26">
        <v>64515728</v>
      </c>
      <c r="T98" s="26">
        <v>34203183</v>
      </c>
      <c r="U98" s="27">
        <v>98718911</v>
      </c>
      <c r="V98" s="26">
        <v>64380221</v>
      </c>
      <c r="W98" s="26">
        <v>35242673</v>
      </c>
      <c r="X98" s="31">
        <v>99622894</v>
      </c>
      <c r="Y98" s="16">
        <v>63837294</v>
      </c>
      <c r="Z98" s="16">
        <v>35770224</v>
      </c>
      <c r="AA98" s="31">
        <v>99607518</v>
      </c>
      <c r="AB98" s="32">
        <v>62594195</v>
      </c>
      <c r="AC98" s="16">
        <v>35178135</v>
      </c>
      <c r="AD98" s="31">
        <v>97772330</v>
      </c>
      <c r="AE98" s="16">
        <v>62004028</v>
      </c>
      <c r="AF98" s="16">
        <v>34108311</v>
      </c>
      <c r="AG98" s="31">
        <v>96112339</v>
      </c>
      <c r="AH98" s="16">
        <v>61261663</v>
      </c>
      <c r="AI98" s="16">
        <v>32689233</v>
      </c>
      <c r="AJ98" s="31">
        <v>93950896</v>
      </c>
      <c r="AK98" s="16">
        <v>62222796</v>
      </c>
      <c r="AL98" s="16">
        <v>32790548</v>
      </c>
      <c r="AM98" s="31">
        <v>95013344</v>
      </c>
      <c r="AN98" s="16">
        <v>64036865</v>
      </c>
      <c r="AO98" s="16">
        <v>31603208</v>
      </c>
      <c r="AP98" s="31">
        <v>95640073</v>
      </c>
      <c r="AQ98" s="42"/>
      <c r="AR98" s="43"/>
      <c r="AS98" s="42"/>
      <c r="AT98" s="42"/>
    </row>
    <row r="99" spans="1:46" ht="12.9" customHeight="1" x14ac:dyDescent="0.25">
      <c r="A99" s="28" t="s">
        <v>223</v>
      </c>
      <c r="B99" s="29" t="s">
        <v>224</v>
      </c>
      <c r="C99" s="30" t="s">
        <v>14</v>
      </c>
      <c r="D99" s="40">
        <v>4950</v>
      </c>
      <c r="E99" s="26">
        <v>67674</v>
      </c>
      <c r="F99" s="26">
        <f t="shared" si="2"/>
        <v>72624</v>
      </c>
      <c r="G99" s="40">
        <v>4750</v>
      </c>
      <c r="H99" s="26">
        <v>50825</v>
      </c>
      <c r="I99" s="27">
        <f t="shared" si="3"/>
        <v>55575</v>
      </c>
      <c r="J99" s="40">
        <v>6092</v>
      </c>
      <c r="K99" s="26">
        <v>79969</v>
      </c>
      <c r="L99" s="27">
        <v>86061</v>
      </c>
      <c r="M99" s="26">
        <v>5942</v>
      </c>
      <c r="N99" s="26">
        <v>63957</v>
      </c>
      <c r="O99" s="27">
        <v>69899</v>
      </c>
      <c r="P99" s="26">
        <v>6299</v>
      </c>
      <c r="Q99" s="26">
        <v>60793</v>
      </c>
      <c r="R99" s="27">
        <v>67092</v>
      </c>
      <c r="S99" s="26">
        <v>5422</v>
      </c>
      <c r="T99" s="26">
        <v>59423</v>
      </c>
      <c r="U99" s="27">
        <v>64845</v>
      </c>
      <c r="V99" s="26">
        <v>5663</v>
      </c>
      <c r="W99" s="26">
        <v>74447</v>
      </c>
      <c r="X99" s="31">
        <v>80110</v>
      </c>
      <c r="Y99" s="16">
        <v>6242</v>
      </c>
      <c r="Z99" s="16">
        <v>72163</v>
      </c>
      <c r="AA99" s="31">
        <v>78405</v>
      </c>
      <c r="AB99" s="32">
        <v>5520</v>
      </c>
      <c r="AC99" s="16">
        <v>78965</v>
      </c>
      <c r="AD99" s="31">
        <v>84485</v>
      </c>
      <c r="AE99" s="16">
        <v>5612</v>
      </c>
      <c r="AF99" s="16">
        <v>81891</v>
      </c>
      <c r="AG99" s="31">
        <v>87503</v>
      </c>
      <c r="AH99" s="16">
        <v>5305</v>
      </c>
      <c r="AI99" s="16">
        <v>65065</v>
      </c>
      <c r="AJ99" s="31">
        <v>70370</v>
      </c>
      <c r="AK99" s="16">
        <v>6354</v>
      </c>
      <c r="AL99" s="16">
        <v>66095</v>
      </c>
      <c r="AM99" s="31">
        <v>72449</v>
      </c>
      <c r="AN99" s="16">
        <v>7519</v>
      </c>
      <c r="AO99" s="16">
        <v>55379</v>
      </c>
      <c r="AP99" s="31">
        <v>62898</v>
      </c>
      <c r="AQ99" s="42"/>
      <c r="AR99" s="43"/>
      <c r="AS99" s="42"/>
      <c r="AT99" s="42"/>
    </row>
    <row r="100" spans="1:46" ht="12.9" customHeight="1" x14ac:dyDescent="0.25">
      <c r="A100" s="28" t="s">
        <v>225</v>
      </c>
      <c r="B100" s="29" t="s">
        <v>226</v>
      </c>
      <c r="C100" s="30" t="s">
        <v>23</v>
      </c>
      <c r="D100" s="40">
        <v>38283</v>
      </c>
      <c r="E100" s="26">
        <v>11738</v>
      </c>
      <c r="F100" s="26">
        <f t="shared" si="2"/>
        <v>50021</v>
      </c>
      <c r="G100" s="40">
        <v>38869</v>
      </c>
      <c r="H100" s="26">
        <v>10508</v>
      </c>
      <c r="I100" s="27">
        <f t="shared" si="3"/>
        <v>49377</v>
      </c>
      <c r="J100" s="40">
        <v>41645</v>
      </c>
      <c r="K100" s="26">
        <v>16558</v>
      </c>
      <c r="L100" s="27">
        <v>58203</v>
      </c>
      <c r="M100" s="26">
        <v>39908</v>
      </c>
      <c r="N100" s="26">
        <v>18556</v>
      </c>
      <c r="O100" s="27">
        <v>58464</v>
      </c>
      <c r="P100" s="26">
        <v>42392</v>
      </c>
      <c r="Q100" s="26">
        <v>7495</v>
      </c>
      <c r="R100" s="27">
        <v>49887</v>
      </c>
      <c r="S100" s="26">
        <v>40455</v>
      </c>
      <c r="T100" s="26">
        <v>7598</v>
      </c>
      <c r="U100" s="27">
        <v>48053</v>
      </c>
      <c r="V100" s="26">
        <v>39640</v>
      </c>
      <c r="W100" s="26">
        <v>8571</v>
      </c>
      <c r="X100" s="31">
        <v>48211</v>
      </c>
      <c r="Y100" s="16">
        <v>42222</v>
      </c>
      <c r="Z100" s="16">
        <v>9225</v>
      </c>
      <c r="AA100" s="31">
        <v>51447</v>
      </c>
      <c r="AB100" s="32">
        <v>42509</v>
      </c>
      <c r="AC100" s="16">
        <v>32631</v>
      </c>
      <c r="AD100" s="31">
        <v>75140</v>
      </c>
      <c r="AE100" s="16">
        <v>40213</v>
      </c>
      <c r="AF100" s="16">
        <v>43666</v>
      </c>
      <c r="AG100" s="31">
        <v>83879</v>
      </c>
      <c r="AH100" s="16">
        <v>46705</v>
      </c>
      <c r="AI100" s="16">
        <v>20903</v>
      </c>
      <c r="AJ100" s="31">
        <v>67608</v>
      </c>
      <c r="AK100" s="16">
        <v>44287</v>
      </c>
      <c r="AL100" s="16">
        <v>20845</v>
      </c>
      <c r="AM100" s="31">
        <v>65132</v>
      </c>
      <c r="AN100" s="16">
        <v>46815</v>
      </c>
      <c r="AO100" s="16">
        <v>27616</v>
      </c>
      <c r="AP100" s="31">
        <v>74431</v>
      </c>
      <c r="AQ100" s="42"/>
      <c r="AR100" s="43"/>
      <c r="AS100" s="42"/>
      <c r="AT100" s="42"/>
    </row>
    <row r="101" spans="1:46" ht="12.9" customHeight="1" x14ac:dyDescent="0.25">
      <c r="A101" s="28" t="s">
        <v>227</v>
      </c>
      <c r="B101" s="29" t="s">
        <v>228</v>
      </c>
      <c r="C101" s="30" t="s">
        <v>39</v>
      </c>
      <c r="D101" s="40">
        <v>6680</v>
      </c>
      <c r="E101" s="26">
        <v>159368</v>
      </c>
      <c r="F101" s="26">
        <f t="shared" si="2"/>
        <v>166048</v>
      </c>
      <c r="G101" s="40">
        <v>6611</v>
      </c>
      <c r="H101" s="26">
        <v>94315</v>
      </c>
      <c r="I101" s="27">
        <f t="shared" si="3"/>
        <v>100926</v>
      </c>
      <c r="J101" s="40">
        <v>8499</v>
      </c>
      <c r="K101" s="26">
        <v>95251</v>
      </c>
      <c r="L101" s="27">
        <v>103750</v>
      </c>
      <c r="M101" s="26">
        <v>7264</v>
      </c>
      <c r="N101" s="26">
        <v>13077</v>
      </c>
      <c r="O101" s="27">
        <v>20341</v>
      </c>
      <c r="P101" s="26">
        <v>6736</v>
      </c>
      <c r="Q101" s="26">
        <v>13569</v>
      </c>
      <c r="R101" s="27">
        <v>20305</v>
      </c>
      <c r="S101" s="26">
        <v>6416</v>
      </c>
      <c r="T101" s="26">
        <v>101938</v>
      </c>
      <c r="U101" s="27">
        <v>108354</v>
      </c>
      <c r="V101" s="26">
        <v>6961</v>
      </c>
      <c r="W101" s="26">
        <v>98777</v>
      </c>
      <c r="X101" s="31">
        <v>105738</v>
      </c>
      <c r="Y101" s="16">
        <v>7483</v>
      </c>
      <c r="Z101" s="16">
        <v>66140</v>
      </c>
      <c r="AA101" s="31">
        <v>73623</v>
      </c>
      <c r="AB101" s="32">
        <v>6595</v>
      </c>
      <c r="AC101" s="16">
        <v>25954</v>
      </c>
      <c r="AD101" s="31">
        <v>32549</v>
      </c>
      <c r="AE101" s="16">
        <v>6595</v>
      </c>
      <c r="AF101" s="16">
        <v>66368</v>
      </c>
      <c r="AG101" s="31">
        <v>72963</v>
      </c>
      <c r="AH101" s="16">
        <v>6948</v>
      </c>
      <c r="AI101" s="16">
        <v>31468</v>
      </c>
      <c r="AJ101" s="31">
        <v>38416</v>
      </c>
      <c r="AK101" s="16">
        <v>8213</v>
      </c>
      <c r="AL101" s="16">
        <v>43831</v>
      </c>
      <c r="AM101" s="31">
        <v>52044</v>
      </c>
      <c r="AN101" s="16">
        <v>8613</v>
      </c>
      <c r="AO101" s="16">
        <v>8094</v>
      </c>
      <c r="AP101" s="31">
        <v>16707</v>
      </c>
      <c r="AQ101" s="42"/>
      <c r="AR101" s="43"/>
      <c r="AS101" s="42"/>
      <c r="AT101" s="42"/>
    </row>
    <row r="102" spans="1:46" ht="12.9" customHeight="1" x14ac:dyDescent="0.25">
      <c r="A102" s="28" t="s">
        <v>229</v>
      </c>
      <c r="B102" s="29" t="s">
        <v>230</v>
      </c>
      <c r="C102" s="30" t="s">
        <v>163</v>
      </c>
      <c r="D102" s="40">
        <v>53032</v>
      </c>
      <c r="E102" s="26">
        <v>32453</v>
      </c>
      <c r="F102" s="26">
        <f t="shared" si="2"/>
        <v>85485</v>
      </c>
      <c r="G102" s="40">
        <v>51852</v>
      </c>
      <c r="H102" s="26">
        <v>32366</v>
      </c>
      <c r="I102" s="27">
        <f t="shared" si="3"/>
        <v>84218</v>
      </c>
      <c r="J102" s="40">
        <v>53759</v>
      </c>
      <c r="K102" s="26">
        <v>38624</v>
      </c>
      <c r="L102" s="27">
        <v>92383</v>
      </c>
      <c r="M102" s="26">
        <v>54214</v>
      </c>
      <c r="N102" s="26">
        <v>20412</v>
      </c>
      <c r="O102" s="27">
        <v>74626</v>
      </c>
      <c r="P102" s="26">
        <v>59139</v>
      </c>
      <c r="Q102" s="26">
        <v>19679</v>
      </c>
      <c r="R102" s="27">
        <v>78818</v>
      </c>
      <c r="S102" s="26">
        <v>53767</v>
      </c>
      <c r="T102" s="26">
        <v>33483</v>
      </c>
      <c r="U102" s="27">
        <v>87250</v>
      </c>
      <c r="V102" s="26">
        <v>64818</v>
      </c>
      <c r="W102" s="26">
        <v>37963</v>
      </c>
      <c r="X102" s="31">
        <v>102781</v>
      </c>
      <c r="Y102" s="16">
        <v>60282.5</v>
      </c>
      <c r="Z102" s="16">
        <v>57813</v>
      </c>
      <c r="AA102" s="31">
        <v>118095.5</v>
      </c>
      <c r="AB102" s="32">
        <v>56242</v>
      </c>
      <c r="AC102" s="16">
        <v>48696</v>
      </c>
      <c r="AD102" s="31">
        <v>104938</v>
      </c>
      <c r="AE102" s="16">
        <v>55169</v>
      </c>
      <c r="AF102" s="16">
        <v>43932</v>
      </c>
      <c r="AG102" s="31">
        <v>99101</v>
      </c>
      <c r="AH102" s="16">
        <v>55269</v>
      </c>
      <c r="AI102" s="16">
        <v>35095</v>
      </c>
      <c r="AJ102" s="31">
        <v>90364</v>
      </c>
      <c r="AK102" s="16">
        <v>54172</v>
      </c>
      <c r="AL102" s="16">
        <v>49705</v>
      </c>
      <c r="AM102" s="31">
        <v>103877</v>
      </c>
      <c r="AN102" s="16">
        <v>54669</v>
      </c>
      <c r="AO102" s="16">
        <v>36051</v>
      </c>
      <c r="AP102" s="31">
        <v>90720</v>
      </c>
      <c r="AQ102" s="42"/>
      <c r="AR102" s="43"/>
      <c r="AS102" s="42"/>
      <c r="AT102" s="42"/>
    </row>
    <row r="103" spans="1:46" ht="12.9" customHeight="1" x14ac:dyDescent="0.25">
      <c r="A103" s="28" t="s">
        <v>231</v>
      </c>
      <c r="B103" s="29" t="s">
        <v>232</v>
      </c>
      <c r="C103" s="30" t="s">
        <v>166</v>
      </c>
      <c r="D103" s="40">
        <v>6660</v>
      </c>
      <c r="E103" s="26">
        <v>432</v>
      </c>
      <c r="F103" s="26">
        <f t="shared" si="2"/>
        <v>7092</v>
      </c>
      <c r="G103" s="40">
        <v>6660</v>
      </c>
      <c r="H103" s="26">
        <v>432</v>
      </c>
      <c r="I103" s="27">
        <f t="shared" si="3"/>
        <v>7092</v>
      </c>
      <c r="J103" s="40">
        <v>8214</v>
      </c>
      <c r="K103" s="26">
        <v>432</v>
      </c>
      <c r="L103" s="27">
        <v>8646</v>
      </c>
      <c r="M103" s="26">
        <v>8000</v>
      </c>
      <c r="N103" s="26">
        <v>432</v>
      </c>
      <c r="O103" s="27">
        <v>8432</v>
      </c>
      <c r="P103" s="26">
        <v>7700</v>
      </c>
      <c r="Q103" s="26">
        <v>360</v>
      </c>
      <c r="R103" s="27">
        <v>8060</v>
      </c>
      <c r="S103" s="26">
        <v>7700</v>
      </c>
      <c r="T103" s="26">
        <v>360</v>
      </c>
      <c r="U103" s="27">
        <v>8060</v>
      </c>
      <c r="V103" s="26">
        <v>8316</v>
      </c>
      <c r="W103" s="26">
        <v>360</v>
      </c>
      <c r="X103" s="31">
        <v>8676</v>
      </c>
      <c r="Y103" s="16">
        <v>8316</v>
      </c>
      <c r="Z103" s="16">
        <v>360</v>
      </c>
      <c r="AA103" s="31">
        <v>8676</v>
      </c>
      <c r="AB103" s="32">
        <v>8316</v>
      </c>
      <c r="AC103" s="16">
        <v>360</v>
      </c>
      <c r="AD103" s="31">
        <v>8676</v>
      </c>
      <c r="AE103" s="16">
        <v>8316</v>
      </c>
      <c r="AF103" s="16">
        <v>360</v>
      </c>
      <c r="AG103" s="31">
        <v>8676</v>
      </c>
      <c r="AH103" s="16">
        <v>7722</v>
      </c>
      <c r="AI103" s="16">
        <v>504</v>
      </c>
      <c r="AJ103" s="31">
        <v>8226</v>
      </c>
      <c r="AK103" s="16">
        <v>7722</v>
      </c>
      <c r="AL103" s="16">
        <v>504</v>
      </c>
      <c r="AM103" s="31">
        <v>8226</v>
      </c>
      <c r="AN103" s="16">
        <v>7722</v>
      </c>
      <c r="AO103" s="16">
        <v>504</v>
      </c>
      <c r="AP103" s="31">
        <v>8226</v>
      </c>
      <c r="AQ103" s="42"/>
      <c r="AR103" s="43"/>
      <c r="AS103" s="42"/>
      <c r="AT103" s="42"/>
    </row>
    <row r="104" spans="1:46" ht="12.9" customHeight="1" x14ac:dyDescent="0.25">
      <c r="A104" s="28" t="s">
        <v>233</v>
      </c>
      <c r="B104" s="29" t="s">
        <v>234</v>
      </c>
      <c r="C104" s="30" t="s">
        <v>11</v>
      </c>
      <c r="D104" s="40">
        <v>296597</v>
      </c>
      <c r="E104" s="26">
        <v>49732</v>
      </c>
      <c r="F104" s="26">
        <f t="shared" si="2"/>
        <v>346329</v>
      </c>
      <c r="G104" s="40">
        <v>334775</v>
      </c>
      <c r="H104" s="26">
        <v>55121</v>
      </c>
      <c r="I104" s="27">
        <f t="shared" si="3"/>
        <v>389896</v>
      </c>
      <c r="J104" s="40">
        <v>355403</v>
      </c>
      <c r="K104" s="26">
        <v>50995</v>
      </c>
      <c r="L104" s="27">
        <v>406398</v>
      </c>
      <c r="M104" s="26">
        <v>367884</v>
      </c>
      <c r="N104" s="26">
        <v>48646</v>
      </c>
      <c r="O104" s="27">
        <v>416530</v>
      </c>
      <c r="P104" s="26">
        <v>378689</v>
      </c>
      <c r="Q104" s="26">
        <v>41866</v>
      </c>
      <c r="R104" s="27">
        <v>420555</v>
      </c>
      <c r="S104" s="26">
        <v>362385</v>
      </c>
      <c r="T104" s="26">
        <v>57731</v>
      </c>
      <c r="U104" s="27">
        <v>420116</v>
      </c>
      <c r="V104" s="26">
        <v>331652</v>
      </c>
      <c r="W104" s="26">
        <v>52120</v>
      </c>
      <c r="X104" s="31">
        <v>383772</v>
      </c>
      <c r="Y104" s="16">
        <v>329079</v>
      </c>
      <c r="Z104" s="16">
        <v>61333</v>
      </c>
      <c r="AA104" s="31">
        <v>390412</v>
      </c>
      <c r="AB104" s="32">
        <v>317470</v>
      </c>
      <c r="AC104" s="16">
        <v>60365</v>
      </c>
      <c r="AD104" s="31">
        <v>377835</v>
      </c>
      <c r="AE104" s="16">
        <v>299924</v>
      </c>
      <c r="AF104" s="16">
        <v>54999</v>
      </c>
      <c r="AG104" s="31">
        <v>354923</v>
      </c>
      <c r="AH104" s="16">
        <v>291949</v>
      </c>
      <c r="AI104" s="16">
        <v>57097</v>
      </c>
      <c r="AJ104" s="31">
        <v>349046</v>
      </c>
      <c r="AK104" s="16">
        <v>306991</v>
      </c>
      <c r="AL104" s="16">
        <v>59100</v>
      </c>
      <c r="AM104" s="31">
        <v>366091</v>
      </c>
      <c r="AN104" s="16">
        <v>331846</v>
      </c>
      <c r="AO104" s="16">
        <v>68852</v>
      </c>
      <c r="AP104" s="31">
        <v>400698</v>
      </c>
      <c r="AQ104" s="42"/>
      <c r="AR104" s="43"/>
      <c r="AS104" s="42"/>
      <c r="AT104" s="42"/>
    </row>
    <row r="105" spans="1:46" ht="12.9" customHeight="1" x14ac:dyDescent="0.25">
      <c r="A105" s="28" t="s">
        <v>235</v>
      </c>
      <c r="B105" s="29" t="s">
        <v>236</v>
      </c>
      <c r="C105" s="30" t="s">
        <v>59</v>
      </c>
      <c r="D105" s="40">
        <v>631859</v>
      </c>
      <c r="E105" s="26">
        <v>245808</v>
      </c>
      <c r="F105" s="26">
        <f t="shared" si="2"/>
        <v>877667</v>
      </c>
      <c r="G105" s="40">
        <v>691807</v>
      </c>
      <c r="H105" s="26">
        <v>292355</v>
      </c>
      <c r="I105" s="27">
        <f t="shared" si="3"/>
        <v>984162</v>
      </c>
      <c r="J105" s="40">
        <v>928863</v>
      </c>
      <c r="K105" s="26">
        <v>322966</v>
      </c>
      <c r="L105" s="27">
        <v>1251829</v>
      </c>
      <c r="M105" s="26">
        <v>812959</v>
      </c>
      <c r="N105" s="26">
        <v>299241</v>
      </c>
      <c r="O105" s="27">
        <v>1112200</v>
      </c>
      <c r="P105" s="26">
        <v>740618</v>
      </c>
      <c r="Q105" s="26">
        <v>272403</v>
      </c>
      <c r="R105" s="27">
        <v>1013021</v>
      </c>
      <c r="S105" s="26">
        <v>873287</v>
      </c>
      <c r="T105" s="26">
        <v>307471</v>
      </c>
      <c r="U105" s="27">
        <v>1180758</v>
      </c>
      <c r="V105" s="26">
        <v>799175</v>
      </c>
      <c r="W105" s="26">
        <v>252366</v>
      </c>
      <c r="X105" s="31">
        <v>1051541</v>
      </c>
      <c r="Y105" s="16">
        <v>665543</v>
      </c>
      <c r="Z105" s="16">
        <v>228769</v>
      </c>
      <c r="AA105" s="31">
        <v>894312</v>
      </c>
      <c r="AB105" s="32">
        <v>792890</v>
      </c>
      <c r="AC105" s="16">
        <v>287466</v>
      </c>
      <c r="AD105" s="31">
        <v>1080356</v>
      </c>
      <c r="AE105" s="16">
        <v>745356</v>
      </c>
      <c r="AF105" s="16">
        <v>273281</v>
      </c>
      <c r="AG105" s="31">
        <v>1018637</v>
      </c>
      <c r="AH105" s="16">
        <v>640510</v>
      </c>
      <c r="AI105" s="16">
        <v>256379</v>
      </c>
      <c r="AJ105" s="31">
        <v>896889</v>
      </c>
      <c r="AK105" s="16">
        <v>653505</v>
      </c>
      <c r="AL105" s="16">
        <v>286486</v>
      </c>
      <c r="AM105" s="31">
        <v>939991</v>
      </c>
      <c r="AN105" s="16">
        <v>769562</v>
      </c>
      <c r="AO105" s="16">
        <v>253522</v>
      </c>
      <c r="AP105" s="31">
        <v>1023084</v>
      </c>
      <c r="AQ105" s="42"/>
      <c r="AR105" s="43"/>
      <c r="AS105" s="42"/>
      <c r="AT105" s="42"/>
    </row>
    <row r="106" spans="1:46" ht="12.9" customHeight="1" x14ac:dyDescent="0.25">
      <c r="A106" s="28" t="s">
        <v>237</v>
      </c>
      <c r="B106" s="29" t="s">
        <v>238</v>
      </c>
      <c r="C106" s="30" t="s">
        <v>17</v>
      </c>
      <c r="D106" s="40">
        <v>20385</v>
      </c>
      <c r="E106" s="26">
        <v>55550</v>
      </c>
      <c r="F106" s="26">
        <f t="shared" si="2"/>
        <v>75935</v>
      </c>
      <c r="G106" s="40">
        <v>19675</v>
      </c>
      <c r="H106" s="26">
        <v>58176</v>
      </c>
      <c r="I106" s="27">
        <f t="shared" si="3"/>
        <v>77851</v>
      </c>
      <c r="J106" s="40">
        <v>21179</v>
      </c>
      <c r="K106" s="26">
        <v>57927</v>
      </c>
      <c r="L106" s="27">
        <v>79106</v>
      </c>
      <c r="M106" s="26">
        <v>22124</v>
      </c>
      <c r="N106" s="26">
        <v>57813</v>
      </c>
      <c r="O106" s="27">
        <v>79937</v>
      </c>
      <c r="P106" s="26">
        <v>21509</v>
      </c>
      <c r="Q106" s="26">
        <v>53587</v>
      </c>
      <c r="R106" s="27">
        <v>75096</v>
      </c>
      <c r="S106" s="26">
        <v>19134</v>
      </c>
      <c r="T106" s="26">
        <v>51762</v>
      </c>
      <c r="U106" s="27">
        <v>70896</v>
      </c>
      <c r="V106" s="26">
        <v>20016</v>
      </c>
      <c r="W106" s="26">
        <v>46846</v>
      </c>
      <c r="X106" s="31">
        <v>66862</v>
      </c>
      <c r="Y106" s="16">
        <v>22087</v>
      </c>
      <c r="Z106" s="16">
        <v>40608</v>
      </c>
      <c r="AA106" s="31">
        <v>62695</v>
      </c>
      <c r="AB106" s="32">
        <v>20200</v>
      </c>
      <c r="AC106" s="16">
        <v>42435</v>
      </c>
      <c r="AD106" s="31">
        <v>62635</v>
      </c>
      <c r="AE106" s="16">
        <v>21491</v>
      </c>
      <c r="AF106" s="16">
        <v>45571</v>
      </c>
      <c r="AG106" s="31">
        <v>67062</v>
      </c>
      <c r="AH106" s="16">
        <v>20254</v>
      </c>
      <c r="AI106" s="16">
        <v>13091</v>
      </c>
      <c r="AJ106" s="31">
        <v>33345</v>
      </c>
      <c r="AK106" s="16">
        <v>21908</v>
      </c>
      <c r="AL106" s="16">
        <v>18586</v>
      </c>
      <c r="AM106" s="31">
        <v>40494</v>
      </c>
      <c r="AN106" s="16">
        <v>24188</v>
      </c>
      <c r="AO106" s="16">
        <v>63466</v>
      </c>
      <c r="AP106" s="31">
        <v>87654</v>
      </c>
      <c r="AQ106" s="42"/>
      <c r="AR106" s="43"/>
      <c r="AS106" s="42"/>
      <c r="AT106" s="42"/>
    </row>
    <row r="107" spans="1:46" ht="12.9" customHeight="1" x14ac:dyDescent="0.25">
      <c r="A107" s="28" t="s">
        <v>239</v>
      </c>
      <c r="B107" s="29" t="s">
        <v>240</v>
      </c>
      <c r="C107" s="30" t="s">
        <v>42</v>
      </c>
      <c r="D107" s="40">
        <v>7492</v>
      </c>
      <c r="E107" s="26">
        <v>1672</v>
      </c>
      <c r="F107" s="26">
        <f t="shared" si="2"/>
        <v>9164</v>
      </c>
      <c r="G107" s="40">
        <v>7522</v>
      </c>
      <c r="H107" s="26">
        <v>1922</v>
      </c>
      <c r="I107" s="27">
        <f t="shared" si="3"/>
        <v>9444</v>
      </c>
      <c r="J107" s="40">
        <v>8600</v>
      </c>
      <c r="K107" s="26">
        <v>2354</v>
      </c>
      <c r="L107" s="27">
        <v>10954</v>
      </c>
      <c r="M107" s="26">
        <v>8347</v>
      </c>
      <c r="N107" s="26">
        <v>2506</v>
      </c>
      <c r="O107" s="27">
        <v>10853</v>
      </c>
      <c r="P107" s="26">
        <v>8828</v>
      </c>
      <c r="Q107" s="26">
        <v>1623</v>
      </c>
      <c r="R107" s="27">
        <v>10451</v>
      </c>
      <c r="S107" s="26">
        <v>8154</v>
      </c>
      <c r="T107" s="26">
        <v>1168</v>
      </c>
      <c r="U107" s="27">
        <v>9322</v>
      </c>
      <c r="V107" s="26">
        <v>9741</v>
      </c>
      <c r="W107" s="26">
        <v>3091</v>
      </c>
      <c r="X107" s="31">
        <v>12832</v>
      </c>
      <c r="Y107" s="16">
        <v>9554</v>
      </c>
      <c r="Z107" s="16">
        <v>871</v>
      </c>
      <c r="AA107" s="31">
        <v>10425</v>
      </c>
      <c r="AB107" s="32">
        <v>9554</v>
      </c>
      <c r="AC107" s="16">
        <v>871</v>
      </c>
      <c r="AD107" s="31">
        <v>10425</v>
      </c>
      <c r="AE107" s="16">
        <v>9554</v>
      </c>
      <c r="AF107" s="16">
        <v>871</v>
      </c>
      <c r="AG107" s="31">
        <v>10425</v>
      </c>
      <c r="AH107" s="16">
        <v>9554</v>
      </c>
      <c r="AI107" s="16">
        <v>871</v>
      </c>
      <c r="AJ107" s="31">
        <v>10425</v>
      </c>
      <c r="AK107" s="16">
        <v>9554</v>
      </c>
      <c r="AL107" s="16">
        <v>871</v>
      </c>
      <c r="AM107" s="31">
        <v>10425</v>
      </c>
      <c r="AN107" s="16">
        <v>11693</v>
      </c>
      <c r="AO107" s="16">
        <v>1025</v>
      </c>
      <c r="AP107" s="31">
        <v>12718</v>
      </c>
      <c r="AQ107" s="42"/>
      <c r="AR107" s="43"/>
      <c r="AS107" s="42"/>
      <c r="AT107" s="42"/>
    </row>
    <row r="108" spans="1:46" ht="12.9" customHeight="1" x14ac:dyDescent="0.25">
      <c r="A108" s="28" t="s">
        <v>241</v>
      </c>
      <c r="B108" s="29" t="s">
        <v>242</v>
      </c>
      <c r="C108" s="30" t="s">
        <v>59</v>
      </c>
      <c r="D108" s="40">
        <v>56976</v>
      </c>
      <c r="E108" s="26">
        <v>14521</v>
      </c>
      <c r="F108" s="26">
        <f t="shared" si="2"/>
        <v>71497</v>
      </c>
      <c r="G108" s="40">
        <v>59677</v>
      </c>
      <c r="H108" s="26">
        <v>14692</v>
      </c>
      <c r="I108" s="27">
        <f t="shared" si="3"/>
        <v>74369</v>
      </c>
      <c r="J108" s="40">
        <v>67832</v>
      </c>
      <c r="K108" s="26">
        <v>18724</v>
      </c>
      <c r="L108" s="27">
        <v>86556</v>
      </c>
      <c r="M108" s="26">
        <v>60176</v>
      </c>
      <c r="N108" s="26">
        <v>14305</v>
      </c>
      <c r="O108" s="27">
        <v>74481</v>
      </c>
      <c r="P108" s="26">
        <v>51402</v>
      </c>
      <c r="Q108" s="26">
        <v>12538</v>
      </c>
      <c r="R108" s="27">
        <v>63940</v>
      </c>
      <c r="S108" s="26">
        <v>54102</v>
      </c>
      <c r="T108" s="26">
        <v>15389</v>
      </c>
      <c r="U108" s="27">
        <v>69491</v>
      </c>
      <c r="V108" s="26">
        <v>55640</v>
      </c>
      <c r="W108" s="26">
        <v>11995</v>
      </c>
      <c r="X108" s="31">
        <v>67635</v>
      </c>
      <c r="Y108" s="16">
        <v>53894</v>
      </c>
      <c r="Z108" s="16">
        <v>13632</v>
      </c>
      <c r="AA108" s="31">
        <v>67526</v>
      </c>
      <c r="AB108" s="32">
        <v>54769</v>
      </c>
      <c r="AC108" s="16">
        <v>19318</v>
      </c>
      <c r="AD108" s="31">
        <v>74087</v>
      </c>
      <c r="AE108" s="16">
        <v>53159</v>
      </c>
      <c r="AF108" s="16">
        <v>13556</v>
      </c>
      <c r="AG108" s="31">
        <v>66715</v>
      </c>
      <c r="AH108" s="16">
        <v>47162</v>
      </c>
      <c r="AI108" s="16">
        <v>8722</v>
      </c>
      <c r="AJ108" s="31">
        <v>55884</v>
      </c>
      <c r="AK108" s="16">
        <v>47943</v>
      </c>
      <c r="AL108" s="16">
        <v>9142</v>
      </c>
      <c r="AM108" s="31">
        <v>57085</v>
      </c>
      <c r="AN108" s="16">
        <v>55653</v>
      </c>
      <c r="AO108" s="16">
        <v>6880</v>
      </c>
      <c r="AP108" s="31">
        <v>62533</v>
      </c>
      <c r="AQ108" s="42"/>
      <c r="AR108" s="43"/>
      <c r="AS108" s="42"/>
      <c r="AT108" s="42"/>
    </row>
    <row r="109" spans="1:46" ht="12.9" customHeight="1" x14ac:dyDescent="0.25">
      <c r="A109" s="28" t="s">
        <v>243</v>
      </c>
      <c r="B109" s="29" t="s">
        <v>244</v>
      </c>
      <c r="C109" s="30" t="s">
        <v>14</v>
      </c>
      <c r="D109" s="40">
        <v>53165</v>
      </c>
      <c r="E109" s="26">
        <v>13997</v>
      </c>
      <c r="F109" s="26">
        <f t="shared" si="2"/>
        <v>67162</v>
      </c>
      <c r="G109" s="40">
        <v>58627</v>
      </c>
      <c r="H109" s="26">
        <v>15740</v>
      </c>
      <c r="I109" s="27">
        <f t="shared" si="3"/>
        <v>74367</v>
      </c>
      <c r="J109" s="40">
        <v>92129</v>
      </c>
      <c r="K109" s="26">
        <v>15727</v>
      </c>
      <c r="L109" s="27">
        <v>107856</v>
      </c>
      <c r="M109" s="26">
        <v>91093</v>
      </c>
      <c r="N109" s="26">
        <v>14750</v>
      </c>
      <c r="O109" s="27">
        <v>105843</v>
      </c>
      <c r="P109" s="26">
        <v>88549</v>
      </c>
      <c r="Q109" s="26">
        <v>20776</v>
      </c>
      <c r="R109" s="27">
        <v>109325</v>
      </c>
      <c r="S109" s="26">
        <v>91749</v>
      </c>
      <c r="T109" s="26">
        <v>17948</v>
      </c>
      <c r="U109" s="27">
        <v>109697</v>
      </c>
      <c r="V109" s="26">
        <v>88656</v>
      </c>
      <c r="W109" s="26">
        <v>14921</v>
      </c>
      <c r="X109" s="31">
        <v>103577</v>
      </c>
      <c r="Y109" s="16">
        <v>48383</v>
      </c>
      <c r="Z109" s="16">
        <v>15346</v>
      </c>
      <c r="AA109" s="31">
        <v>63729</v>
      </c>
      <c r="AB109" s="32">
        <v>48383</v>
      </c>
      <c r="AC109" s="16">
        <v>15195</v>
      </c>
      <c r="AD109" s="31">
        <v>63578</v>
      </c>
      <c r="AE109" s="16">
        <v>48383</v>
      </c>
      <c r="AF109" s="16">
        <v>15630</v>
      </c>
      <c r="AG109" s="31">
        <v>64013</v>
      </c>
      <c r="AH109" s="16">
        <v>66612</v>
      </c>
      <c r="AI109" s="16">
        <v>18663</v>
      </c>
      <c r="AJ109" s="31">
        <v>85275</v>
      </c>
      <c r="AK109" s="16">
        <v>65187</v>
      </c>
      <c r="AL109" s="16">
        <v>23560</v>
      </c>
      <c r="AM109" s="31">
        <v>88747</v>
      </c>
      <c r="AN109" s="16">
        <v>73474</v>
      </c>
      <c r="AO109" s="16">
        <v>29969</v>
      </c>
      <c r="AP109" s="31">
        <v>103443</v>
      </c>
      <c r="AQ109" s="42"/>
      <c r="AR109" s="43"/>
      <c r="AS109" s="42"/>
      <c r="AT109" s="42"/>
    </row>
    <row r="110" spans="1:46" ht="12.9" customHeight="1" x14ac:dyDescent="0.25">
      <c r="A110" s="28" t="s">
        <v>245</v>
      </c>
      <c r="B110" s="29" t="s">
        <v>246</v>
      </c>
      <c r="C110" s="30" t="s">
        <v>215</v>
      </c>
      <c r="D110" s="40">
        <v>91625</v>
      </c>
      <c r="E110" s="26">
        <v>532971</v>
      </c>
      <c r="F110" s="26">
        <f t="shared" si="2"/>
        <v>624596</v>
      </c>
      <c r="G110" s="40">
        <v>99996</v>
      </c>
      <c r="H110" s="26">
        <v>502542</v>
      </c>
      <c r="I110" s="27">
        <f t="shared" si="3"/>
        <v>602538</v>
      </c>
      <c r="J110" s="40">
        <v>97026</v>
      </c>
      <c r="K110" s="26">
        <v>553698</v>
      </c>
      <c r="L110" s="27">
        <v>650724</v>
      </c>
      <c r="M110" s="26">
        <v>96122</v>
      </c>
      <c r="N110" s="26">
        <v>567971</v>
      </c>
      <c r="O110" s="27">
        <v>664093</v>
      </c>
      <c r="P110" s="26">
        <v>95413</v>
      </c>
      <c r="Q110" s="26">
        <v>521497</v>
      </c>
      <c r="R110" s="27">
        <v>616910</v>
      </c>
      <c r="S110" s="26">
        <v>90270</v>
      </c>
      <c r="T110" s="26">
        <v>571652</v>
      </c>
      <c r="U110" s="27">
        <v>661922</v>
      </c>
      <c r="V110" s="26">
        <v>86621</v>
      </c>
      <c r="W110" s="26">
        <v>588776</v>
      </c>
      <c r="X110" s="31">
        <v>675397</v>
      </c>
      <c r="Y110" s="16">
        <v>88490</v>
      </c>
      <c r="Z110" s="16">
        <v>534013</v>
      </c>
      <c r="AA110" s="31">
        <v>622503</v>
      </c>
      <c r="AB110" s="32">
        <v>91253</v>
      </c>
      <c r="AC110" s="16">
        <v>557378</v>
      </c>
      <c r="AD110" s="31">
        <v>648631</v>
      </c>
      <c r="AE110" s="16">
        <v>89933</v>
      </c>
      <c r="AF110" s="16">
        <v>527045</v>
      </c>
      <c r="AG110" s="31">
        <v>616978</v>
      </c>
      <c r="AH110" s="16">
        <v>89090</v>
      </c>
      <c r="AI110" s="16">
        <v>506977</v>
      </c>
      <c r="AJ110" s="31">
        <v>596067</v>
      </c>
      <c r="AK110" s="16">
        <v>87888</v>
      </c>
      <c r="AL110" s="16">
        <v>496645</v>
      </c>
      <c r="AM110" s="31">
        <v>584533</v>
      </c>
      <c r="AN110" s="16">
        <v>95103</v>
      </c>
      <c r="AO110" s="16">
        <v>490150</v>
      </c>
      <c r="AP110" s="31">
        <v>585253</v>
      </c>
      <c r="AQ110" s="42"/>
      <c r="AR110" s="43"/>
      <c r="AS110" s="42"/>
      <c r="AT110" s="42"/>
    </row>
    <row r="111" spans="1:46" ht="12.9" customHeight="1" x14ac:dyDescent="0.25">
      <c r="A111" s="28" t="s">
        <v>247</v>
      </c>
      <c r="B111" s="29" t="s">
        <v>248</v>
      </c>
      <c r="C111" s="30" t="s">
        <v>249</v>
      </c>
      <c r="D111" s="40">
        <v>24236</v>
      </c>
      <c r="E111" s="26">
        <v>3247</v>
      </c>
      <c r="F111" s="26">
        <f t="shared" si="2"/>
        <v>27483</v>
      </c>
      <c r="G111" s="40">
        <v>23616</v>
      </c>
      <c r="H111" s="26">
        <v>3660</v>
      </c>
      <c r="I111" s="27">
        <f t="shared" si="3"/>
        <v>27276</v>
      </c>
      <c r="J111" s="40">
        <v>23403</v>
      </c>
      <c r="K111" s="26">
        <v>3737</v>
      </c>
      <c r="L111" s="27">
        <v>27140</v>
      </c>
      <c r="M111" s="26">
        <v>25221</v>
      </c>
      <c r="N111" s="26">
        <v>3498</v>
      </c>
      <c r="O111" s="27">
        <v>28719</v>
      </c>
      <c r="P111" s="26">
        <v>24782</v>
      </c>
      <c r="Q111" s="26">
        <v>5022</v>
      </c>
      <c r="R111" s="27">
        <v>29804</v>
      </c>
      <c r="S111" s="26">
        <v>24069.333333333332</v>
      </c>
      <c r="T111" s="26">
        <v>3677</v>
      </c>
      <c r="U111" s="27">
        <v>27746.333333333332</v>
      </c>
      <c r="V111" s="26">
        <v>30435</v>
      </c>
      <c r="W111" s="26">
        <v>4139</v>
      </c>
      <c r="X111" s="31">
        <v>34574</v>
      </c>
      <c r="Y111" s="16">
        <v>25005</v>
      </c>
      <c r="Z111" s="16">
        <v>4165</v>
      </c>
      <c r="AA111" s="31">
        <v>29170</v>
      </c>
      <c r="AB111" s="32">
        <v>24862</v>
      </c>
      <c r="AC111" s="16">
        <v>4513</v>
      </c>
      <c r="AD111" s="31">
        <v>29375</v>
      </c>
      <c r="AE111" s="16">
        <v>24200</v>
      </c>
      <c r="AF111" s="16">
        <v>3709</v>
      </c>
      <c r="AG111" s="31">
        <v>27909</v>
      </c>
      <c r="AH111" s="16">
        <v>21218</v>
      </c>
      <c r="AI111" s="16">
        <v>3681</v>
      </c>
      <c r="AJ111" s="31">
        <v>24899</v>
      </c>
      <c r="AK111" s="16">
        <v>21276</v>
      </c>
      <c r="AL111" s="16">
        <v>3006</v>
      </c>
      <c r="AM111" s="31">
        <v>24282</v>
      </c>
      <c r="AN111" s="16">
        <v>21276</v>
      </c>
      <c r="AO111" s="16">
        <v>3155</v>
      </c>
      <c r="AP111" s="31">
        <v>24431</v>
      </c>
      <c r="AQ111" s="42"/>
      <c r="AR111" s="43"/>
      <c r="AS111" s="42"/>
      <c r="AT111" s="42"/>
    </row>
    <row r="112" spans="1:46" ht="12.9" customHeight="1" x14ac:dyDescent="0.25">
      <c r="A112" s="28" t="s">
        <v>250</v>
      </c>
      <c r="B112" s="29" t="s">
        <v>251</v>
      </c>
      <c r="C112" s="30" t="s">
        <v>14</v>
      </c>
      <c r="D112" s="40">
        <v>13176</v>
      </c>
      <c r="E112" s="26">
        <v>6350</v>
      </c>
      <c r="F112" s="26">
        <f t="shared" si="2"/>
        <v>19526</v>
      </c>
      <c r="G112" s="40">
        <v>9913</v>
      </c>
      <c r="H112" s="26">
        <v>7486</v>
      </c>
      <c r="I112" s="27">
        <f t="shared" si="3"/>
        <v>17399</v>
      </c>
      <c r="J112" s="40">
        <v>10600</v>
      </c>
      <c r="K112" s="26">
        <v>7486</v>
      </c>
      <c r="L112" s="27">
        <v>18086</v>
      </c>
      <c r="M112" s="26">
        <v>9112</v>
      </c>
      <c r="N112" s="26">
        <v>4146</v>
      </c>
      <c r="O112" s="27">
        <v>13258</v>
      </c>
      <c r="P112" s="26">
        <v>9167</v>
      </c>
      <c r="Q112" s="26">
        <v>3682</v>
      </c>
      <c r="R112" s="27">
        <v>12849</v>
      </c>
      <c r="S112" s="26">
        <v>8617</v>
      </c>
      <c r="T112" s="26">
        <v>4848</v>
      </c>
      <c r="U112" s="27">
        <v>13465</v>
      </c>
      <c r="V112" s="26">
        <v>9006</v>
      </c>
      <c r="W112" s="26">
        <v>2960</v>
      </c>
      <c r="X112" s="31">
        <v>11966</v>
      </c>
      <c r="Y112" s="16">
        <v>9123</v>
      </c>
      <c r="Z112" s="16">
        <v>2602</v>
      </c>
      <c r="AA112" s="31">
        <v>11725</v>
      </c>
      <c r="AB112" s="32">
        <v>10001</v>
      </c>
      <c r="AC112" s="16">
        <v>3476</v>
      </c>
      <c r="AD112" s="31">
        <v>13477</v>
      </c>
      <c r="AE112" s="16">
        <v>9109</v>
      </c>
      <c r="AF112" s="16">
        <v>20</v>
      </c>
      <c r="AG112" s="31">
        <v>9129</v>
      </c>
      <c r="AH112" s="16">
        <v>10829</v>
      </c>
      <c r="AI112" s="16">
        <v>66</v>
      </c>
      <c r="AJ112" s="31">
        <v>10895</v>
      </c>
      <c r="AK112" s="16">
        <v>12404.51244044468</v>
      </c>
      <c r="AL112" s="16">
        <v>0</v>
      </c>
      <c r="AM112" s="31">
        <v>12404.51244044468</v>
      </c>
      <c r="AN112" s="16">
        <v>12404.51244044468</v>
      </c>
      <c r="AO112" s="16">
        <v>0</v>
      </c>
      <c r="AP112" s="31">
        <v>12404.51244044468</v>
      </c>
      <c r="AQ112" s="42"/>
      <c r="AR112" s="43"/>
      <c r="AS112" s="42"/>
      <c r="AT112" s="42"/>
    </row>
    <row r="113" spans="1:46" ht="12.9" customHeight="1" x14ac:dyDescent="0.25">
      <c r="A113" s="28" t="s">
        <v>252</v>
      </c>
      <c r="B113" s="29" t="s">
        <v>253</v>
      </c>
      <c r="C113" s="30" t="s">
        <v>153</v>
      </c>
      <c r="D113" s="40">
        <v>1283</v>
      </c>
      <c r="E113" s="26">
        <v>0</v>
      </c>
      <c r="F113" s="26">
        <f t="shared" si="2"/>
        <v>1283</v>
      </c>
      <c r="G113" s="40">
        <v>1255</v>
      </c>
      <c r="H113" s="26">
        <v>0</v>
      </c>
      <c r="I113" s="27">
        <f t="shared" si="3"/>
        <v>1255</v>
      </c>
      <c r="J113" s="40">
        <v>1223</v>
      </c>
      <c r="K113" s="26">
        <v>0</v>
      </c>
      <c r="L113" s="27">
        <v>1223</v>
      </c>
      <c r="M113" s="26">
        <v>1083</v>
      </c>
      <c r="N113" s="26">
        <v>0</v>
      </c>
      <c r="O113" s="27">
        <v>1083</v>
      </c>
      <c r="P113" s="26">
        <v>1172</v>
      </c>
      <c r="Q113" s="26">
        <v>0</v>
      </c>
      <c r="R113" s="27">
        <v>1172</v>
      </c>
      <c r="S113" s="26">
        <v>952</v>
      </c>
      <c r="T113" s="26">
        <v>0</v>
      </c>
      <c r="U113" s="27">
        <v>952</v>
      </c>
      <c r="V113" s="26">
        <v>962</v>
      </c>
      <c r="W113" s="26">
        <v>0</v>
      </c>
      <c r="X113" s="31">
        <v>962</v>
      </c>
      <c r="Y113" s="16">
        <v>1103</v>
      </c>
      <c r="Z113" s="16">
        <v>0</v>
      </c>
      <c r="AA113" s="31">
        <v>1103</v>
      </c>
      <c r="AB113" s="32">
        <v>879</v>
      </c>
      <c r="AC113" s="16">
        <v>0</v>
      </c>
      <c r="AD113" s="31">
        <v>879</v>
      </c>
      <c r="AE113" s="16">
        <v>898</v>
      </c>
      <c r="AF113" s="16">
        <v>0</v>
      </c>
      <c r="AG113" s="31">
        <v>898</v>
      </c>
      <c r="AH113" s="16">
        <v>898</v>
      </c>
      <c r="AI113" s="16">
        <v>0</v>
      </c>
      <c r="AJ113" s="31">
        <v>898</v>
      </c>
      <c r="AK113" s="16">
        <v>1239</v>
      </c>
      <c r="AL113" s="16">
        <v>0</v>
      </c>
      <c r="AM113" s="31">
        <v>1239</v>
      </c>
      <c r="AN113" s="16">
        <v>915</v>
      </c>
      <c r="AO113" s="16">
        <v>1</v>
      </c>
      <c r="AP113" s="31">
        <v>916</v>
      </c>
      <c r="AQ113" s="42"/>
      <c r="AR113" s="43"/>
      <c r="AS113" s="42"/>
      <c r="AT113" s="42"/>
    </row>
    <row r="114" spans="1:46" ht="12.9" customHeight="1" x14ac:dyDescent="0.25">
      <c r="A114" s="28" t="s">
        <v>254</v>
      </c>
      <c r="B114" s="29" t="s">
        <v>255</v>
      </c>
      <c r="C114" s="30" t="s">
        <v>17</v>
      </c>
      <c r="D114" s="40">
        <v>217147</v>
      </c>
      <c r="E114" s="26">
        <v>197611</v>
      </c>
      <c r="F114" s="26">
        <f t="shared" si="2"/>
        <v>414758</v>
      </c>
      <c r="G114" s="40">
        <v>198844</v>
      </c>
      <c r="H114" s="26">
        <v>194004</v>
      </c>
      <c r="I114" s="27">
        <f t="shared" si="3"/>
        <v>392848</v>
      </c>
      <c r="J114" s="40">
        <v>208622</v>
      </c>
      <c r="K114" s="26">
        <v>247387</v>
      </c>
      <c r="L114" s="27">
        <v>456009</v>
      </c>
      <c r="M114" s="26">
        <v>205100</v>
      </c>
      <c r="N114" s="26">
        <v>197068</v>
      </c>
      <c r="O114" s="27">
        <v>402168</v>
      </c>
      <c r="P114" s="26">
        <v>203444</v>
      </c>
      <c r="Q114" s="26">
        <v>173485</v>
      </c>
      <c r="R114" s="27">
        <v>376929</v>
      </c>
      <c r="S114" s="26">
        <v>166231</v>
      </c>
      <c r="T114" s="26">
        <v>204589</v>
      </c>
      <c r="U114" s="27">
        <v>370820</v>
      </c>
      <c r="V114" s="26">
        <v>166970</v>
      </c>
      <c r="W114" s="26">
        <v>198721</v>
      </c>
      <c r="X114" s="31">
        <v>365691</v>
      </c>
      <c r="Y114" s="16">
        <v>188750</v>
      </c>
      <c r="Z114" s="16">
        <v>192707</v>
      </c>
      <c r="AA114" s="31">
        <v>381457</v>
      </c>
      <c r="AB114" s="32">
        <v>190716</v>
      </c>
      <c r="AC114" s="16">
        <v>222761</v>
      </c>
      <c r="AD114" s="31">
        <v>413477</v>
      </c>
      <c r="AE114" s="16">
        <v>186320</v>
      </c>
      <c r="AF114" s="16">
        <v>184432</v>
      </c>
      <c r="AG114" s="31">
        <v>370752</v>
      </c>
      <c r="AH114" s="16">
        <v>182071</v>
      </c>
      <c r="AI114" s="16">
        <v>188188</v>
      </c>
      <c r="AJ114" s="31">
        <v>370259</v>
      </c>
      <c r="AK114" s="16">
        <v>182564</v>
      </c>
      <c r="AL114" s="16">
        <v>154899</v>
      </c>
      <c r="AM114" s="31">
        <v>337463</v>
      </c>
      <c r="AN114" s="16">
        <v>220563</v>
      </c>
      <c r="AO114" s="16">
        <v>196946</v>
      </c>
      <c r="AP114" s="31">
        <v>417509</v>
      </c>
      <c r="AQ114" s="42"/>
      <c r="AR114" s="43"/>
      <c r="AS114" s="42"/>
      <c r="AT114" s="42"/>
    </row>
    <row r="115" spans="1:46" ht="12.9" customHeight="1" x14ac:dyDescent="0.25">
      <c r="A115" s="28" t="s">
        <v>256</v>
      </c>
      <c r="B115" s="29" t="s">
        <v>257</v>
      </c>
      <c r="C115" s="30" t="s">
        <v>53</v>
      </c>
      <c r="D115" s="40">
        <v>119123</v>
      </c>
      <c r="E115" s="26">
        <v>44922</v>
      </c>
      <c r="F115" s="26">
        <f t="shared" si="2"/>
        <v>164045</v>
      </c>
      <c r="G115" s="40">
        <v>120354</v>
      </c>
      <c r="H115" s="26">
        <v>41578</v>
      </c>
      <c r="I115" s="27">
        <f t="shared" si="3"/>
        <v>161932</v>
      </c>
      <c r="J115" s="40">
        <v>120857</v>
      </c>
      <c r="K115" s="26">
        <v>90894</v>
      </c>
      <c r="L115" s="27">
        <v>211751</v>
      </c>
      <c r="M115" s="26">
        <v>119253</v>
      </c>
      <c r="N115" s="26">
        <v>68350</v>
      </c>
      <c r="O115" s="27">
        <v>187603</v>
      </c>
      <c r="P115" s="26">
        <v>122504</v>
      </c>
      <c r="Q115" s="26">
        <v>67607</v>
      </c>
      <c r="R115" s="27">
        <v>190111</v>
      </c>
      <c r="S115" s="26">
        <v>107870</v>
      </c>
      <c r="T115" s="26">
        <v>70634</v>
      </c>
      <c r="U115" s="27">
        <v>178504</v>
      </c>
      <c r="V115" s="26">
        <v>107081</v>
      </c>
      <c r="W115" s="26">
        <v>72075</v>
      </c>
      <c r="X115" s="31">
        <v>179156</v>
      </c>
      <c r="Y115" s="16">
        <v>105870</v>
      </c>
      <c r="Z115" s="16">
        <v>58327</v>
      </c>
      <c r="AA115" s="31">
        <v>164197</v>
      </c>
      <c r="AB115" s="32">
        <v>100298</v>
      </c>
      <c r="AC115" s="16">
        <v>57224</v>
      </c>
      <c r="AD115" s="31">
        <v>157522</v>
      </c>
      <c r="AE115" s="16">
        <v>100615</v>
      </c>
      <c r="AF115" s="16">
        <v>41000</v>
      </c>
      <c r="AG115" s="31">
        <v>141615</v>
      </c>
      <c r="AH115" s="16">
        <v>100273</v>
      </c>
      <c r="AI115" s="16">
        <v>34665</v>
      </c>
      <c r="AJ115" s="31">
        <v>134938</v>
      </c>
      <c r="AK115" s="16">
        <v>102769</v>
      </c>
      <c r="AL115" s="16">
        <v>43147</v>
      </c>
      <c r="AM115" s="31">
        <v>145916</v>
      </c>
      <c r="AN115" s="16">
        <v>133864</v>
      </c>
      <c r="AO115" s="16">
        <v>58379</v>
      </c>
      <c r="AP115" s="31">
        <v>192243</v>
      </c>
      <c r="AQ115" s="42"/>
      <c r="AR115" s="43"/>
      <c r="AS115" s="42"/>
      <c r="AT115" s="42"/>
    </row>
    <row r="116" spans="1:46" ht="12.9" customHeight="1" x14ac:dyDescent="0.25">
      <c r="A116" s="28" t="s">
        <v>258</v>
      </c>
      <c r="B116" s="29" t="s">
        <v>259</v>
      </c>
      <c r="C116" s="30" t="s">
        <v>110</v>
      </c>
      <c r="D116" s="40">
        <v>150399.15789473685</v>
      </c>
      <c r="E116" s="26">
        <v>96019.736842105267</v>
      </c>
      <c r="F116" s="26">
        <f t="shared" si="2"/>
        <v>246418.89473684214</v>
      </c>
      <c r="G116" s="40">
        <v>147472</v>
      </c>
      <c r="H116" s="26">
        <v>98934</v>
      </c>
      <c r="I116" s="27">
        <f t="shared" si="3"/>
        <v>246406</v>
      </c>
      <c r="J116" s="40">
        <v>170308</v>
      </c>
      <c r="K116" s="26">
        <v>89467</v>
      </c>
      <c r="L116" s="27">
        <v>259775</v>
      </c>
      <c r="M116" s="26">
        <v>169215</v>
      </c>
      <c r="N116" s="26">
        <v>85101</v>
      </c>
      <c r="O116" s="27">
        <v>254316</v>
      </c>
      <c r="P116" s="26">
        <v>161842</v>
      </c>
      <c r="Q116" s="26">
        <v>64539</v>
      </c>
      <c r="R116" s="27">
        <v>226381</v>
      </c>
      <c r="S116" s="26">
        <v>164022</v>
      </c>
      <c r="T116" s="26">
        <v>71099</v>
      </c>
      <c r="U116" s="27">
        <v>235121</v>
      </c>
      <c r="V116" s="26">
        <v>154155</v>
      </c>
      <c r="W116" s="26">
        <v>63785</v>
      </c>
      <c r="X116" s="31">
        <v>217940</v>
      </c>
      <c r="Y116" s="16">
        <v>157564</v>
      </c>
      <c r="Z116" s="16">
        <v>69715</v>
      </c>
      <c r="AA116" s="31">
        <v>227279</v>
      </c>
      <c r="AB116" s="32">
        <v>157084</v>
      </c>
      <c r="AC116" s="16">
        <v>79058</v>
      </c>
      <c r="AD116" s="31">
        <v>236142</v>
      </c>
      <c r="AE116" s="16">
        <v>157282</v>
      </c>
      <c r="AF116" s="16">
        <v>71255</v>
      </c>
      <c r="AG116" s="31">
        <v>228537</v>
      </c>
      <c r="AH116" s="16">
        <v>146499</v>
      </c>
      <c r="AI116" s="16">
        <v>69512</v>
      </c>
      <c r="AJ116" s="31">
        <v>216011</v>
      </c>
      <c r="AK116" s="16">
        <v>158294</v>
      </c>
      <c r="AL116" s="16">
        <v>74659</v>
      </c>
      <c r="AM116" s="31">
        <v>232953</v>
      </c>
      <c r="AN116" s="16">
        <v>141593.33333333334</v>
      </c>
      <c r="AO116" s="16">
        <v>55371</v>
      </c>
      <c r="AP116" s="31">
        <v>196964.33333333334</v>
      </c>
      <c r="AQ116" s="42"/>
      <c r="AR116" s="43"/>
      <c r="AS116" s="42"/>
      <c r="AT116" s="42"/>
    </row>
    <row r="117" spans="1:46" ht="12.9" customHeight="1" x14ac:dyDescent="0.25">
      <c r="A117" s="28" t="s">
        <v>260</v>
      </c>
      <c r="B117" s="29" t="s">
        <v>261</v>
      </c>
      <c r="C117" s="30" t="s">
        <v>215</v>
      </c>
      <c r="D117" s="40">
        <v>87743</v>
      </c>
      <c r="E117" s="26">
        <v>39037</v>
      </c>
      <c r="F117" s="26">
        <f t="shared" si="2"/>
        <v>126780</v>
      </c>
      <c r="G117" s="40">
        <v>71435</v>
      </c>
      <c r="H117" s="26">
        <v>18839</v>
      </c>
      <c r="I117" s="27">
        <f t="shared" si="3"/>
        <v>90274</v>
      </c>
      <c r="J117" s="40">
        <v>87063</v>
      </c>
      <c r="K117" s="26">
        <v>19192</v>
      </c>
      <c r="L117" s="27">
        <v>106255</v>
      </c>
      <c r="M117" s="26">
        <v>91403</v>
      </c>
      <c r="N117" s="26">
        <v>18056</v>
      </c>
      <c r="O117" s="27">
        <v>109459</v>
      </c>
      <c r="P117" s="26">
        <v>112224</v>
      </c>
      <c r="Q117" s="26">
        <v>19969</v>
      </c>
      <c r="R117" s="27">
        <v>132193</v>
      </c>
      <c r="S117" s="26">
        <v>107885</v>
      </c>
      <c r="T117" s="26">
        <v>22518</v>
      </c>
      <c r="U117" s="27">
        <v>130403</v>
      </c>
      <c r="V117" s="26">
        <v>110668</v>
      </c>
      <c r="W117" s="26">
        <v>28756</v>
      </c>
      <c r="X117" s="31">
        <v>139424</v>
      </c>
      <c r="Y117" s="16">
        <v>114045</v>
      </c>
      <c r="Z117" s="16">
        <v>16753</v>
      </c>
      <c r="AA117" s="31">
        <v>130798</v>
      </c>
      <c r="AB117" s="32">
        <v>112438</v>
      </c>
      <c r="AC117" s="16">
        <v>27921</v>
      </c>
      <c r="AD117" s="31">
        <v>140359</v>
      </c>
      <c r="AE117" s="16">
        <v>112635</v>
      </c>
      <c r="AF117" s="16">
        <v>26717</v>
      </c>
      <c r="AG117" s="31">
        <v>139352</v>
      </c>
      <c r="AH117" s="16">
        <v>114174</v>
      </c>
      <c r="AI117" s="16">
        <v>43427</v>
      </c>
      <c r="AJ117" s="31">
        <v>157601</v>
      </c>
      <c r="AK117" s="16">
        <v>89428</v>
      </c>
      <c r="AL117" s="16">
        <v>31870</v>
      </c>
      <c r="AM117" s="31">
        <v>121298</v>
      </c>
      <c r="AN117" s="16">
        <v>89428</v>
      </c>
      <c r="AO117" s="16">
        <v>41315</v>
      </c>
      <c r="AP117" s="31">
        <v>130743</v>
      </c>
      <c r="AQ117" s="42"/>
      <c r="AR117" s="43"/>
      <c r="AS117" s="42"/>
      <c r="AT117" s="42"/>
    </row>
    <row r="118" spans="1:46" ht="12.9" customHeight="1" x14ac:dyDescent="0.25">
      <c r="A118" s="28" t="s">
        <v>262</v>
      </c>
      <c r="B118" s="29" t="s">
        <v>263</v>
      </c>
      <c r="C118" s="30" t="s">
        <v>34</v>
      </c>
      <c r="D118" s="40">
        <v>68227</v>
      </c>
      <c r="E118" s="26">
        <v>27026</v>
      </c>
      <c r="F118" s="26">
        <f t="shared" si="2"/>
        <v>95253</v>
      </c>
      <c r="G118" s="40">
        <v>70712</v>
      </c>
      <c r="H118" s="26">
        <v>25609</v>
      </c>
      <c r="I118" s="27">
        <f t="shared" si="3"/>
        <v>96321</v>
      </c>
      <c r="J118" s="40">
        <v>72323</v>
      </c>
      <c r="K118" s="26">
        <v>21577</v>
      </c>
      <c r="L118" s="27">
        <v>93900</v>
      </c>
      <c r="M118" s="26">
        <v>90497</v>
      </c>
      <c r="N118" s="26">
        <v>22799</v>
      </c>
      <c r="O118" s="27">
        <v>113296</v>
      </c>
      <c r="P118" s="26">
        <v>63218</v>
      </c>
      <c r="Q118" s="26">
        <v>17111</v>
      </c>
      <c r="R118" s="27">
        <v>80329</v>
      </c>
      <c r="S118" s="26">
        <v>74056</v>
      </c>
      <c r="T118" s="26">
        <v>28614</v>
      </c>
      <c r="U118" s="27">
        <v>102670</v>
      </c>
      <c r="V118" s="26">
        <v>67188</v>
      </c>
      <c r="W118" s="26">
        <v>21361</v>
      </c>
      <c r="X118" s="31">
        <v>88549</v>
      </c>
      <c r="Y118" s="16">
        <v>64588</v>
      </c>
      <c r="Z118" s="16">
        <v>23871</v>
      </c>
      <c r="AA118" s="31">
        <v>88459</v>
      </c>
      <c r="AB118" s="32">
        <v>78543</v>
      </c>
      <c r="AC118" s="16">
        <v>27829</v>
      </c>
      <c r="AD118" s="31">
        <v>106372</v>
      </c>
      <c r="AE118" s="16">
        <v>61795</v>
      </c>
      <c r="AF118" s="16">
        <v>29266</v>
      </c>
      <c r="AG118" s="31">
        <v>91061</v>
      </c>
      <c r="AH118" s="16">
        <v>65736</v>
      </c>
      <c r="AI118" s="16">
        <v>25638</v>
      </c>
      <c r="AJ118" s="31">
        <v>91374</v>
      </c>
      <c r="AK118" s="16">
        <v>63167</v>
      </c>
      <c r="AL118" s="16">
        <v>18809</v>
      </c>
      <c r="AM118" s="31">
        <v>81976</v>
      </c>
      <c r="AN118" s="16">
        <v>70621</v>
      </c>
      <c r="AO118" s="16">
        <v>15397</v>
      </c>
      <c r="AP118" s="31">
        <v>86018</v>
      </c>
      <c r="AQ118" s="42"/>
      <c r="AR118" s="43"/>
      <c r="AS118" s="42"/>
      <c r="AT118" s="42"/>
    </row>
    <row r="119" spans="1:46" ht="12.9" customHeight="1" x14ac:dyDescent="0.25">
      <c r="A119" s="28" t="s">
        <v>264</v>
      </c>
      <c r="B119" s="29" t="s">
        <v>265</v>
      </c>
      <c r="C119" s="30" t="s">
        <v>73</v>
      </c>
      <c r="D119" s="40">
        <v>15617</v>
      </c>
      <c r="E119" s="26">
        <v>2057</v>
      </c>
      <c r="F119" s="26">
        <f t="shared" si="2"/>
        <v>17674</v>
      </c>
      <c r="G119" s="40">
        <v>18696</v>
      </c>
      <c r="H119" s="26">
        <v>2240</v>
      </c>
      <c r="I119" s="27">
        <f t="shared" si="3"/>
        <v>20936</v>
      </c>
      <c r="J119" s="40">
        <v>23701</v>
      </c>
      <c r="K119" s="26">
        <v>2706</v>
      </c>
      <c r="L119" s="27">
        <v>26407</v>
      </c>
      <c r="M119" s="26">
        <v>22604</v>
      </c>
      <c r="N119" s="26">
        <v>2747</v>
      </c>
      <c r="O119" s="27">
        <v>25351</v>
      </c>
      <c r="P119" s="26">
        <v>24430</v>
      </c>
      <c r="Q119" s="26">
        <v>3289</v>
      </c>
      <c r="R119" s="27">
        <v>27719</v>
      </c>
      <c r="S119" s="26">
        <v>25704</v>
      </c>
      <c r="T119" s="26">
        <v>4154</v>
      </c>
      <c r="U119" s="27">
        <v>29858</v>
      </c>
      <c r="V119" s="26">
        <v>26102</v>
      </c>
      <c r="W119" s="26">
        <v>5357</v>
      </c>
      <c r="X119" s="31">
        <v>31459</v>
      </c>
      <c r="Y119" s="16">
        <v>27817</v>
      </c>
      <c r="Z119" s="16">
        <v>4886</v>
      </c>
      <c r="AA119" s="31">
        <v>32703</v>
      </c>
      <c r="AB119" s="32">
        <v>25619</v>
      </c>
      <c r="AC119" s="16">
        <v>3309</v>
      </c>
      <c r="AD119" s="31">
        <v>28928</v>
      </c>
      <c r="AE119" s="16">
        <v>29721</v>
      </c>
      <c r="AF119" s="16">
        <v>3720</v>
      </c>
      <c r="AG119" s="31">
        <v>33441</v>
      </c>
      <c r="AH119" s="16">
        <v>28208</v>
      </c>
      <c r="AI119" s="16">
        <v>3900</v>
      </c>
      <c r="AJ119" s="31">
        <v>32108</v>
      </c>
      <c r="AK119" s="16">
        <v>34252</v>
      </c>
      <c r="AL119" s="16">
        <v>4493</v>
      </c>
      <c r="AM119" s="31">
        <v>38745</v>
      </c>
      <c r="AN119" s="16">
        <v>34252</v>
      </c>
      <c r="AO119" s="16">
        <v>4495</v>
      </c>
      <c r="AP119" s="31">
        <v>38747</v>
      </c>
      <c r="AQ119" s="42"/>
      <c r="AR119" s="43"/>
      <c r="AS119" s="42"/>
      <c r="AT119" s="42"/>
    </row>
    <row r="120" spans="1:46" ht="12.9" customHeight="1" x14ac:dyDescent="0.25">
      <c r="A120" s="28" t="s">
        <v>266</v>
      </c>
      <c r="B120" s="29" t="s">
        <v>267</v>
      </c>
      <c r="C120" s="30" t="s">
        <v>177</v>
      </c>
      <c r="D120" s="40">
        <v>36023</v>
      </c>
      <c r="E120" s="26">
        <v>6725</v>
      </c>
      <c r="F120" s="26">
        <f t="shared" si="2"/>
        <v>42748</v>
      </c>
      <c r="G120" s="40">
        <v>35112</v>
      </c>
      <c r="H120" s="26">
        <v>7819</v>
      </c>
      <c r="I120" s="27">
        <f t="shared" si="3"/>
        <v>42931</v>
      </c>
      <c r="J120" s="40">
        <v>36670</v>
      </c>
      <c r="K120" s="26">
        <v>6936</v>
      </c>
      <c r="L120" s="27">
        <v>43606</v>
      </c>
      <c r="M120" s="26">
        <v>38454</v>
      </c>
      <c r="N120" s="26">
        <v>7885</v>
      </c>
      <c r="O120" s="27">
        <v>46339</v>
      </c>
      <c r="P120" s="26">
        <v>39565</v>
      </c>
      <c r="Q120" s="26">
        <v>6687</v>
      </c>
      <c r="R120" s="27">
        <v>46252</v>
      </c>
      <c r="S120" s="26">
        <v>39506</v>
      </c>
      <c r="T120" s="26">
        <v>7769</v>
      </c>
      <c r="U120" s="27">
        <v>47275</v>
      </c>
      <c r="V120" s="26">
        <v>40156</v>
      </c>
      <c r="W120" s="26">
        <v>8212</v>
      </c>
      <c r="X120" s="31">
        <v>48368</v>
      </c>
      <c r="Y120" s="16">
        <v>43358</v>
      </c>
      <c r="Z120" s="16">
        <v>7501</v>
      </c>
      <c r="AA120" s="31">
        <v>50859</v>
      </c>
      <c r="AB120" s="32">
        <v>40260</v>
      </c>
      <c r="AC120" s="16">
        <v>6172</v>
      </c>
      <c r="AD120" s="31">
        <v>46432</v>
      </c>
      <c r="AE120" s="16">
        <v>44622</v>
      </c>
      <c r="AF120" s="16">
        <v>7451</v>
      </c>
      <c r="AG120" s="31">
        <v>52073</v>
      </c>
      <c r="AH120" s="16">
        <v>41296</v>
      </c>
      <c r="AI120" s="16">
        <v>6551</v>
      </c>
      <c r="AJ120" s="31">
        <v>47847</v>
      </c>
      <c r="AK120" s="16">
        <v>42004</v>
      </c>
      <c r="AL120" s="16">
        <v>5888</v>
      </c>
      <c r="AM120" s="31">
        <v>47892</v>
      </c>
      <c r="AN120" s="16">
        <v>42004</v>
      </c>
      <c r="AO120" s="16">
        <v>8402</v>
      </c>
      <c r="AP120" s="31">
        <v>50406</v>
      </c>
      <c r="AQ120" s="42"/>
      <c r="AR120" s="43"/>
      <c r="AS120" s="42"/>
      <c r="AT120" s="42"/>
    </row>
    <row r="121" spans="1:46" ht="12.9" customHeight="1" x14ac:dyDescent="0.25">
      <c r="A121" s="28" t="s">
        <v>268</v>
      </c>
      <c r="B121" s="29" t="s">
        <v>269</v>
      </c>
      <c r="C121" s="30" t="s">
        <v>184</v>
      </c>
      <c r="D121" s="40">
        <v>569622</v>
      </c>
      <c r="E121" s="26">
        <v>255549</v>
      </c>
      <c r="F121" s="26">
        <f t="shared" si="2"/>
        <v>825171</v>
      </c>
      <c r="G121" s="40">
        <v>554493</v>
      </c>
      <c r="H121" s="26">
        <v>270102</v>
      </c>
      <c r="I121" s="27">
        <f t="shared" si="3"/>
        <v>824595</v>
      </c>
      <c r="J121" s="40">
        <v>566141</v>
      </c>
      <c r="K121" s="26">
        <v>257125</v>
      </c>
      <c r="L121" s="27">
        <v>823266</v>
      </c>
      <c r="M121" s="26">
        <v>585516</v>
      </c>
      <c r="N121" s="26">
        <v>257293</v>
      </c>
      <c r="O121" s="27">
        <v>842809</v>
      </c>
      <c r="P121" s="26">
        <v>628448</v>
      </c>
      <c r="Q121" s="26">
        <v>241229</v>
      </c>
      <c r="R121" s="27">
        <v>869677</v>
      </c>
      <c r="S121" s="26">
        <v>550427</v>
      </c>
      <c r="T121" s="26">
        <v>286570</v>
      </c>
      <c r="U121" s="27">
        <v>836997</v>
      </c>
      <c r="V121" s="26">
        <v>537357</v>
      </c>
      <c r="W121" s="26">
        <v>273328</v>
      </c>
      <c r="X121" s="31">
        <v>810685</v>
      </c>
      <c r="Y121" s="16">
        <v>543575</v>
      </c>
      <c r="Z121" s="16">
        <v>284750</v>
      </c>
      <c r="AA121" s="31">
        <v>828325</v>
      </c>
      <c r="AB121" s="32">
        <v>526462</v>
      </c>
      <c r="AC121" s="16">
        <v>260797</v>
      </c>
      <c r="AD121" s="31">
        <v>787259</v>
      </c>
      <c r="AE121" s="16">
        <v>566748</v>
      </c>
      <c r="AF121" s="16">
        <v>285075</v>
      </c>
      <c r="AG121" s="31">
        <v>851823</v>
      </c>
      <c r="AH121" s="16">
        <v>530723</v>
      </c>
      <c r="AI121" s="16">
        <v>263790</v>
      </c>
      <c r="AJ121" s="31">
        <v>794513</v>
      </c>
      <c r="AK121" s="16">
        <v>549473</v>
      </c>
      <c r="AL121" s="16">
        <v>261537</v>
      </c>
      <c r="AM121" s="31">
        <v>811010</v>
      </c>
      <c r="AN121" s="16">
        <v>583382</v>
      </c>
      <c r="AO121" s="16">
        <v>233149</v>
      </c>
      <c r="AP121" s="31">
        <v>816531</v>
      </c>
      <c r="AQ121" s="42"/>
      <c r="AR121" s="43"/>
      <c r="AS121" s="42"/>
      <c r="AT121" s="42"/>
    </row>
    <row r="122" spans="1:46" ht="12.9" customHeight="1" x14ac:dyDescent="0.25">
      <c r="A122" s="28" t="s">
        <v>270</v>
      </c>
      <c r="B122" s="29" t="s">
        <v>271</v>
      </c>
      <c r="C122" s="30" t="s">
        <v>150</v>
      </c>
      <c r="D122" s="40">
        <v>91981</v>
      </c>
      <c r="E122" s="26">
        <v>46469</v>
      </c>
      <c r="F122" s="26">
        <f t="shared" si="2"/>
        <v>138450</v>
      </c>
      <c r="G122" s="40">
        <v>94296</v>
      </c>
      <c r="H122" s="26">
        <v>47835</v>
      </c>
      <c r="I122" s="27">
        <f t="shared" si="3"/>
        <v>142131</v>
      </c>
      <c r="J122" s="40">
        <v>102816</v>
      </c>
      <c r="K122" s="26">
        <v>54526</v>
      </c>
      <c r="L122" s="27">
        <v>157342</v>
      </c>
      <c r="M122" s="26">
        <v>106937</v>
      </c>
      <c r="N122" s="26">
        <v>45752</v>
      </c>
      <c r="O122" s="27">
        <v>152689</v>
      </c>
      <c r="P122" s="26">
        <v>110859</v>
      </c>
      <c r="Q122" s="26">
        <v>55898</v>
      </c>
      <c r="R122" s="27">
        <v>166757</v>
      </c>
      <c r="S122" s="26">
        <v>109430</v>
      </c>
      <c r="T122" s="26">
        <v>62494</v>
      </c>
      <c r="U122" s="27">
        <v>171924</v>
      </c>
      <c r="V122" s="26">
        <v>99774</v>
      </c>
      <c r="W122" s="26">
        <v>56502</v>
      </c>
      <c r="X122" s="31">
        <v>156276</v>
      </c>
      <c r="Y122" s="16">
        <v>106134</v>
      </c>
      <c r="Z122" s="16">
        <v>51801</v>
      </c>
      <c r="AA122" s="31">
        <v>157935</v>
      </c>
      <c r="AB122" s="32">
        <v>96855</v>
      </c>
      <c r="AC122" s="16">
        <v>54569</v>
      </c>
      <c r="AD122" s="31">
        <v>151424</v>
      </c>
      <c r="AE122" s="16">
        <v>104968</v>
      </c>
      <c r="AF122" s="16">
        <v>52935</v>
      </c>
      <c r="AG122" s="31">
        <v>157903</v>
      </c>
      <c r="AH122" s="16">
        <v>96402</v>
      </c>
      <c r="AI122" s="16">
        <v>54880</v>
      </c>
      <c r="AJ122" s="31">
        <v>151282</v>
      </c>
      <c r="AK122" s="16">
        <v>105990</v>
      </c>
      <c r="AL122" s="16">
        <v>54691</v>
      </c>
      <c r="AM122" s="31">
        <v>160681</v>
      </c>
      <c r="AN122" s="16">
        <v>112016</v>
      </c>
      <c r="AO122" s="16">
        <v>61441</v>
      </c>
      <c r="AP122" s="31">
        <v>173457</v>
      </c>
      <c r="AQ122" s="42"/>
      <c r="AR122" s="43"/>
      <c r="AS122" s="42"/>
      <c r="AT122" s="42"/>
    </row>
    <row r="123" spans="1:46" ht="12.9" customHeight="1" x14ac:dyDescent="0.25">
      <c r="A123" s="28" t="s">
        <v>272</v>
      </c>
      <c r="B123" s="29" t="s">
        <v>273</v>
      </c>
      <c r="C123" s="30" t="s">
        <v>274</v>
      </c>
      <c r="D123" s="40">
        <v>146632</v>
      </c>
      <c r="E123" s="26">
        <v>84286</v>
      </c>
      <c r="F123" s="26">
        <f t="shared" si="2"/>
        <v>230918</v>
      </c>
      <c r="G123" s="40">
        <v>156878</v>
      </c>
      <c r="H123" s="26">
        <v>71745</v>
      </c>
      <c r="I123" s="27">
        <f t="shared" si="3"/>
        <v>228623</v>
      </c>
      <c r="J123" s="40">
        <v>168558</v>
      </c>
      <c r="K123" s="26">
        <v>69151</v>
      </c>
      <c r="L123" s="27">
        <v>237709</v>
      </c>
      <c r="M123" s="26">
        <v>166682</v>
      </c>
      <c r="N123" s="26">
        <v>70078</v>
      </c>
      <c r="O123" s="27">
        <v>236760</v>
      </c>
      <c r="P123" s="26">
        <v>162739</v>
      </c>
      <c r="Q123" s="26">
        <v>82395</v>
      </c>
      <c r="R123" s="27">
        <v>245134</v>
      </c>
      <c r="S123" s="26">
        <v>161996</v>
      </c>
      <c r="T123" s="26">
        <v>87100</v>
      </c>
      <c r="U123" s="27">
        <v>249096</v>
      </c>
      <c r="V123" s="26">
        <v>146161</v>
      </c>
      <c r="W123" s="26">
        <v>63673</v>
      </c>
      <c r="X123" s="31">
        <v>209834</v>
      </c>
      <c r="Y123" s="16">
        <v>155749</v>
      </c>
      <c r="Z123" s="16">
        <v>59975</v>
      </c>
      <c r="AA123" s="31">
        <v>215724</v>
      </c>
      <c r="AB123" s="32">
        <v>155696</v>
      </c>
      <c r="AC123" s="16">
        <v>42105</v>
      </c>
      <c r="AD123" s="31">
        <v>197801</v>
      </c>
      <c r="AE123" s="16">
        <v>152022</v>
      </c>
      <c r="AF123" s="16">
        <v>62212</v>
      </c>
      <c r="AG123" s="31">
        <v>214234</v>
      </c>
      <c r="AH123" s="16">
        <v>148227</v>
      </c>
      <c r="AI123" s="16">
        <v>93298</v>
      </c>
      <c r="AJ123" s="31">
        <v>241525</v>
      </c>
      <c r="AK123" s="16">
        <v>152871</v>
      </c>
      <c r="AL123" s="16">
        <v>82642</v>
      </c>
      <c r="AM123" s="31">
        <v>235513</v>
      </c>
      <c r="AN123" s="16">
        <v>161398</v>
      </c>
      <c r="AO123" s="16">
        <v>90879</v>
      </c>
      <c r="AP123" s="31">
        <v>252277</v>
      </c>
      <c r="AQ123" s="42"/>
      <c r="AR123" s="43"/>
      <c r="AS123" s="42"/>
      <c r="AT123" s="42"/>
    </row>
    <row r="124" spans="1:46" ht="12.9" customHeight="1" x14ac:dyDescent="0.25">
      <c r="A124" s="28" t="s">
        <v>275</v>
      </c>
      <c r="B124" s="29" t="s">
        <v>276</v>
      </c>
      <c r="C124" s="30" t="s">
        <v>150</v>
      </c>
      <c r="D124" s="40">
        <v>4534</v>
      </c>
      <c r="E124" s="26">
        <v>54422</v>
      </c>
      <c r="F124" s="26">
        <f t="shared" si="2"/>
        <v>58956</v>
      </c>
      <c r="G124" s="40">
        <v>6419</v>
      </c>
      <c r="H124" s="26">
        <v>58424</v>
      </c>
      <c r="I124" s="27">
        <f t="shared" si="3"/>
        <v>64843</v>
      </c>
      <c r="J124" s="40">
        <v>7001</v>
      </c>
      <c r="K124" s="26">
        <v>58989</v>
      </c>
      <c r="L124" s="27">
        <v>65990</v>
      </c>
      <c r="M124" s="26">
        <v>6322</v>
      </c>
      <c r="N124" s="26">
        <v>59767</v>
      </c>
      <c r="O124" s="27">
        <v>66089</v>
      </c>
      <c r="P124" s="26">
        <v>6039</v>
      </c>
      <c r="Q124" s="26">
        <v>53560</v>
      </c>
      <c r="R124" s="27">
        <v>59599</v>
      </c>
      <c r="S124" s="26">
        <v>5586</v>
      </c>
      <c r="T124" s="26">
        <v>53928</v>
      </c>
      <c r="U124" s="27">
        <v>59514</v>
      </c>
      <c r="V124" s="26">
        <v>5473</v>
      </c>
      <c r="W124" s="26">
        <v>57159</v>
      </c>
      <c r="X124" s="31">
        <v>62632</v>
      </c>
      <c r="Y124" s="16">
        <v>6164</v>
      </c>
      <c r="Z124" s="16">
        <v>52025</v>
      </c>
      <c r="AA124" s="31">
        <v>58189</v>
      </c>
      <c r="AB124" s="32">
        <v>5917</v>
      </c>
      <c r="AC124" s="16">
        <v>60571</v>
      </c>
      <c r="AD124" s="31">
        <v>66488</v>
      </c>
      <c r="AE124" s="16">
        <v>5586</v>
      </c>
      <c r="AF124" s="16">
        <v>58737</v>
      </c>
      <c r="AG124" s="31">
        <v>64323</v>
      </c>
      <c r="AH124" s="16">
        <v>4621</v>
      </c>
      <c r="AI124" s="16">
        <v>46920</v>
      </c>
      <c r="AJ124" s="31">
        <v>51541</v>
      </c>
      <c r="AK124" s="16">
        <v>4871</v>
      </c>
      <c r="AL124" s="16">
        <v>50741</v>
      </c>
      <c r="AM124" s="31">
        <v>55612</v>
      </c>
      <c r="AN124" s="16">
        <v>4756</v>
      </c>
      <c r="AO124" s="16">
        <v>46542</v>
      </c>
      <c r="AP124" s="31">
        <v>51298</v>
      </c>
      <c r="AQ124" s="42"/>
      <c r="AR124" s="43"/>
      <c r="AS124" s="42"/>
      <c r="AT124" s="42"/>
    </row>
    <row r="125" spans="1:46" ht="12.9" customHeight="1" x14ac:dyDescent="0.25">
      <c r="A125" s="28" t="s">
        <v>277</v>
      </c>
      <c r="B125" s="29" t="s">
        <v>278</v>
      </c>
      <c r="C125" s="30" t="s">
        <v>26</v>
      </c>
      <c r="D125" s="40">
        <v>426333</v>
      </c>
      <c r="E125" s="26">
        <v>65150</v>
      </c>
      <c r="F125" s="26">
        <f t="shared" si="2"/>
        <v>491483</v>
      </c>
      <c r="G125" s="40">
        <v>455217</v>
      </c>
      <c r="H125" s="26">
        <v>69894</v>
      </c>
      <c r="I125" s="27">
        <f t="shared" si="3"/>
        <v>525111</v>
      </c>
      <c r="J125" s="40">
        <v>502341</v>
      </c>
      <c r="K125" s="26">
        <v>68727</v>
      </c>
      <c r="L125" s="27">
        <v>571068</v>
      </c>
      <c r="M125" s="26">
        <v>517269</v>
      </c>
      <c r="N125" s="26">
        <v>59850</v>
      </c>
      <c r="O125" s="27">
        <v>577119</v>
      </c>
      <c r="P125" s="26">
        <v>505462</v>
      </c>
      <c r="Q125" s="26">
        <v>60723</v>
      </c>
      <c r="R125" s="27">
        <v>566185</v>
      </c>
      <c r="S125" s="26">
        <v>459388</v>
      </c>
      <c r="T125" s="26">
        <v>70556</v>
      </c>
      <c r="U125" s="27">
        <v>529944</v>
      </c>
      <c r="V125" s="26">
        <v>430955</v>
      </c>
      <c r="W125" s="26">
        <v>69691</v>
      </c>
      <c r="X125" s="31">
        <v>500646</v>
      </c>
      <c r="Y125" s="16">
        <v>450863</v>
      </c>
      <c r="Z125" s="16">
        <v>70513</v>
      </c>
      <c r="AA125" s="31">
        <v>521376</v>
      </c>
      <c r="AB125" s="32">
        <v>431638</v>
      </c>
      <c r="AC125" s="16">
        <v>70617</v>
      </c>
      <c r="AD125" s="31">
        <v>502255</v>
      </c>
      <c r="AE125" s="16">
        <v>432002</v>
      </c>
      <c r="AF125" s="16">
        <v>74236</v>
      </c>
      <c r="AG125" s="31">
        <v>506238</v>
      </c>
      <c r="AH125" s="16">
        <v>403372</v>
      </c>
      <c r="AI125" s="16">
        <v>66273</v>
      </c>
      <c r="AJ125" s="31">
        <v>469645</v>
      </c>
      <c r="AK125" s="16">
        <v>406764</v>
      </c>
      <c r="AL125" s="16">
        <v>75527</v>
      </c>
      <c r="AM125" s="31">
        <v>482291</v>
      </c>
      <c r="AN125" s="16">
        <v>468951</v>
      </c>
      <c r="AO125" s="16">
        <v>68270</v>
      </c>
      <c r="AP125" s="31">
        <v>537221</v>
      </c>
      <c r="AQ125" s="42"/>
      <c r="AR125" s="43"/>
      <c r="AS125" s="42"/>
      <c r="AT125" s="42"/>
    </row>
    <row r="126" spans="1:46" ht="12.9" customHeight="1" x14ac:dyDescent="0.25">
      <c r="A126" s="28" t="s">
        <v>279</v>
      </c>
      <c r="B126" s="29" t="s">
        <v>280</v>
      </c>
      <c r="C126" s="30" t="s">
        <v>281</v>
      </c>
      <c r="D126" s="40">
        <v>6435</v>
      </c>
      <c r="E126" s="26">
        <v>4343</v>
      </c>
      <c r="F126" s="26">
        <f t="shared" si="2"/>
        <v>10778</v>
      </c>
      <c r="G126" s="40">
        <v>7312</v>
      </c>
      <c r="H126" s="26">
        <v>5336</v>
      </c>
      <c r="I126" s="27">
        <f t="shared" si="3"/>
        <v>12648</v>
      </c>
      <c r="J126" s="40">
        <v>7312</v>
      </c>
      <c r="K126" s="26">
        <v>5336</v>
      </c>
      <c r="L126" s="27">
        <v>12648</v>
      </c>
      <c r="M126" s="26">
        <v>6306</v>
      </c>
      <c r="N126" s="26">
        <v>4230</v>
      </c>
      <c r="O126" s="27">
        <v>10536</v>
      </c>
      <c r="P126" s="26">
        <v>6294</v>
      </c>
      <c r="Q126" s="26">
        <v>3869</v>
      </c>
      <c r="R126" s="27">
        <v>10163</v>
      </c>
      <c r="S126" s="26">
        <v>6306</v>
      </c>
      <c r="T126" s="26">
        <v>4230</v>
      </c>
      <c r="U126" s="27">
        <v>10536</v>
      </c>
      <c r="V126" s="26">
        <v>6477</v>
      </c>
      <c r="W126" s="26">
        <v>4511</v>
      </c>
      <c r="X126" s="31">
        <v>10988</v>
      </c>
      <c r="Y126" s="16">
        <v>6921</v>
      </c>
      <c r="Z126" s="16">
        <v>3438</v>
      </c>
      <c r="AA126" s="31">
        <v>10359</v>
      </c>
      <c r="AB126" s="32">
        <v>7496</v>
      </c>
      <c r="AC126" s="16">
        <v>26722</v>
      </c>
      <c r="AD126" s="31">
        <v>34218</v>
      </c>
      <c r="AE126" s="16">
        <v>7496</v>
      </c>
      <c r="AF126" s="16">
        <v>26722</v>
      </c>
      <c r="AG126" s="31">
        <v>34218</v>
      </c>
      <c r="AH126" s="16">
        <v>8368</v>
      </c>
      <c r="AI126" s="16">
        <v>31211</v>
      </c>
      <c r="AJ126" s="31">
        <v>39579</v>
      </c>
      <c r="AK126" s="16">
        <v>8721</v>
      </c>
      <c r="AL126" s="16">
        <v>25515</v>
      </c>
      <c r="AM126" s="31">
        <v>34236</v>
      </c>
      <c r="AN126" s="16">
        <v>10135</v>
      </c>
      <c r="AO126" s="16">
        <v>1890</v>
      </c>
      <c r="AP126" s="31">
        <v>12025</v>
      </c>
      <c r="AQ126" s="42"/>
      <c r="AR126" s="43"/>
      <c r="AS126" s="42"/>
      <c r="AT126" s="42"/>
    </row>
    <row r="127" spans="1:46" ht="12.9" customHeight="1" x14ac:dyDescent="0.25">
      <c r="A127" s="28" t="s">
        <v>282</v>
      </c>
      <c r="B127" s="29" t="s">
        <v>1950</v>
      </c>
      <c r="C127" s="30" t="s">
        <v>249</v>
      </c>
      <c r="D127" s="40">
        <v>7892</v>
      </c>
      <c r="E127" s="26">
        <v>1351</v>
      </c>
      <c r="F127" s="26">
        <f t="shared" si="2"/>
        <v>9243</v>
      </c>
      <c r="G127" s="40">
        <v>8244</v>
      </c>
      <c r="H127" s="26">
        <v>1181</v>
      </c>
      <c r="I127" s="27">
        <f t="shared" si="3"/>
        <v>9425</v>
      </c>
      <c r="J127" s="40">
        <v>8879</v>
      </c>
      <c r="K127" s="26">
        <v>1537</v>
      </c>
      <c r="L127" s="27">
        <v>10416</v>
      </c>
      <c r="M127" s="26">
        <v>9492</v>
      </c>
      <c r="N127" s="26">
        <v>2555</v>
      </c>
      <c r="O127" s="27">
        <v>12047</v>
      </c>
      <c r="P127" s="26">
        <v>8947</v>
      </c>
      <c r="Q127" s="26">
        <v>1437</v>
      </c>
      <c r="R127" s="27">
        <v>10384</v>
      </c>
      <c r="S127" s="26">
        <v>8354</v>
      </c>
      <c r="T127" s="26">
        <v>945</v>
      </c>
      <c r="U127" s="27">
        <v>9299</v>
      </c>
      <c r="V127" s="26">
        <v>8343</v>
      </c>
      <c r="W127" s="26">
        <v>1512</v>
      </c>
      <c r="X127" s="31">
        <v>9855</v>
      </c>
      <c r="Y127" s="16">
        <v>8617</v>
      </c>
      <c r="Z127" s="16">
        <v>1613</v>
      </c>
      <c r="AA127" s="31">
        <v>10230</v>
      </c>
      <c r="AB127" s="32">
        <v>8872</v>
      </c>
      <c r="AC127" s="16">
        <v>1035</v>
      </c>
      <c r="AD127" s="31">
        <v>9907</v>
      </c>
      <c r="AE127" s="16">
        <v>9035</v>
      </c>
      <c r="AF127" s="16">
        <v>830</v>
      </c>
      <c r="AG127" s="31">
        <v>9865</v>
      </c>
      <c r="AH127" s="16">
        <v>9451</v>
      </c>
      <c r="AI127" s="16">
        <v>867</v>
      </c>
      <c r="AJ127" s="31">
        <v>10318</v>
      </c>
      <c r="AK127" s="16">
        <v>10207</v>
      </c>
      <c r="AL127" s="16">
        <v>509</v>
      </c>
      <c r="AM127" s="31">
        <v>10716</v>
      </c>
      <c r="AN127" s="16">
        <v>10207</v>
      </c>
      <c r="AO127" s="16">
        <v>509</v>
      </c>
      <c r="AP127" s="31">
        <v>10716</v>
      </c>
      <c r="AQ127" s="42"/>
      <c r="AR127" s="43"/>
      <c r="AS127" s="42"/>
      <c r="AT127" s="42"/>
    </row>
    <row r="128" spans="1:46" ht="12.9" customHeight="1" x14ac:dyDescent="0.25">
      <c r="A128" s="28" t="s">
        <v>283</v>
      </c>
      <c r="B128" s="29" t="s">
        <v>284</v>
      </c>
      <c r="C128" s="30" t="s">
        <v>53</v>
      </c>
      <c r="D128" s="40">
        <v>237944</v>
      </c>
      <c r="E128" s="26">
        <v>118093</v>
      </c>
      <c r="F128" s="26">
        <f t="shared" si="2"/>
        <v>356037</v>
      </c>
      <c r="G128" s="40">
        <v>242141</v>
      </c>
      <c r="H128" s="26">
        <v>102796</v>
      </c>
      <c r="I128" s="27">
        <f t="shared" si="3"/>
        <v>344937</v>
      </c>
      <c r="J128" s="40">
        <v>263743</v>
      </c>
      <c r="K128" s="26">
        <v>101143</v>
      </c>
      <c r="L128" s="27">
        <v>364886</v>
      </c>
      <c r="M128" s="26">
        <v>381606</v>
      </c>
      <c r="N128" s="26">
        <v>64455</v>
      </c>
      <c r="O128" s="27">
        <v>446061</v>
      </c>
      <c r="P128" s="26">
        <v>249506</v>
      </c>
      <c r="Q128" s="26">
        <v>47997</v>
      </c>
      <c r="R128" s="27">
        <v>297503</v>
      </c>
      <c r="S128" s="26">
        <v>227463</v>
      </c>
      <c r="T128" s="26">
        <v>102079</v>
      </c>
      <c r="U128" s="27">
        <v>329542</v>
      </c>
      <c r="V128" s="26">
        <v>210903</v>
      </c>
      <c r="W128" s="26">
        <v>105139</v>
      </c>
      <c r="X128" s="31">
        <v>316042</v>
      </c>
      <c r="Y128" s="16">
        <v>213305</v>
      </c>
      <c r="Z128" s="16">
        <v>86610</v>
      </c>
      <c r="AA128" s="31">
        <v>299915</v>
      </c>
      <c r="AB128" s="32">
        <v>207054</v>
      </c>
      <c r="AC128" s="16">
        <v>66029</v>
      </c>
      <c r="AD128" s="31">
        <v>273083</v>
      </c>
      <c r="AE128" s="16">
        <v>203087</v>
      </c>
      <c r="AF128" s="16">
        <v>57135</v>
      </c>
      <c r="AG128" s="31">
        <v>260222</v>
      </c>
      <c r="AH128" s="16">
        <v>192431</v>
      </c>
      <c r="AI128" s="16">
        <v>47449</v>
      </c>
      <c r="AJ128" s="31">
        <v>239880</v>
      </c>
      <c r="AK128" s="16">
        <v>222918</v>
      </c>
      <c r="AL128" s="16">
        <v>56723</v>
      </c>
      <c r="AM128" s="31">
        <v>279641</v>
      </c>
      <c r="AN128" s="16">
        <v>239926</v>
      </c>
      <c r="AO128" s="16">
        <v>19600</v>
      </c>
      <c r="AP128" s="31">
        <v>259526</v>
      </c>
      <c r="AQ128" s="42"/>
      <c r="AR128" s="43"/>
      <c r="AS128" s="42"/>
      <c r="AT128" s="42"/>
    </row>
    <row r="129" spans="1:46" ht="12.9" customHeight="1" x14ac:dyDescent="0.25">
      <c r="A129" s="28" t="s">
        <v>285</v>
      </c>
      <c r="B129" s="29" t="s">
        <v>286</v>
      </c>
      <c r="C129" s="30" t="s">
        <v>59</v>
      </c>
      <c r="D129" s="40">
        <v>375544</v>
      </c>
      <c r="E129" s="26">
        <v>118376</v>
      </c>
      <c r="F129" s="26">
        <f t="shared" si="2"/>
        <v>493920</v>
      </c>
      <c r="G129" s="40">
        <v>400189</v>
      </c>
      <c r="H129" s="26">
        <v>131304</v>
      </c>
      <c r="I129" s="27">
        <f t="shared" si="3"/>
        <v>531493</v>
      </c>
      <c r="J129" s="40">
        <v>408844</v>
      </c>
      <c r="K129" s="26">
        <v>130223</v>
      </c>
      <c r="L129" s="27">
        <v>539067</v>
      </c>
      <c r="M129" s="26">
        <v>429739</v>
      </c>
      <c r="N129" s="26">
        <v>126144</v>
      </c>
      <c r="O129" s="27">
        <v>555883</v>
      </c>
      <c r="P129" s="26">
        <v>456162</v>
      </c>
      <c r="Q129" s="26">
        <v>94738</v>
      </c>
      <c r="R129" s="27">
        <v>550900</v>
      </c>
      <c r="S129" s="26">
        <v>415550</v>
      </c>
      <c r="T129" s="26">
        <v>112697</v>
      </c>
      <c r="U129" s="27">
        <v>528247</v>
      </c>
      <c r="V129" s="26">
        <v>413127</v>
      </c>
      <c r="W129" s="26">
        <v>110023</v>
      </c>
      <c r="X129" s="31">
        <v>523150</v>
      </c>
      <c r="Y129" s="16">
        <v>426105</v>
      </c>
      <c r="Z129" s="16">
        <v>99651</v>
      </c>
      <c r="AA129" s="31">
        <v>525756</v>
      </c>
      <c r="AB129" s="32">
        <v>435144</v>
      </c>
      <c r="AC129" s="16">
        <v>135953</v>
      </c>
      <c r="AD129" s="31">
        <v>571097</v>
      </c>
      <c r="AE129" s="16">
        <v>435144</v>
      </c>
      <c r="AF129" s="16">
        <v>99656</v>
      </c>
      <c r="AG129" s="31">
        <v>534800</v>
      </c>
      <c r="AH129" s="16">
        <v>435144</v>
      </c>
      <c r="AI129" s="16">
        <v>86135</v>
      </c>
      <c r="AJ129" s="31">
        <v>521279</v>
      </c>
      <c r="AK129" s="16">
        <v>407751</v>
      </c>
      <c r="AL129" s="16">
        <v>85710</v>
      </c>
      <c r="AM129" s="31">
        <v>493461</v>
      </c>
      <c r="AN129" s="16">
        <v>441689</v>
      </c>
      <c r="AO129" s="16">
        <v>126663</v>
      </c>
      <c r="AP129" s="31">
        <v>568352</v>
      </c>
      <c r="AQ129" s="42"/>
      <c r="AR129" s="43"/>
      <c r="AS129" s="42"/>
      <c r="AT129" s="42"/>
    </row>
    <row r="130" spans="1:46" ht="12.9" customHeight="1" x14ac:dyDescent="0.25">
      <c r="A130" s="28" t="s">
        <v>287</v>
      </c>
      <c r="B130" s="29" t="s">
        <v>288</v>
      </c>
      <c r="C130" s="30" t="s">
        <v>23</v>
      </c>
      <c r="D130" s="40">
        <v>9012</v>
      </c>
      <c r="E130" s="26">
        <v>2</v>
      </c>
      <c r="F130" s="26">
        <f t="shared" si="2"/>
        <v>9014</v>
      </c>
      <c r="G130" s="40">
        <v>12538</v>
      </c>
      <c r="H130" s="26">
        <v>300</v>
      </c>
      <c r="I130" s="27">
        <f t="shared" si="3"/>
        <v>12838</v>
      </c>
      <c r="J130" s="40">
        <v>11227</v>
      </c>
      <c r="K130" s="26">
        <v>278</v>
      </c>
      <c r="L130" s="27">
        <v>11505</v>
      </c>
      <c r="M130" s="26">
        <v>11806</v>
      </c>
      <c r="N130" s="26">
        <v>407</v>
      </c>
      <c r="O130" s="27">
        <v>12213</v>
      </c>
      <c r="P130" s="26">
        <v>10786</v>
      </c>
      <c r="Q130" s="26">
        <v>289</v>
      </c>
      <c r="R130" s="27">
        <v>11075</v>
      </c>
      <c r="S130" s="26">
        <v>10372</v>
      </c>
      <c r="T130" s="26">
        <v>444</v>
      </c>
      <c r="U130" s="27">
        <v>10816</v>
      </c>
      <c r="V130" s="26">
        <v>12820</v>
      </c>
      <c r="W130" s="26">
        <v>263</v>
      </c>
      <c r="X130" s="31">
        <v>13083</v>
      </c>
      <c r="Y130" s="16">
        <v>12165</v>
      </c>
      <c r="Z130" s="16">
        <v>377</v>
      </c>
      <c r="AA130" s="31">
        <v>12542</v>
      </c>
      <c r="AB130" s="32">
        <v>11030</v>
      </c>
      <c r="AC130" s="16">
        <v>0</v>
      </c>
      <c r="AD130" s="31">
        <v>11030</v>
      </c>
      <c r="AE130" s="16">
        <v>12465</v>
      </c>
      <c r="AF130" s="16">
        <v>0</v>
      </c>
      <c r="AG130" s="31">
        <v>12465</v>
      </c>
      <c r="AH130" s="16">
        <v>10569</v>
      </c>
      <c r="AI130" s="16">
        <v>850</v>
      </c>
      <c r="AJ130" s="31">
        <v>11419</v>
      </c>
      <c r="AK130" s="16">
        <v>11711</v>
      </c>
      <c r="AL130" s="16">
        <v>1275</v>
      </c>
      <c r="AM130" s="31">
        <v>12986</v>
      </c>
      <c r="AN130" s="16">
        <v>11711</v>
      </c>
      <c r="AO130" s="16">
        <v>0</v>
      </c>
      <c r="AP130" s="31">
        <v>11711</v>
      </c>
      <c r="AQ130" s="42"/>
      <c r="AR130" s="43"/>
      <c r="AS130" s="42"/>
      <c r="AT130" s="42"/>
    </row>
    <row r="131" spans="1:46" ht="12.9" customHeight="1" x14ac:dyDescent="0.25">
      <c r="A131" s="28" t="s">
        <v>289</v>
      </c>
      <c r="B131" s="29" t="s">
        <v>290</v>
      </c>
      <c r="C131" s="30" t="s">
        <v>218</v>
      </c>
      <c r="D131" s="40">
        <v>12549</v>
      </c>
      <c r="E131" s="26">
        <v>4814</v>
      </c>
      <c r="F131" s="26">
        <f t="shared" si="2"/>
        <v>17363</v>
      </c>
      <c r="G131" s="40">
        <v>12586</v>
      </c>
      <c r="H131" s="26">
        <v>5827</v>
      </c>
      <c r="I131" s="27">
        <f t="shared" si="3"/>
        <v>18413</v>
      </c>
      <c r="J131" s="40">
        <v>12670</v>
      </c>
      <c r="K131" s="26">
        <v>5590</v>
      </c>
      <c r="L131" s="27">
        <v>18260</v>
      </c>
      <c r="M131" s="26">
        <v>11973</v>
      </c>
      <c r="N131" s="26">
        <v>5430</v>
      </c>
      <c r="O131" s="27">
        <v>17403</v>
      </c>
      <c r="P131" s="26">
        <v>12752</v>
      </c>
      <c r="Q131" s="26">
        <v>5100</v>
      </c>
      <c r="R131" s="27">
        <v>17852</v>
      </c>
      <c r="S131" s="26">
        <v>12634</v>
      </c>
      <c r="T131" s="26">
        <v>4684</v>
      </c>
      <c r="U131" s="27">
        <v>17318</v>
      </c>
      <c r="V131" s="26">
        <v>12103</v>
      </c>
      <c r="W131" s="26">
        <v>2445</v>
      </c>
      <c r="X131" s="31">
        <v>14548</v>
      </c>
      <c r="Y131" s="16">
        <v>12701</v>
      </c>
      <c r="Z131" s="16">
        <v>2680</v>
      </c>
      <c r="AA131" s="31">
        <v>15381</v>
      </c>
      <c r="AB131" s="32">
        <v>12798</v>
      </c>
      <c r="AC131" s="16">
        <v>2214</v>
      </c>
      <c r="AD131" s="31">
        <v>15012</v>
      </c>
      <c r="AE131" s="16">
        <v>12573</v>
      </c>
      <c r="AF131" s="16">
        <v>2185</v>
      </c>
      <c r="AG131" s="31">
        <v>14758</v>
      </c>
      <c r="AH131" s="16">
        <v>12571</v>
      </c>
      <c r="AI131" s="16">
        <v>2475</v>
      </c>
      <c r="AJ131" s="31">
        <v>15046</v>
      </c>
      <c r="AK131" s="16">
        <v>12870</v>
      </c>
      <c r="AL131" s="16">
        <v>2666</v>
      </c>
      <c r="AM131" s="31">
        <v>15536</v>
      </c>
      <c r="AN131" s="16">
        <v>14693</v>
      </c>
      <c r="AO131" s="16">
        <v>2604</v>
      </c>
      <c r="AP131" s="31">
        <v>17297</v>
      </c>
      <c r="AQ131" s="42"/>
      <c r="AR131" s="43"/>
      <c r="AS131" s="42"/>
      <c r="AT131" s="42"/>
    </row>
    <row r="132" spans="1:46" ht="12.9" customHeight="1" x14ac:dyDescent="0.25">
      <c r="A132" s="28" t="s">
        <v>291</v>
      </c>
      <c r="B132" s="29" t="s">
        <v>292</v>
      </c>
      <c r="C132" s="30" t="s">
        <v>123</v>
      </c>
      <c r="D132" s="40">
        <v>1780120</v>
      </c>
      <c r="E132" s="26">
        <v>984189</v>
      </c>
      <c r="F132" s="26">
        <f t="shared" si="2"/>
        <v>2764309</v>
      </c>
      <c r="G132" s="40">
        <v>1822754</v>
      </c>
      <c r="H132" s="26">
        <v>969220</v>
      </c>
      <c r="I132" s="27">
        <f t="shared" si="3"/>
        <v>2791974</v>
      </c>
      <c r="J132" s="40">
        <v>1836561</v>
      </c>
      <c r="K132" s="26">
        <v>1169326</v>
      </c>
      <c r="L132" s="27">
        <v>3005887</v>
      </c>
      <c r="M132" s="26">
        <v>1966015</v>
      </c>
      <c r="N132" s="26">
        <v>1077157</v>
      </c>
      <c r="O132" s="27">
        <v>3043172</v>
      </c>
      <c r="P132" s="26">
        <v>1919596</v>
      </c>
      <c r="Q132" s="26">
        <v>883846</v>
      </c>
      <c r="R132" s="27">
        <v>2803442</v>
      </c>
      <c r="S132" s="26">
        <v>1859966</v>
      </c>
      <c r="T132" s="26">
        <v>1135828</v>
      </c>
      <c r="U132" s="27">
        <v>2995794</v>
      </c>
      <c r="V132" s="26">
        <v>1863150</v>
      </c>
      <c r="W132" s="26">
        <v>1134187</v>
      </c>
      <c r="X132" s="31">
        <v>2997337</v>
      </c>
      <c r="Y132" s="16">
        <v>1887883</v>
      </c>
      <c r="Z132" s="16">
        <v>1276689</v>
      </c>
      <c r="AA132" s="31">
        <v>3164572</v>
      </c>
      <c r="AB132" s="32">
        <v>1832261</v>
      </c>
      <c r="AC132" s="16">
        <v>1088853</v>
      </c>
      <c r="AD132" s="31">
        <v>2921114</v>
      </c>
      <c r="AE132" s="16">
        <v>1954433</v>
      </c>
      <c r="AF132" s="16">
        <v>1347944</v>
      </c>
      <c r="AG132" s="31">
        <v>3302377</v>
      </c>
      <c r="AH132" s="16">
        <v>1825657</v>
      </c>
      <c r="AI132" s="16">
        <v>1301300</v>
      </c>
      <c r="AJ132" s="31">
        <v>3126957</v>
      </c>
      <c r="AK132" s="16">
        <v>1840160</v>
      </c>
      <c r="AL132" s="16">
        <v>1307099</v>
      </c>
      <c r="AM132" s="31">
        <v>3147259</v>
      </c>
      <c r="AN132" s="16">
        <v>2306903</v>
      </c>
      <c r="AO132" s="16">
        <v>1254902</v>
      </c>
      <c r="AP132" s="31">
        <v>3561805</v>
      </c>
      <c r="AQ132" s="42"/>
      <c r="AR132" s="43"/>
      <c r="AS132" s="42"/>
      <c r="AT132" s="42"/>
    </row>
    <row r="133" spans="1:46" ht="12.9" customHeight="1" x14ac:dyDescent="0.25">
      <c r="A133" s="28" t="s">
        <v>293</v>
      </c>
      <c r="B133" s="29" t="s">
        <v>294</v>
      </c>
      <c r="C133" s="30" t="s">
        <v>23</v>
      </c>
      <c r="D133" s="40">
        <v>7548</v>
      </c>
      <c r="E133" s="26">
        <v>3906</v>
      </c>
      <c r="F133" s="26">
        <f t="shared" si="2"/>
        <v>11454</v>
      </c>
      <c r="G133" s="40">
        <v>8010</v>
      </c>
      <c r="H133" s="26">
        <v>3473</v>
      </c>
      <c r="I133" s="27">
        <f t="shared" si="3"/>
        <v>11483</v>
      </c>
      <c r="J133" s="40">
        <v>9462</v>
      </c>
      <c r="K133" s="26">
        <v>5908</v>
      </c>
      <c r="L133" s="27">
        <v>15370</v>
      </c>
      <c r="M133" s="26">
        <v>9863</v>
      </c>
      <c r="N133" s="26">
        <v>2456</v>
      </c>
      <c r="O133" s="27">
        <v>12319</v>
      </c>
      <c r="P133" s="26">
        <v>8860</v>
      </c>
      <c r="Q133" s="26">
        <v>3067</v>
      </c>
      <c r="R133" s="27">
        <v>11927</v>
      </c>
      <c r="S133" s="26">
        <v>9712</v>
      </c>
      <c r="T133" s="26">
        <v>5341</v>
      </c>
      <c r="U133" s="27">
        <v>15053</v>
      </c>
      <c r="V133" s="26">
        <v>8618</v>
      </c>
      <c r="W133" s="26">
        <v>4124</v>
      </c>
      <c r="X133" s="31">
        <v>12742</v>
      </c>
      <c r="Y133" s="16">
        <v>9184</v>
      </c>
      <c r="Z133" s="16">
        <v>4699</v>
      </c>
      <c r="AA133" s="31">
        <v>13883</v>
      </c>
      <c r="AB133" s="32">
        <v>9618</v>
      </c>
      <c r="AC133" s="16">
        <v>4672</v>
      </c>
      <c r="AD133" s="31">
        <v>14290</v>
      </c>
      <c r="AE133" s="16">
        <v>8520</v>
      </c>
      <c r="AF133" s="16">
        <v>2895</v>
      </c>
      <c r="AG133" s="31">
        <v>11415</v>
      </c>
      <c r="AH133" s="16">
        <v>8390</v>
      </c>
      <c r="AI133" s="16">
        <v>2933</v>
      </c>
      <c r="AJ133" s="31">
        <v>11323</v>
      </c>
      <c r="AK133" s="16">
        <v>8733</v>
      </c>
      <c r="AL133" s="16">
        <v>3119</v>
      </c>
      <c r="AM133" s="31">
        <v>11852</v>
      </c>
      <c r="AN133" s="16">
        <v>9089</v>
      </c>
      <c r="AO133" s="16">
        <v>2647</v>
      </c>
      <c r="AP133" s="31">
        <v>11736</v>
      </c>
      <c r="AQ133" s="42"/>
      <c r="AR133" s="43"/>
      <c r="AS133" s="42"/>
      <c r="AT133" s="42"/>
    </row>
    <row r="134" spans="1:46" ht="12.9" customHeight="1" x14ac:dyDescent="0.25">
      <c r="A134" s="28" t="s">
        <v>295</v>
      </c>
      <c r="B134" s="29" t="s">
        <v>296</v>
      </c>
      <c r="C134" s="30" t="s">
        <v>110</v>
      </c>
      <c r="D134" s="40">
        <v>48612</v>
      </c>
      <c r="E134" s="26">
        <v>381704</v>
      </c>
      <c r="F134" s="26">
        <f t="shared" si="2"/>
        <v>430316</v>
      </c>
      <c r="G134" s="40">
        <v>38965</v>
      </c>
      <c r="H134" s="26">
        <v>459310</v>
      </c>
      <c r="I134" s="27">
        <f t="shared" si="3"/>
        <v>498275</v>
      </c>
      <c r="J134" s="40">
        <v>50358</v>
      </c>
      <c r="K134" s="26">
        <v>383267</v>
      </c>
      <c r="L134" s="27">
        <v>433625</v>
      </c>
      <c r="M134" s="26">
        <v>50505</v>
      </c>
      <c r="N134" s="26">
        <v>309883</v>
      </c>
      <c r="O134" s="27">
        <v>360388</v>
      </c>
      <c r="P134" s="26">
        <v>51641</v>
      </c>
      <c r="Q134" s="26">
        <v>278328</v>
      </c>
      <c r="R134" s="27">
        <v>329969</v>
      </c>
      <c r="S134" s="26">
        <v>47131</v>
      </c>
      <c r="T134" s="26">
        <v>363082</v>
      </c>
      <c r="U134" s="27">
        <v>410213</v>
      </c>
      <c r="V134" s="26">
        <v>41864</v>
      </c>
      <c r="W134" s="26">
        <v>239314</v>
      </c>
      <c r="X134" s="31">
        <v>281178</v>
      </c>
      <c r="Y134" s="16">
        <v>43369</v>
      </c>
      <c r="Z134" s="16">
        <v>321156</v>
      </c>
      <c r="AA134" s="31">
        <v>364525</v>
      </c>
      <c r="AB134" s="32">
        <v>49378</v>
      </c>
      <c r="AC134" s="16">
        <v>290263</v>
      </c>
      <c r="AD134" s="31">
        <v>339641</v>
      </c>
      <c r="AE134" s="16">
        <v>51772</v>
      </c>
      <c r="AF134" s="16">
        <v>235656</v>
      </c>
      <c r="AG134" s="31">
        <v>287428</v>
      </c>
      <c r="AH134" s="16">
        <v>49717</v>
      </c>
      <c r="AI134" s="16">
        <v>170983</v>
      </c>
      <c r="AJ134" s="31">
        <v>220700</v>
      </c>
      <c r="AK134" s="16">
        <v>48525</v>
      </c>
      <c r="AL134" s="16">
        <v>130192</v>
      </c>
      <c r="AM134" s="31">
        <v>178717</v>
      </c>
      <c r="AN134" s="16">
        <v>26527</v>
      </c>
      <c r="AO134" s="16">
        <v>220236</v>
      </c>
      <c r="AP134" s="31">
        <v>246763</v>
      </c>
      <c r="AQ134" s="42"/>
      <c r="AR134" s="43"/>
      <c r="AS134" s="42"/>
      <c r="AT134" s="42"/>
    </row>
    <row r="135" spans="1:46" ht="12.9" customHeight="1" x14ac:dyDescent="0.25">
      <c r="A135" s="28" t="s">
        <v>297</v>
      </c>
      <c r="B135" s="29" t="s">
        <v>298</v>
      </c>
      <c r="C135" s="30" t="s">
        <v>53</v>
      </c>
      <c r="D135" s="40">
        <v>42560</v>
      </c>
      <c r="E135" s="26">
        <v>415</v>
      </c>
      <c r="F135" s="26">
        <f t="shared" si="2"/>
        <v>42975</v>
      </c>
      <c r="G135" s="40">
        <v>41211</v>
      </c>
      <c r="H135" s="26">
        <v>627</v>
      </c>
      <c r="I135" s="27">
        <f t="shared" si="3"/>
        <v>41838</v>
      </c>
      <c r="J135" s="40">
        <v>40590</v>
      </c>
      <c r="K135" s="26">
        <v>880</v>
      </c>
      <c r="L135" s="27">
        <v>41470</v>
      </c>
      <c r="M135" s="26">
        <v>40923</v>
      </c>
      <c r="N135" s="26">
        <v>283</v>
      </c>
      <c r="O135" s="27">
        <v>41206</v>
      </c>
      <c r="P135" s="26">
        <v>41393</v>
      </c>
      <c r="Q135" s="26">
        <v>136</v>
      </c>
      <c r="R135" s="27">
        <v>41529</v>
      </c>
      <c r="S135" s="26">
        <v>43499</v>
      </c>
      <c r="T135" s="26">
        <v>216</v>
      </c>
      <c r="U135" s="27">
        <v>43715</v>
      </c>
      <c r="V135" s="26">
        <v>43979</v>
      </c>
      <c r="W135" s="26">
        <v>313</v>
      </c>
      <c r="X135" s="31">
        <v>44292</v>
      </c>
      <c r="Y135" s="16">
        <v>46144</v>
      </c>
      <c r="Z135" s="16">
        <v>377</v>
      </c>
      <c r="AA135" s="31">
        <v>46521</v>
      </c>
      <c r="AB135" s="32">
        <v>45523</v>
      </c>
      <c r="AC135" s="16">
        <v>195</v>
      </c>
      <c r="AD135" s="31">
        <v>45718</v>
      </c>
      <c r="AE135" s="16">
        <v>42819</v>
      </c>
      <c r="AF135" s="16">
        <v>14</v>
      </c>
      <c r="AG135" s="31">
        <v>42833</v>
      </c>
      <c r="AH135" s="16">
        <v>39940</v>
      </c>
      <c r="AI135" s="16">
        <v>9</v>
      </c>
      <c r="AJ135" s="31">
        <v>39949</v>
      </c>
      <c r="AK135" s="16">
        <v>49259</v>
      </c>
      <c r="AL135" s="16">
        <v>1737</v>
      </c>
      <c r="AM135" s="31">
        <v>50996</v>
      </c>
      <c r="AN135" s="16">
        <v>49259</v>
      </c>
      <c r="AO135" s="16">
        <v>1737</v>
      </c>
      <c r="AP135" s="31">
        <v>50996</v>
      </c>
      <c r="AQ135" s="42"/>
      <c r="AR135" s="43"/>
      <c r="AS135" s="42"/>
      <c r="AT135" s="42"/>
    </row>
    <row r="136" spans="1:46" ht="12.9" customHeight="1" x14ac:dyDescent="0.25">
      <c r="A136" s="28" t="s">
        <v>299</v>
      </c>
      <c r="B136" s="29" t="s">
        <v>300</v>
      </c>
      <c r="C136" s="30" t="s">
        <v>166</v>
      </c>
      <c r="D136" s="40">
        <v>26235</v>
      </c>
      <c r="E136" s="26">
        <v>516</v>
      </c>
      <c r="F136" s="26">
        <f t="shared" si="2"/>
        <v>26751</v>
      </c>
      <c r="G136" s="40">
        <v>26235</v>
      </c>
      <c r="H136" s="26">
        <v>516</v>
      </c>
      <c r="I136" s="27">
        <f t="shared" si="3"/>
        <v>26751</v>
      </c>
      <c r="J136" s="40">
        <v>26235</v>
      </c>
      <c r="K136" s="26">
        <v>504</v>
      </c>
      <c r="L136" s="27">
        <v>26739</v>
      </c>
      <c r="M136" s="26">
        <v>24115</v>
      </c>
      <c r="N136" s="26">
        <v>504</v>
      </c>
      <c r="O136" s="27">
        <v>24619</v>
      </c>
      <c r="P136" s="26">
        <v>24115</v>
      </c>
      <c r="Q136" s="26">
        <v>432</v>
      </c>
      <c r="R136" s="27">
        <v>24547</v>
      </c>
      <c r="S136" s="26">
        <v>24380</v>
      </c>
      <c r="T136" s="26">
        <v>432</v>
      </c>
      <c r="U136" s="27">
        <v>24812</v>
      </c>
      <c r="V136" s="26">
        <v>24380</v>
      </c>
      <c r="W136" s="26">
        <v>432</v>
      </c>
      <c r="X136" s="31">
        <v>24812</v>
      </c>
      <c r="Y136" s="16">
        <v>28620</v>
      </c>
      <c r="Z136" s="16">
        <v>432</v>
      </c>
      <c r="AA136" s="31">
        <v>29052</v>
      </c>
      <c r="AB136" s="32">
        <v>28620</v>
      </c>
      <c r="AC136" s="16">
        <v>432</v>
      </c>
      <c r="AD136" s="31">
        <v>29052</v>
      </c>
      <c r="AE136" s="16">
        <v>28620</v>
      </c>
      <c r="AF136" s="16">
        <v>432</v>
      </c>
      <c r="AG136" s="31">
        <v>29052</v>
      </c>
      <c r="AH136" s="16">
        <v>19656</v>
      </c>
      <c r="AI136" s="16">
        <v>216</v>
      </c>
      <c r="AJ136" s="31">
        <v>19872</v>
      </c>
      <c r="AK136" s="16">
        <v>19656</v>
      </c>
      <c r="AL136" s="16">
        <v>216</v>
      </c>
      <c r="AM136" s="31">
        <v>19872</v>
      </c>
      <c r="AN136" s="16">
        <v>19656</v>
      </c>
      <c r="AO136" s="16">
        <v>216</v>
      </c>
      <c r="AP136" s="31">
        <v>19872</v>
      </c>
      <c r="AQ136" s="42"/>
      <c r="AR136" s="43"/>
      <c r="AS136" s="42"/>
      <c r="AT136" s="42"/>
    </row>
    <row r="137" spans="1:46" ht="12.9" customHeight="1" x14ac:dyDescent="0.25">
      <c r="A137" s="28" t="s">
        <v>301</v>
      </c>
      <c r="B137" s="29" t="s">
        <v>302</v>
      </c>
      <c r="C137" s="30" t="s">
        <v>274</v>
      </c>
      <c r="D137" s="40">
        <v>64020</v>
      </c>
      <c r="E137" s="26">
        <v>28010</v>
      </c>
      <c r="F137" s="26">
        <f t="shared" ref="F137:F200" si="4">+D137+E137</f>
        <v>92030</v>
      </c>
      <c r="G137" s="40">
        <v>78564</v>
      </c>
      <c r="H137" s="26">
        <v>36571</v>
      </c>
      <c r="I137" s="27">
        <f t="shared" si="3"/>
        <v>115135</v>
      </c>
      <c r="J137" s="40">
        <v>73396</v>
      </c>
      <c r="K137" s="26">
        <v>40203</v>
      </c>
      <c r="L137" s="27">
        <v>113599</v>
      </c>
      <c r="M137" s="26">
        <v>73556</v>
      </c>
      <c r="N137" s="26">
        <v>33415</v>
      </c>
      <c r="O137" s="27">
        <v>106971</v>
      </c>
      <c r="P137" s="26">
        <v>71472</v>
      </c>
      <c r="Q137" s="26">
        <v>32050</v>
      </c>
      <c r="R137" s="27">
        <v>103522</v>
      </c>
      <c r="S137" s="26">
        <v>73110</v>
      </c>
      <c r="T137" s="26">
        <v>32026</v>
      </c>
      <c r="U137" s="27">
        <v>105136</v>
      </c>
      <c r="V137" s="26">
        <v>67350</v>
      </c>
      <c r="W137" s="26">
        <v>32452</v>
      </c>
      <c r="X137" s="31">
        <v>99802</v>
      </c>
      <c r="Y137" s="16">
        <v>68915</v>
      </c>
      <c r="Z137" s="16">
        <v>28444</v>
      </c>
      <c r="AA137" s="31">
        <v>97359</v>
      </c>
      <c r="AB137" s="32">
        <v>67946</v>
      </c>
      <c r="AC137" s="16">
        <v>26603</v>
      </c>
      <c r="AD137" s="31">
        <v>94549</v>
      </c>
      <c r="AE137" s="16">
        <v>70640</v>
      </c>
      <c r="AF137" s="16">
        <v>22412</v>
      </c>
      <c r="AG137" s="31">
        <v>93052</v>
      </c>
      <c r="AH137" s="16">
        <v>65594</v>
      </c>
      <c r="AI137" s="16">
        <v>21258</v>
      </c>
      <c r="AJ137" s="31">
        <v>86852</v>
      </c>
      <c r="AK137" s="16">
        <v>66276</v>
      </c>
      <c r="AL137" s="16">
        <v>21155</v>
      </c>
      <c r="AM137" s="31">
        <v>87431</v>
      </c>
      <c r="AN137" s="16">
        <v>44499</v>
      </c>
      <c r="AO137" s="16">
        <v>20876</v>
      </c>
      <c r="AP137" s="31">
        <v>65375</v>
      </c>
      <c r="AQ137" s="42"/>
      <c r="AR137" s="43"/>
      <c r="AS137" s="42"/>
      <c r="AT137" s="42"/>
    </row>
    <row r="138" spans="1:46" ht="12.9" customHeight="1" x14ac:dyDescent="0.25">
      <c r="A138" s="28" t="s">
        <v>303</v>
      </c>
      <c r="B138" s="29" t="s">
        <v>304</v>
      </c>
      <c r="C138" s="30" t="s">
        <v>42</v>
      </c>
      <c r="D138" s="40">
        <v>223779</v>
      </c>
      <c r="E138" s="26">
        <v>482485</v>
      </c>
      <c r="F138" s="26">
        <f t="shared" si="4"/>
        <v>706264</v>
      </c>
      <c r="G138" s="40">
        <v>221726</v>
      </c>
      <c r="H138" s="26">
        <v>440332</v>
      </c>
      <c r="I138" s="27">
        <f t="shared" ref="I138:I201" si="5">+G138+H138</f>
        <v>662058</v>
      </c>
      <c r="J138" s="40">
        <v>226812</v>
      </c>
      <c r="K138" s="26">
        <v>447299</v>
      </c>
      <c r="L138" s="27">
        <v>674111</v>
      </c>
      <c r="M138" s="26">
        <v>230128</v>
      </c>
      <c r="N138" s="26">
        <v>483170</v>
      </c>
      <c r="O138" s="27">
        <v>713298</v>
      </c>
      <c r="P138" s="26">
        <v>259071</v>
      </c>
      <c r="Q138" s="26">
        <v>386125</v>
      </c>
      <c r="R138" s="27">
        <v>645196</v>
      </c>
      <c r="S138" s="26">
        <v>220021</v>
      </c>
      <c r="T138" s="26">
        <v>290705</v>
      </c>
      <c r="U138" s="27">
        <v>510726</v>
      </c>
      <c r="V138" s="26">
        <v>217344</v>
      </c>
      <c r="W138" s="26">
        <v>470673</v>
      </c>
      <c r="X138" s="31">
        <v>688017</v>
      </c>
      <c r="Y138" s="16">
        <v>231129</v>
      </c>
      <c r="Z138" s="16">
        <v>514790</v>
      </c>
      <c r="AA138" s="31">
        <v>745919</v>
      </c>
      <c r="AB138" s="32">
        <v>247387</v>
      </c>
      <c r="AC138" s="16">
        <v>430834</v>
      </c>
      <c r="AD138" s="31">
        <v>678221</v>
      </c>
      <c r="AE138" s="16">
        <v>212284</v>
      </c>
      <c r="AF138" s="16">
        <v>443154</v>
      </c>
      <c r="AG138" s="31">
        <v>655438</v>
      </c>
      <c r="AH138" s="16">
        <v>217739</v>
      </c>
      <c r="AI138" s="16">
        <v>390167</v>
      </c>
      <c r="AJ138" s="31">
        <v>607906</v>
      </c>
      <c r="AK138" s="16">
        <v>210057</v>
      </c>
      <c r="AL138" s="16">
        <v>387865</v>
      </c>
      <c r="AM138" s="31">
        <v>597922</v>
      </c>
      <c r="AN138" s="16">
        <v>232725</v>
      </c>
      <c r="AO138" s="16">
        <v>135057</v>
      </c>
      <c r="AP138" s="31">
        <v>367782</v>
      </c>
      <c r="AQ138" s="42"/>
      <c r="AR138" s="43"/>
      <c r="AS138" s="42"/>
      <c r="AT138" s="42"/>
    </row>
    <row r="139" spans="1:46" ht="12.9" customHeight="1" x14ac:dyDescent="0.25">
      <c r="A139" s="28" t="s">
        <v>305</v>
      </c>
      <c r="B139" s="29" t="s">
        <v>306</v>
      </c>
      <c r="C139" s="30" t="s">
        <v>56</v>
      </c>
      <c r="D139" s="40">
        <v>70240</v>
      </c>
      <c r="E139" s="26">
        <v>27042</v>
      </c>
      <c r="F139" s="26">
        <f t="shared" si="4"/>
        <v>97282</v>
      </c>
      <c r="G139" s="40">
        <v>69720</v>
      </c>
      <c r="H139" s="26">
        <v>26274</v>
      </c>
      <c r="I139" s="27">
        <f t="shared" si="5"/>
        <v>95994</v>
      </c>
      <c r="J139" s="40">
        <v>70729</v>
      </c>
      <c r="K139" s="26">
        <v>36647</v>
      </c>
      <c r="L139" s="27">
        <v>107376</v>
      </c>
      <c r="M139" s="26">
        <v>72918</v>
      </c>
      <c r="N139" s="26">
        <v>38177</v>
      </c>
      <c r="O139" s="27">
        <v>111095</v>
      </c>
      <c r="P139" s="26">
        <v>72973</v>
      </c>
      <c r="Q139" s="26">
        <v>29492</v>
      </c>
      <c r="R139" s="27">
        <v>102465</v>
      </c>
      <c r="S139" s="26">
        <v>69457</v>
      </c>
      <c r="T139" s="26">
        <v>34382</v>
      </c>
      <c r="U139" s="27">
        <v>103839</v>
      </c>
      <c r="V139" s="26">
        <v>70675</v>
      </c>
      <c r="W139" s="26">
        <v>23876</v>
      </c>
      <c r="X139" s="31">
        <v>94551</v>
      </c>
      <c r="Y139" s="16">
        <v>74012</v>
      </c>
      <c r="Z139" s="16">
        <v>24384</v>
      </c>
      <c r="AA139" s="31">
        <v>98396</v>
      </c>
      <c r="AB139" s="32">
        <v>76333</v>
      </c>
      <c r="AC139" s="16">
        <v>27880</v>
      </c>
      <c r="AD139" s="31">
        <v>104213</v>
      </c>
      <c r="AE139" s="16">
        <v>79711</v>
      </c>
      <c r="AF139" s="16">
        <v>28996</v>
      </c>
      <c r="AG139" s="31">
        <v>108707</v>
      </c>
      <c r="AH139" s="16">
        <v>72987</v>
      </c>
      <c r="AI139" s="16">
        <v>33010</v>
      </c>
      <c r="AJ139" s="31">
        <v>105997</v>
      </c>
      <c r="AK139" s="16">
        <v>73678</v>
      </c>
      <c r="AL139" s="16">
        <v>28626</v>
      </c>
      <c r="AM139" s="31">
        <v>102304</v>
      </c>
      <c r="AN139" s="16">
        <v>80848</v>
      </c>
      <c r="AO139" s="16">
        <v>22191</v>
      </c>
      <c r="AP139" s="31">
        <v>103039</v>
      </c>
      <c r="AQ139" s="42"/>
      <c r="AR139" s="43"/>
      <c r="AS139" s="42"/>
      <c r="AT139" s="42"/>
    </row>
    <row r="140" spans="1:46" ht="12.9" customHeight="1" x14ac:dyDescent="0.25">
      <c r="A140" s="28" t="s">
        <v>307</v>
      </c>
      <c r="B140" s="29" t="s">
        <v>308</v>
      </c>
      <c r="C140" s="30" t="s">
        <v>23</v>
      </c>
      <c r="D140" s="40">
        <v>26537</v>
      </c>
      <c r="E140" s="26">
        <v>342</v>
      </c>
      <c r="F140" s="26">
        <f t="shared" si="4"/>
        <v>26879</v>
      </c>
      <c r="G140" s="40">
        <v>25516</v>
      </c>
      <c r="H140" s="26">
        <v>541</v>
      </c>
      <c r="I140" s="27">
        <f t="shared" si="5"/>
        <v>26057</v>
      </c>
      <c r="J140" s="40">
        <v>29942</v>
      </c>
      <c r="K140" s="26">
        <v>3056</v>
      </c>
      <c r="L140" s="27">
        <v>32998</v>
      </c>
      <c r="M140" s="26">
        <v>30078</v>
      </c>
      <c r="N140" s="26">
        <v>2931</v>
      </c>
      <c r="O140" s="27">
        <v>33009</v>
      </c>
      <c r="P140" s="26">
        <v>30526</v>
      </c>
      <c r="Q140" s="26">
        <v>4326</v>
      </c>
      <c r="R140" s="27">
        <v>34852</v>
      </c>
      <c r="S140" s="26">
        <v>30321</v>
      </c>
      <c r="T140" s="26">
        <v>3611</v>
      </c>
      <c r="U140" s="27">
        <v>33932</v>
      </c>
      <c r="V140" s="26">
        <v>28286</v>
      </c>
      <c r="W140" s="26">
        <v>3616</v>
      </c>
      <c r="X140" s="31">
        <v>31902</v>
      </c>
      <c r="Y140" s="16">
        <v>29830</v>
      </c>
      <c r="Z140" s="16">
        <v>3263</v>
      </c>
      <c r="AA140" s="31">
        <v>33093</v>
      </c>
      <c r="AB140" s="32">
        <v>30914</v>
      </c>
      <c r="AC140" s="16">
        <v>11797</v>
      </c>
      <c r="AD140" s="31">
        <v>42711</v>
      </c>
      <c r="AE140" s="16">
        <v>23524</v>
      </c>
      <c r="AF140" s="16">
        <v>3748</v>
      </c>
      <c r="AG140" s="31">
        <v>27272</v>
      </c>
      <c r="AH140" s="16">
        <v>30205</v>
      </c>
      <c r="AI140" s="16">
        <v>2527</v>
      </c>
      <c r="AJ140" s="31">
        <v>32732</v>
      </c>
      <c r="AK140" s="16">
        <v>30223</v>
      </c>
      <c r="AL140" s="16">
        <v>3396</v>
      </c>
      <c r="AM140" s="31">
        <v>33619</v>
      </c>
      <c r="AN140" s="16">
        <v>31321</v>
      </c>
      <c r="AO140" s="16">
        <v>4683</v>
      </c>
      <c r="AP140" s="31">
        <v>36004</v>
      </c>
      <c r="AQ140" s="42"/>
      <c r="AR140" s="43"/>
      <c r="AS140" s="42"/>
      <c r="AT140" s="42"/>
    </row>
    <row r="141" spans="1:46" ht="12.9" customHeight="1" x14ac:dyDescent="0.25">
      <c r="A141" s="28" t="s">
        <v>309</v>
      </c>
      <c r="B141" s="29" t="s">
        <v>310</v>
      </c>
      <c r="C141" s="30" t="s">
        <v>184</v>
      </c>
      <c r="D141" s="40">
        <v>14338</v>
      </c>
      <c r="E141" s="26">
        <v>17448</v>
      </c>
      <c r="F141" s="26">
        <f t="shared" si="4"/>
        <v>31786</v>
      </c>
      <c r="G141" s="40">
        <v>15086</v>
      </c>
      <c r="H141" s="26">
        <v>21371</v>
      </c>
      <c r="I141" s="27">
        <f t="shared" si="5"/>
        <v>36457</v>
      </c>
      <c r="J141" s="40">
        <v>18146</v>
      </c>
      <c r="K141" s="26">
        <v>13575</v>
      </c>
      <c r="L141" s="27">
        <v>31721</v>
      </c>
      <c r="M141" s="26">
        <v>16949</v>
      </c>
      <c r="N141" s="26">
        <v>14581</v>
      </c>
      <c r="O141" s="27">
        <v>31530</v>
      </c>
      <c r="P141" s="26">
        <v>17743</v>
      </c>
      <c r="Q141" s="26">
        <v>16949</v>
      </c>
      <c r="R141" s="27">
        <v>34692</v>
      </c>
      <c r="S141" s="26">
        <v>15624</v>
      </c>
      <c r="T141" s="26">
        <v>11775</v>
      </c>
      <c r="U141" s="27">
        <v>27399</v>
      </c>
      <c r="V141" s="26">
        <v>17084</v>
      </c>
      <c r="W141" s="26">
        <v>12484</v>
      </c>
      <c r="X141" s="31">
        <v>29568</v>
      </c>
      <c r="Y141" s="16">
        <v>17084</v>
      </c>
      <c r="Z141" s="16">
        <v>19903</v>
      </c>
      <c r="AA141" s="31">
        <v>36987</v>
      </c>
      <c r="AB141" s="32">
        <v>18696</v>
      </c>
      <c r="AC141" s="16">
        <v>16904</v>
      </c>
      <c r="AD141" s="31">
        <v>35600</v>
      </c>
      <c r="AE141" s="16">
        <v>18320</v>
      </c>
      <c r="AF141" s="16">
        <v>10959</v>
      </c>
      <c r="AG141" s="31">
        <v>29279</v>
      </c>
      <c r="AH141" s="16">
        <v>17221</v>
      </c>
      <c r="AI141" s="16">
        <v>14697</v>
      </c>
      <c r="AJ141" s="31">
        <v>31918</v>
      </c>
      <c r="AK141" s="16">
        <v>18622</v>
      </c>
      <c r="AL141" s="16">
        <v>13053</v>
      </c>
      <c r="AM141" s="31">
        <v>31675</v>
      </c>
      <c r="AN141" s="16">
        <v>23296</v>
      </c>
      <c r="AO141" s="16">
        <v>24227</v>
      </c>
      <c r="AP141" s="31">
        <v>47523</v>
      </c>
      <c r="AQ141" s="42"/>
      <c r="AR141" s="43"/>
      <c r="AS141" s="42"/>
      <c r="AT141" s="42"/>
    </row>
    <row r="142" spans="1:46" ht="12.9" customHeight="1" x14ac:dyDescent="0.25">
      <c r="A142" s="28" t="s">
        <v>311</v>
      </c>
      <c r="B142" s="29" t="s">
        <v>312</v>
      </c>
      <c r="C142" s="30" t="s">
        <v>166</v>
      </c>
      <c r="D142" s="40">
        <v>75072</v>
      </c>
      <c r="E142" s="26">
        <v>9563</v>
      </c>
      <c r="F142" s="26">
        <f t="shared" si="4"/>
        <v>84635</v>
      </c>
      <c r="G142" s="40">
        <v>74784</v>
      </c>
      <c r="H142" s="26">
        <v>9081</v>
      </c>
      <c r="I142" s="27">
        <f t="shared" si="5"/>
        <v>83865</v>
      </c>
      <c r="J142" s="40">
        <v>75360</v>
      </c>
      <c r="K142" s="26">
        <v>8505</v>
      </c>
      <c r="L142" s="27">
        <v>83865</v>
      </c>
      <c r="M142" s="26">
        <v>75168</v>
      </c>
      <c r="N142" s="26">
        <v>8501</v>
      </c>
      <c r="O142" s="27">
        <v>83669</v>
      </c>
      <c r="P142" s="26">
        <v>75168</v>
      </c>
      <c r="Q142" s="26">
        <v>8574</v>
      </c>
      <c r="R142" s="27">
        <v>83742</v>
      </c>
      <c r="S142" s="26">
        <v>75168</v>
      </c>
      <c r="T142" s="26">
        <v>8650</v>
      </c>
      <c r="U142" s="27">
        <v>83818</v>
      </c>
      <c r="V142" s="26">
        <v>74976</v>
      </c>
      <c r="W142" s="26">
        <v>8766</v>
      </c>
      <c r="X142" s="31">
        <v>83742</v>
      </c>
      <c r="Y142" s="16">
        <v>74880</v>
      </c>
      <c r="Z142" s="16">
        <v>8641</v>
      </c>
      <c r="AA142" s="31">
        <v>83521</v>
      </c>
      <c r="AB142" s="32">
        <v>74784</v>
      </c>
      <c r="AC142" s="16">
        <v>8640</v>
      </c>
      <c r="AD142" s="31">
        <v>83424</v>
      </c>
      <c r="AE142" s="16">
        <v>75264</v>
      </c>
      <c r="AF142" s="16">
        <v>8860</v>
      </c>
      <c r="AG142" s="31">
        <v>84124</v>
      </c>
      <c r="AH142" s="16">
        <v>74880</v>
      </c>
      <c r="AI142" s="16">
        <v>9015</v>
      </c>
      <c r="AJ142" s="31">
        <v>83895</v>
      </c>
      <c r="AK142" s="16">
        <v>72288</v>
      </c>
      <c r="AL142" s="16">
        <v>10288</v>
      </c>
      <c r="AM142" s="31">
        <v>82576</v>
      </c>
      <c r="AN142" s="16">
        <v>73536</v>
      </c>
      <c r="AO142" s="16">
        <v>10236</v>
      </c>
      <c r="AP142" s="31">
        <v>83772</v>
      </c>
      <c r="AQ142" s="42"/>
      <c r="AR142" s="43"/>
      <c r="AS142" s="42"/>
      <c r="AT142" s="42"/>
    </row>
    <row r="143" spans="1:46" ht="12.9" customHeight="1" x14ac:dyDescent="0.25">
      <c r="A143" s="28" t="s">
        <v>313</v>
      </c>
      <c r="B143" s="29" t="s">
        <v>314</v>
      </c>
      <c r="C143" s="30" t="s">
        <v>163</v>
      </c>
      <c r="D143" s="40">
        <v>17504</v>
      </c>
      <c r="E143" s="26">
        <v>17256</v>
      </c>
      <c r="F143" s="26">
        <f t="shared" si="4"/>
        <v>34760</v>
      </c>
      <c r="G143" s="40">
        <v>18580</v>
      </c>
      <c r="H143" s="26">
        <v>16662</v>
      </c>
      <c r="I143" s="27">
        <f t="shared" si="5"/>
        <v>35242</v>
      </c>
      <c r="J143" s="40">
        <v>18956</v>
      </c>
      <c r="K143" s="26">
        <v>19056</v>
      </c>
      <c r="L143" s="27">
        <v>38012</v>
      </c>
      <c r="M143" s="26">
        <v>19501</v>
      </c>
      <c r="N143" s="26">
        <v>20315</v>
      </c>
      <c r="O143" s="27">
        <v>39816</v>
      </c>
      <c r="P143" s="26">
        <v>18944</v>
      </c>
      <c r="Q143" s="26">
        <v>17759</v>
      </c>
      <c r="R143" s="27">
        <v>36703</v>
      </c>
      <c r="S143" s="26">
        <v>19841</v>
      </c>
      <c r="T143" s="26">
        <v>20176</v>
      </c>
      <c r="U143" s="27">
        <v>40017</v>
      </c>
      <c r="V143" s="26">
        <v>19858</v>
      </c>
      <c r="W143" s="26">
        <v>24029</v>
      </c>
      <c r="X143" s="31">
        <v>43887</v>
      </c>
      <c r="Y143" s="16">
        <v>19375</v>
      </c>
      <c r="Z143" s="16">
        <v>28143</v>
      </c>
      <c r="AA143" s="31">
        <v>47518</v>
      </c>
      <c r="AB143" s="32">
        <v>20211</v>
      </c>
      <c r="AC143" s="16">
        <v>17764</v>
      </c>
      <c r="AD143" s="31">
        <v>37975</v>
      </c>
      <c r="AE143" s="16">
        <v>19797</v>
      </c>
      <c r="AF143" s="16">
        <v>20673</v>
      </c>
      <c r="AG143" s="31">
        <v>40470</v>
      </c>
      <c r="AH143" s="16">
        <v>19754</v>
      </c>
      <c r="AI143" s="16">
        <v>16465</v>
      </c>
      <c r="AJ143" s="31">
        <v>36219</v>
      </c>
      <c r="AK143" s="16">
        <v>25134</v>
      </c>
      <c r="AL143" s="16">
        <v>12428</v>
      </c>
      <c r="AM143" s="31">
        <v>37562</v>
      </c>
      <c r="AN143" s="16">
        <v>25134</v>
      </c>
      <c r="AO143" s="16">
        <v>12428</v>
      </c>
      <c r="AP143" s="31">
        <v>37562</v>
      </c>
      <c r="AQ143" s="42"/>
      <c r="AR143" s="43"/>
      <c r="AS143" s="42"/>
      <c r="AT143" s="42"/>
    </row>
    <row r="144" spans="1:46" ht="12.9" customHeight="1" x14ac:dyDescent="0.25">
      <c r="A144" s="28" t="s">
        <v>315</v>
      </c>
      <c r="B144" s="29" t="s">
        <v>316</v>
      </c>
      <c r="C144" s="30" t="s">
        <v>56</v>
      </c>
      <c r="D144" s="40">
        <v>55019</v>
      </c>
      <c r="E144" s="26">
        <v>18637</v>
      </c>
      <c r="F144" s="26">
        <f t="shared" si="4"/>
        <v>73656</v>
      </c>
      <c r="G144" s="40">
        <v>53062</v>
      </c>
      <c r="H144" s="26">
        <v>22767</v>
      </c>
      <c r="I144" s="27">
        <f t="shared" si="5"/>
        <v>75829</v>
      </c>
      <c r="J144" s="40">
        <v>47710</v>
      </c>
      <c r="K144" s="26">
        <v>15379</v>
      </c>
      <c r="L144" s="27">
        <v>63089</v>
      </c>
      <c r="M144" s="26">
        <v>51507</v>
      </c>
      <c r="N144" s="26">
        <v>33520</v>
      </c>
      <c r="O144" s="27">
        <v>85027</v>
      </c>
      <c r="P144" s="26">
        <v>54337</v>
      </c>
      <c r="Q144" s="26">
        <v>31280</v>
      </c>
      <c r="R144" s="27">
        <v>85617</v>
      </c>
      <c r="S144" s="26">
        <v>49284</v>
      </c>
      <c r="T144" s="26">
        <v>35829</v>
      </c>
      <c r="U144" s="27">
        <v>85113</v>
      </c>
      <c r="V144" s="26">
        <v>50040</v>
      </c>
      <c r="W144" s="26">
        <v>28240</v>
      </c>
      <c r="X144" s="31">
        <v>78280</v>
      </c>
      <c r="Y144" s="16">
        <v>45805</v>
      </c>
      <c r="Z144" s="16">
        <v>32940</v>
      </c>
      <c r="AA144" s="31">
        <v>78745</v>
      </c>
      <c r="AB144" s="32">
        <v>47300</v>
      </c>
      <c r="AC144" s="16">
        <v>23960</v>
      </c>
      <c r="AD144" s="31">
        <v>71260</v>
      </c>
      <c r="AE144" s="16">
        <v>48759</v>
      </c>
      <c r="AF144" s="16">
        <v>24446</v>
      </c>
      <c r="AG144" s="31">
        <v>73205</v>
      </c>
      <c r="AH144" s="16">
        <v>46044</v>
      </c>
      <c r="AI144" s="16">
        <v>7206205</v>
      </c>
      <c r="AJ144" s="31">
        <v>7252249</v>
      </c>
      <c r="AK144" s="16">
        <v>54840</v>
      </c>
      <c r="AL144" s="16">
        <v>5919795</v>
      </c>
      <c r="AM144" s="31">
        <v>5974635</v>
      </c>
      <c r="AN144" s="16">
        <v>54840</v>
      </c>
      <c r="AO144" s="16">
        <v>29590</v>
      </c>
      <c r="AP144" s="31">
        <v>84430</v>
      </c>
      <c r="AQ144" s="42"/>
      <c r="AR144" s="43"/>
      <c r="AS144" s="42"/>
      <c r="AT144" s="42"/>
    </row>
    <row r="145" spans="1:46" ht="12.9" customHeight="1" x14ac:dyDescent="0.25">
      <c r="A145" s="28" t="s">
        <v>317</v>
      </c>
      <c r="B145" s="29" t="s">
        <v>318</v>
      </c>
      <c r="C145" s="30" t="s">
        <v>42</v>
      </c>
      <c r="D145" s="40">
        <v>13828</v>
      </c>
      <c r="E145" s="26">
        <v>4401</v>
      </c>
      <c r="F145" s="26">
        <f t="shared" si="4"/>
        <v>18229</v>
      </c>
      <c r="G145" s="40">
        <v>10074</v>
      </c>
      <c r="H145" s="26">
        <v>4364</v>
      </c>
      <c r="I145" s="27">
        <f t="shared" si="5"/>
        <v>14438</v>
      </c>
      <c r="J145" s="40">
        <v>11254</v>
      </c>
      <c r="K145" s="26">
        <v>11188</v>
      </c>
      <c r="L145" s="27">
        <v>22442</v>
      </c>
      <c r="M145" s="26">
        <v>12498</v>
      </c>
      <c r="N145" s="26">
        <v>3309</v>
      </c>
      <c r="O145" s="27">
        <v>15807</v>
      </c>
      <c r="P145" s="26">
        <v>11489</v>
      </c>
      <c r="Q145" s="26">
        <v>3859</v>
      </c>
      <c r="R145" s="27">
        <v>15348</v>
      </c>
      <c r="S145" s="26">
        <v>10265</v>
      </c>
      <c r="T145" s="26">
        <v>4542</v>
      </c>
      <c r="U145" s="27">
        <v>14807</v>
      </c>
      <c r="V145" s="26">
        <v>10883</v>
      </c>
      <c r="W145" s="26">
        <v>5166</v>
      </c>
      <c r="X145" s="31">
        <v>16049</v>
      </c>
      <c r="Y145" s="16">
        <v>11508</v>
      </c>
      <c r="Z145" s="16">
        <v>3482</v>
      </c>
      <c r="AA145" s="31">
        <v>14990</v>
      </c>
      <c r="AB145" s="32">
        <v>10662</v>
      </c>
      <c r="AC145" s="16">
        <v>1126</v>
      </c>
      <c r="AD145" s="31">
        <v>11788</v>
      </c>
      <c r="AE145" s="16">
        <v>10440</v>
      </c>
      <c r="AF145" s="16">
        <v>939</v>
      </c>
      <c r="AG145" s="31">
        <v>11379</v>
      </c>
      <c r="AH145" s="16">
        <v>10858</v>
      </c>
      <c r="AI145" s="16">
        <v>3069</v>
      </c>
      <c r="AJ145" s="31">
        <v>13927</v>
      </c>
      <c r="AK145" s="16">
        <v>13432</v>
      </c>
      <c r="AL145" s="16">
        <v>3395</v>
      </c>
      <c r="AM145" s="31">
        <v>16827</v>
      </c>
      <c r="AN145" s="16">
        <v>13432</v>
      </c>
      <c r="AO145" s="16">
        <v>3395</v>
      </c>
      <c r="AP145" s="31">
        <v>16827</v>
      </c>
      <c r="AQ145" s="42"/>
      <c r="AR145" s="43"/>
      <c r="AS145" s="42"/>
      <c r="AT145" s="42"/>
    </row>
    <row r="146" spans="1:46" ht="12.9" customHeight="1" x14ac:dyDescent="0.25">
      <c r="A146" s="28" t="s">
        <v>319</v>
      </c>
      <c r="B146" s="29" t="s">
        <v>320</v>
      </c>
      <c r="C146" s="30" t="s">
        <v>29</v>
      </c>
      <c r="D146" s="40">
        <v>26162</v>
      </c>
      <c r="E146" s="26">
        <v>7027</v>
      </c>
      <c r="F146" s="26">
        <f t="shared" si="4"/>
        <v>33189</v>
      </c>
      <c r="G146" s="40">
        <v>33001</v>
      </c>
      <c r="H146" s="26">
        <v>12968</v>
      </c>
      <c r="I146" s="27">
        <f t="shared" si="5"/>
        <v>45969</v>
      </c>
      <c r="J146" s="40">
        <v>30448</v>
      </c>
      <c r="K146" s="26">
        <v>14596</v>
      </c>
      <c r="L146" s="27">
        <v>45044</v>
      </c>
      <c r="M146" s="26">
        <v>31651</v>
      </c>
      <c r="N146" s="26">
        <v>14340</v>
      </c>
      <c r="O146" s="27">
        <v>45991</v>
      </c>
      <c r="P146" s="26">
        <v>30491</v>
      </c>
      <c r="Q146" s="26">
        <v>9581</v>
      </c>
      <c r="R146" s="27">
        <v>40072</v>
      </c>
      <c r="S146" s="26">
        <v>32445</v>
      </c>
      <c r="T146" s="26">
        <v>14102</v>
      </c>
      <c r="U146" s="27">
        <v>46547</v>
      </c>
      <c r="V146" s="26">
        <v>31505</v>
      </c>
      <c r="W146" s="26">
        <v>13021</v>
      </c>
      <c r="X146" s="31">
        <v>44526</v>
      </c>
      <c r="Y146" s="16">
        <v>31521</v>
      </c>
      <c r="Z146" s="16">
        <v>13103</v>
      </c>
      <c r="AA146" s="31">
        <v>44624</v>
      </c>
      <c r="AB146" s="32">
        <v>31133</v>
      </c>
      <c r="AC146" s="16">
        <v>14117</v>
      </c>
      <c r="AD146" s="31">
        <v>45250</v>
      </c>
      <c r="AE146" s="16">
        <v>31511</v>
      </c>
      <c r="AF146" s="16">
        <v>18074</v>
      </c>
      <c r="AG146" s="31">
        <v>49585</v>
      </c>
      <c r="AH146" s="16">
        <v>34843</v>
      </c>
      <c r="AI146" s="16">
        <v>24169</v>
      </c>
      <c r="AJ146" s="31">
        <v>59012</v>
      </c>
      <c r="AK146" s="16">
        <v>32976</v>
      </c>
      <c r="AL146" s="16">
        <v>19445</v>
      </c>
      <c r="AM146" s="31">
        <v>52421</v>
      </c>
      <c r="AN146" s="16">
        <v>32976</v>
      </c>
      <c r="AO146" s="16">
        <v>19445</v>
      </c>
      <c r="AP146" s="31">
        <v>52421</v>
      </c>
      <c r="AQ146" s="42"/>
      <c r="AR146" s="43"/>
      <c r="AS146" s="42"/>
      <c r="AT146" s="42"/>
    </row>
    <row r="147" spans="1:46" ht="12.9" customHeight="1" x14ac:dyDescent="0.25">
      <c r="A147" s="28" t="s">
        <v>321</v>
      </c>
      <c r="B147" s="29" t="s">
        <v>322</v>
      </c>
      <c r="C147" s="30" t="s">
        <v>123</v>
      </c>
      <c r="D147" s="40">
        <v>147670</v>
      </c>
      <c r="E147" s="26">
        <v>13603</v>
      </c>
      <c r="F147" s="26">
        <f t="shared" si="4"/>
        <v>161273</v>
      </c>
      <c r="G147" s="40">
        <v>155415</v>
      </c>
      <c r="H147" s="26">
        <v>15825</v>
      </c>
      <c r="I147" s="27">
        <f t="shared" si="5"/>
        <v>171240</v>
      </c>
      <c r="J147" s="40">
        <v>165015</v>
      </c>
      <c r="K147" s="26">
        <v>15691</v>
      </c>
      <c r="L147" s="27">
        <v>180706</v>
      </c>
      <c r="M147" s="26">
        <v>169331</v>
      </c>
      <c r="N147" s="26">
        <v>14512</v>
      </c>
      <c r="O147" s="27">
        <v>183843</v>
      </c>
      <c r="P147" s="26">
        <v>169432</v>
      </c>
      <c r="Q147" s="26">
        <v>12278</v>
      </c>
      <c r="R147" s="27">
        <v>181710</v>
      </c>
      <c r="S147" s="26">
        <v>163432</v>
      </c>
      <c r="T147" s="26">
        <v>15724</v>
      </c>
      <c r="U147" s="27">
        <v>179156</v>
      </c>
      <c r="V147" s="26">
        <v>162489</v>
      </c>
      <c r="W147" s="26">
        <v>14800</v>
      </c>
      <c r="X147" s="31">
        <v>177289</v>
      </c>
      <c r="Y147" s="16">
        <v>163065</v>
      </c>
      <c r="Z147" s="16">
        <v>14533</v>
      </c>
      <c r="AA147" s="31">
        <v>177598</v>
      </c>
      <c r="AB147" s="32">
        <v>167953</v>
      </c>
      <c r="AC147" s="16">
        <v>13233</v>
      </c>
      <c r="AD147" s="31">
        <v>181186</v>
      </c>
      <c r="AE147" s="16">
        <v>160712</v>
      </c>
      <c r="AF147" s="16">
        <v>11967</v>
      </c>
      <c r="AG147" s="31">
        <v>172679</v>
      </c>
      <c r="AH147" s="16">
        <v>156934</v>
      </c>
      <c r="AI147" s="16">
        <v>12200</v>
      </c>
      <c r="AJ147" s="31">
        <v>169134</v>
      </c>
      <c r="AK147" s="16">
        <v>152392</v>
      </c>
      <c r="AL147" s="16">
        <v>13192</v>
      </c>
      <c r="AM147" s="31">
        <v>165584</v>
      </c>
      <c r="AN147" s="16">
        <v>158395</v>
      </c>
      <c r="AO147" s="16">
        <v>9187</v>
      </c>
      <c r="AP147" s="31">
        <v>167582</v>
      </c>
      <c r="AQ147" s="42"/>
      <c r="AR147" s="43"/>
      <c r="AS147" s="42"/>
      <c r="AT147" s="42"/>
    </row>
    <row r="148" spans="1:46" ht="12.9" customHeight="1" x14ac:dyDescent="0.25">
      <c r="A148" s="28" t="s">
        <v>323</v>
      </c>
      <c r="B148" s="29" t="s">
        <v>324</v>
      </c>
      <c r="C148" s="30" t="s">
        <v>153</v>
      </c>
      <c r="D148" s="40">
        <v>103297</v>
      </c>
      <c r="E148" s="26">
        <v>15141</v>
      </c>
      <c r="F148" s="26">
        <f t="shared" si="4"/>
        <v>118438</v>
      </c>
      <c r="G148" s="40">
        <v>93455</v>
      </c>
      <c r="H148" s="26">
        <v>19310</v>
      </c>
      <c r="I148" s="27">
        <f t="shared" si="5"/>
        <v>112765</v>
      </c>
      <c r="J148" s="40">
        <v>86253</v>
      </c>
      <c r="K148" s="26">
        <v>18750</v>
      </c>
      <c r="L148" s="27">
        <v>105003</v>
      </c>
      <c r="M148" s="26">
        <v>105778</v>
      </c>
      <c r="N148" s="26">
        <v>11873</v>
      </c>
      <c r="O148" s="27">
        <v>117651</v>
      </c>
      <c r="P148" s="26">
        <v>94521</v>
      </c>
      <c r="Q148" s="26">
        <v>13535</v>
      </c>
      <c r="R148" s="27">
        <v>108056</v>
      </c>
      <c r="S148" s="26">
        <v>98813</v>
      </c>
      <c r="T148" s="26">
        <v>24912</v>
      </c>
      <c r="U148" s="27">
        <v>123725</v>
      </c>
      <c r="V148" s="26">
        <v>86282</v>
      </c>
      <c r="W148" s="26">
        <v>19430</v>
      </c>
      <c r="X148" s="31">
        <v>105712</v>
      </c>
      <c r="Y148" s="16">
        <v>100706</v>
      </c>
      <c r="Z148" s="16">
        <v>17419</v>
      </c>
      <c r="AA148" s="31">
        <v>118125</v>
      </c>
      <c r="AB148" s="32">
        <v>95683</v>
      </c>
      <c r="AC148" s="16">
        <v>20341</v>
      </c>
      <c r="AD148" s="31">
        <v>116024</v>
      </c>
      <c r="AE148" s="16">
        <v>99392</v>
      </c>
      <c r="AF148" s="16">
        <v>14018</v>
      </c>
      <c r="AG148" s="31">
        <v>113410</v>
      </c>
      <c r="AH148" s="16">
        <v>93559</v>
      </c>
      <c r="AI148" s="16">
        <v>12878</v>
      </c>
      <c r="AJ148" s="31">
        <v>106437</v>
      </c>
      <c r="AK148" s="16">
        <v>120168</v>
      </c>
      <c r="AL148" s="16">
        <v>18131</v>
      </c>
      <c r="AM148" s="31">
        <v>138299</v>
      </c>
      <c r="AN148" s="16">
        <v>135427</v>
      </c>
      <c r="AO148" s="16">
        <v>21997</v>
      </c>
      <c r="AP148" s="31">
        <v>157424</v>
      </c>
      <c r="AQ148" s="42"/>
      <c r="AR148" s="43"/>
      <c r="AS148" s="42"/>
      <c r="AT148" s="42"/>
    </row>
    <row r="149" spans="1:46" ht="12.9" customHeight="1" x14ac:dyDescent="0.25">
      <c r="A149" s="28" t="s">
        <v>325</v>
      </c>
      <c r="B149" s="29" t="s">
        <v>326</v>
      </c>
      <c r="C149" s="30" t="s">
        <v>113</v>
      </c>
      <c r="D149" s="40">
        <v>14162</v>
      </c>
      <c r="E149" s="26">
        <v>91230</v>
      </c>
      <c r="F149" s="26">
        <f t="shared" si="4"/>
        <v>105392</v>
      </c>
      <c r="G149" s="40">
        <v>14764</v>
      </c>
      <c r="H149" s="26">
        <f>105187-38+1117</f>
        <v>106266</v>
      </c>
      <c r="I149" s="27">
        <f t="shared" si="5"/>
        <v>121030</v>
      </c>
      <c r="J149" s="40">
        <v>15775</v>
      </c>
      <c r="K149" s="26">
        <v>104203</v>
      </c>
      <c r="L149" s="27">
        <v>119978</v>
      </c>
      <c r="M149" s="26">
        <v>15636</v>
      </c>
      <c r="N149" s="26">
        <v>125409</v>
      </c>
      <c r="O149" s="27">
        <v>141045</v>
      </c>
      <c r="P149" s="26">
        <v>14154</v>
      </c>
      <c r="Q149" s="26">
        <v>118052</v>
      </c>
      <c r="R149" s="27">
        <v>132206</v>
      </c>
      <c r="S149" s="26">
        <v>15451</v>
      </c>
      <c r="T149" s="26">
        <v>114718</v>
      </c>
      <c r="U149" s="27">
        <v>130169</v>
      </c>
      <c r="V149" s="26">
        <v>12618</v>
      </c>
      <c r="W149" s="26">
        <v>120443</v>
      </c>
      <c r="X149" s="31">
        <v>133061</v>
      </c>
      <c r="Y149" s="16">
        <v>14848</v>
      </c>
      <c r="Z149" s="16">
        <v>129066</v>
      </c>
      <c r="AA149" s="31">
        <v>143914</v>
      </c>
      <c r="AB149" s="32">
        <v>13192</v>
      </c>
      <c r="AC149" s="16">
        <v>134484</v>
      </c>
      <c r="AD149" s="31">
        <v>147676</v>
      </c>
      <c r="AE149" s="16">
        <v>17602</v>
      </c>
      <c r="AF149" s="16">
        <v>91336</v>
      </c>
      <c r="AG149" s="31">
        <v>108938</v>
      </c>
      <c r="AH149" s="16">
        <v>11638</v>
      </c>
      <c r="AI149" s="16">
        <v>67096</v>
      </c>
      <c r="AJ149" s="31">
        <v>78734</v>
      </c>
      <c r="AK149" s="16">
        <v>18688</v>
      </c>
      <c r="AL149" s="16">
        <v>109324</v>
      </c>
      <c r="AM149" s="31">
        <v>128012</v>
      </c>
      <c r="AN149" s="16">
        <v>19091</v>
      </c>
      <c r="AO149" s="16">
        <v>120568</v>
      </c>
      <c r="AP149" s="31">
        <v>139659</v>
      </c>
      <c r="AQ149" s="42"/>
      <c r="AR149" s="43"/>
      <c r="AS149" s="42"/>
      <c r="AT149" s="42"/>
    </row>
    <row r="150" spans="1:46" ht="12.9" customHeight="1" x14ac:dyDescent="0.25">
      <c r="A150" s="28" t="s">
        <v>327</v>
      </c>
      <c r="B150" s="29" t="s">
        <v>328</v>
      </c>
      <c r="C150" s="30" t="s">
        <v>123</v>
      </c>
      <c r="D150" s="40">
        <v>4305</v>
      </c>
      <c r="E150" s="26">
        <v>10388</v>
      </c>
      <c r="F150" s="26">
        <f t="shared" si="4"/>
        <v>14693</v>
      </c>
      <c r="G150" s="40">
        <v>4364</v>
      </c>
      <c r="H150" s="26">
        <v>11566</v>
      </c>
      <c r="I150" s="27">
        <f t="shared" si="5"/>
        <v>15930</v>
      </c>
      <c r="J150" s="40">
        <v>4936</v>
      </c>
      <c r="K150" s="26">
        <v>11487</v>
      </c>
      <c r="L150" s="27">
        <v>16423</v>
      </c>
      <c r="M150" s="26">
        <v>4886</v>
      </c>
      <c r="N150" s="26">
        <v>13570</v>
      </c>
      <c r="O150" s="27">
        <v>18456</v>
      </c>
      <c r="P150" s="26">
        <v>4758</v>
      </c>
      <c r="Q150" s="26">
        <v>10633</v>
      </c>
      <c r="R150" s="27">
        <v>15391</v>
      </c>
      <c r="S150" s="26">
        <v>4741</v>
      </c>
      <c r="T150" s="26">
        <v>13621</v>
      </c>
      <c r="U150" s="27">
        <v>18362</v>
      </c>
      <c r="V150" s="26">
        <v>4800</v>
      </c>
      <c r="W150" s="26">
        <v>12459</v>
      </c>
      <c r="X150" s="31">
        <v>17259</v>
      </c>
      <c r="Y150" s="16">
        <v>4224</v>
      </c>
      <c r="Z150" s="16">
        <v>14222</v>
      </c>
      <c r="AA150" s="31">
        <v>18446</v>
      </c>
      <c r="AB150" s="32">
        <v>5153</v>
      </c>
      <c r="AC150" s="16">
        <v>15247</v>
      </c>
      <c r="AD150" s="31">
        <v>20400</v>
      </c>
      <c r="AE150" s="16">
        <v>4974</v>
      </c>
      <c r="AF150" s="16">
        <v>14670</v>
      </c>
      <c r="AG150" s="31">
        <v>19644</v>
      </c>
      <c r="AH150" s="16">
        <v>4584</v>
      </c>
      <c r="AI150" s="16">
        <v>9535</v>
      </c>
      <c r="AJ150" s="31">
        <v>14119</v>
      </c>
      <c r="AK150" s="16">
        <v>4769</v>
      </c>
      <c r="AL150" s="16">
        <v>12048</v>
      </c>
      <c r="AM150" s="31">
        <v>16817</v>
      </c>
      <c r="AN150" s="16">
        <v>3947</v>
      </c>
      <c r="AO150" s="16">
        <v>10431</v>
      </c>
      <c r="AP150" s="31">
        <v>14378</v>
      </c>
      <c r="AQ150" s="42"/>
      <c r="AR150" s="43"/>
      <c r="AS150" s="42"/>
      <c r="AT150" s="42"/>
    </row>
    <row r="151" spans="1:46" ht="12.9" customHeight="1" x14ac:dyDescent="0.25">
      <c r="A151" s="28" t="s">
        <v>329</v>
      </c>
      <c r="B151" s="29" t="s">
        <v>330</v>
      </c>
      <c r="C151" s="30" t="s">
        <v>249</v>
      </c>
      <c r="D151" s="40">
        <v>8646</v>
      </c>
      <c r="E151" s="26">
        <v>3059</v>
      </c>
      <c r="F151" s="26">
        <f t="shared" si="4"/>
        <v>11705</v>
      </c>
      <c r="G151" s="40">
        <v>10180</v>
      </c>
      <c r="H151" s="26">
        <v>3557</v>
      </c>
      <c r="I151" s="27">
        <f t="shared" si="5"/>
        <v>13737</v>
      </c>
      <c r="J151" s="40">
        <v>10853</v>
      </c>
      <c r="K151" s="26">
        <v>4152</v>
      </c>
      <c r="L151" s="27">
        <v>15005</v>
      </c>
      <c r="M151" s="26">
        <v>12290</v>
      </c>
      <c r="N151" s="26">
        <v>4187</v>
      </c>
      <c r="O151" s="27">
        <v>16477</v>
      </c>
      <c r="P151" s="26">
        <v>12271</v>
      </c>
      <c r="Q151" s="26">
        <v>3856</v>
      </c>
      <c r="R151" s="27">
        <v>16127</v>
      </c>
      <c r="S151" s="26">
        <v>11116</v>
      </c>
      <c r="T151" s="26">
        <v>4135</v>
      </c>
      <c r="U151" s="27">
        <v>15251</v>
      </c>
      <c r="V151" s="26">
        <v>10953</v>
      </c>
      <c r="W151" s="26">
        <v>3972</v>
      </c>
      <c r="X151" s="31">
        <v>14925</v>
      </c>
      <c r="Y151" s="16">
        <v>11194</v>
      </c>
      <c r="Z151" s="16">
        <v>3419</v>
      </c>
      <c r="AA151" s="31">
        <v>14613</v>
      </c>
      <c r="AB151" s="32">
        <v>11610</v>
      </c>
      <c r="AC151" s="16">
        <v>4133</v>
      </c>
      <c r="AD151" s="31">
        <v>15743</v>
      </c>
      <c r="AE151" s="16">
        <v>12098</v>
      </c>
      <c r="AF151" s="16">
        <v>4913</v>
      </c>
      <c r="AG151" s="31">
        <v>17011</v>
      </c>
      <c r="AH151" s="16">
        <v>12328</v>
      </c>
      <c r="AI151" s="16">
        <v>5500</v>
      </c>
      <c r="AJ151" s="31">
        <v>17828</v>
      </c>
      <c r="AK151" s="16">
        <v>13634</v>
      </c>
      <c r="AL151" s="16">
        <v>4464</v>
      </c>
      <c r="AM151" s="31">
        <v>18098</v>
      </c>
      <c r="AN151" s="16">
        <v>13634</v>
      </c>
      <c r="AO151" s="16">
        <v>4464</v>
      </c>
      <c r="AP151" s="31">
        <v>18098</v>
      </c>
      <c r="AQ151" s="42"/>
      <c r="AR151" s="43"/>
      <c r="AS151" s="42"/>
      <c r="AT151" s="42"/>
    </row>
    <row r="152" spans="1:46" ht="12.9" customHeight="1" x14ac:dyDescent="0.25">
      <c r="A152" s="28" t="s">
        <v>331</v>
      </c>
      <c r="B152" s="29" t="s">
        <v>332</v>
      </c>
      <c r="C152" s="30" t="s">
        <v>14</v>
      </c>
      <c r="D152" s="40">
        <v>5599</v>
      </c>
      <c r="E152" s="26">
        <v>70454</v>
      </c>
      <c r="F152" s="26">
        <f t="shared" si="4"/>
        <v>76053</v>
      </c>
      <c r="G152" s="40">
        <v>6774</v>
      </c>
      <c r="H152" s="26">
        <v>74421</v>
      </c>
      <c r="I152" s="27">
        <f t="shared" si="5"/>
        <v>81195</v>
      </c>
      <c r="J152" s="40">
        <v>6991</v>
      </c>
      <c r="K152" s="26">
        <v>75698</v>
      </c>
      <c r="L152" s="27">
        <v>82689</v>
      </c>
      <c r="M152" s="26">
        <v>6353</v>
      </c>
      <c r="N152" s="26">
        <v>68311</v>
      </c>
      <c r="O152" s="27">
        <v>74664</v>
      </c>
      <c r="P152" s="26">
        <v>5381</v>
      </c>
      <c r="Q152" s="26">
        <v>68870</v>
      </c>
      <c r="R152" s="27">
        <v>74251</v>
      </c>
      <c r="S152" s="26">
        <v>6629</v>
      </c>
      <c r="T152" s="26">
        <v>76426</v>
      </c>
      <c r="U152" s="27">
        <v>83055</v>
      </c>
      <c r="V152" s="26">
        <v>5873</v>
      </c>
      <c r="W152" s="26">
        <v>89273</v>
      </c>
      <c r="X152" s="31">
        <v>95146</v>
      </c>
      <c r="Y152" s="16">
        <v>8860</v>
      </c>
      <c r="Z152" s="16">
        <v>109553</v>
      </c>
      <c r="AA152" s="31">
        <v>118413</v>
      </c>
      <c r="AB152" s="32">
        <v>8838</v>
      </c>
      <c r="AC152" s="16">
        <v>99573</v>
      </c>
      <c r="AD152" s="31">
        <v>108411</v>
      </c>
      <c r="AE152" s="16">
        <v>8970</v>
      </c>
      <c r="AF152" s="16">
        <v>102799</v>
      </c>
      <c r="AG152" s="31">
        <v>111769</v>
      </c>
      <c r="AH152" s="16">
        <v>8958</v>
      </c>
      <c r="AI152" s="16">
        <v>97627</v>
      </c>
      <c r="AJ152" s="31">
        <v>106585</v>
      </c>
      <c r="AK152" s="16">
        <v>7777</v>
      </c>
      <c r="AL152" s="16">
        <v>8544</v>
      </c>
      <c r="AM152" s="31">
        <v>16321</v>
      </c>
      <c r="AN152" s="16">
        <v>8720</v>
      </c>
      <c r="AO152" s="16">
        <v>135434</v>
      </c>
      <c r="AP152" s="31">
        <v>144154</v>
      </c>
      <c r="AQ152" s="42"/>
      <c r="AR152" s="43"/>
      <c r="AS152" s="42"/>
      <c r="AT152" s="42"/>
    </row>
    <row r="153" spans="1:46" ht="12.9" customHeight="1" x14ac:dyDescent="0.25">
      <c r="A153" s="28" t="s">
        <v>333</v>
      </c>
      <c r="B153" s="29" t="s">
        <v>334</v>
      </c>
      <c r="C153" s="30" t="s">
        <v>23</v>
      </c>
      <c r="D153" s="40">
        <v>11651</v>
      </c>
      <c r="E153" s="26">
        <v>3522</v>
      </c>
      <c r="F153" s="26">
        <f t="shared" si="4"/>
        <v>15173</v>
      </c>
      <c r="G153" s="40">
        <v>12649</v>
      </c>
      <c r="H153" s="26">
        <v>4145</v>
      </c>
      <c r="I153" s="27">
        <f t="shared" si="5"/>
        <v>16794</v>
      </c>
      <c r="J153" s="40">
        <v>14691</v>
      </c>
      <c r="K153" s="26">
        <v>5969</v>
      </c>
      <c r="L153" s="27">
        <v>20660</v>
      </c>
      <c r="M153" s="26">
        <v>11927</v>
      </c>
      <c r="N153" s="26">
        <v>4734</v>
      </c>
      <c r="O153" s="27">
        <v>16661</v>
      </c>
      <c r="P153" s="26">
        <v>9988</v>
      </c>
      <c r="Q153" s="26">
        <v>4089</v>
      </c>
      <c r="R153" s="27">
        <v>14077</v>
      </c>
      <c r="S153" s="26">
        <v>10620</v>
      </c>
      <c r="T153" s="26">
        <v>5071</v>
      </c>
      <c r="U153" s="27">
        <v>15691</v>
      </c>
      <c r="V153" s="26">
        <v>13848</v>
      </c>
      <c r="W153" s="26">
        <v>5141</v>
      </c>
      <c r="X153" s="31">
        <v>18989</v>
      </c>
      <c r="Y153" s="16">
        <v>15010</v>
      </c>
      <c r="Z153" s="16">
        <v>4988</v>
      </c>
      <c r="AA153" s="31">
        <v>19998</v>
      </c>
      <c r="AB153" s="32">
        <v>18203</v>
      </c>
      <c r="AC153" s="16">
        <v>5350</v>
      </c>
      <c r="AD153" s="31">
        <v>23553</v>
      </c>
      <c r="AE153" s="16">
        <v>14960</v>
      </c>
      <c r="AF153" s="16">
        <v>4756</v>
      </c>
      <c r="AG153" s="31">
        <v>19716</v>
      </c>
      <c r="AH153" s="16">
        <v>15476</v>
      </c>
      <c r="AI153" s="16">
        <v>4154</v>
      </c>
      <c r="AJ153" s="31">
        <v>19630</v>
      </c>
      <c r="AK153" s="16">
        <v>20444</v>
      </c>
      <c r="AL153" s="16">
        <v>4725</v>
      </c>
      <c r="AM153" s="31">
        <v>25169</v>
      </c>
      <c r="AN153" s="16">
        <v>20284</v>
      </c>
      <c r="AO153" s="16">
        <v>5010</v>
      </c>
      <c r="AP153" s="31">
        <v>25294</v>
      </c>
      <c r="AQ153" s="42"/>
      <c r="AR153" s="43"/>
      <c r="AS153" s="42"/>
      <c r="AT153" s="42"/>
    </row>
    <row r="154" spans="1:46" ht="12.9" customHeight="1" x14ac:dyDescent="0.25">
      <c r="A154" s="28" t="s">
        <v>335</v>
      </c>
      <c r="B154" s="29" t="s">
        <v>336</v>
      </c>
      <c r="C154" s="30" t="s">
        <v>23</v>
      </c>
      <c r="D154" s="40">
        <v>25888</v>
      </c>
      <c r="E154" s="26">
        <v>6929</v>
      </c>
      <c r="F154" s="26">
        <f t="shared" si="4"/>
        <v>32817</v>
      </c>
      <c r="G154" s="40">
        <v>21962</v>
      </c>
      <c r="H154" s="26">
        <v>6794</v>
      </c>
      <c r="I154" s="27">
        <f t="shared" si="5"/>
        <v>28756</v>
      </c>
      <c r="J154" s="40">
        <v>25733</v>
      </c>
      <c r="K154" s="26">
        <v>7795</v>
      </c>
      <c r="L154" s="27">
        <v>33528</v>
      </c>
      <c r="M154" s="26">
        <v>22250</v>
      </c>
      <c r="N154" s="26">
        <v>6352</v>
      </c>
      <c r="O154" s="27">
        <v>28602</v>
      </c>
      <c r="P154" s="26">
        <v>21893</v>
      </c>
      <c r="Q154" s="26">
        <v>8618</v>
      </c>
      <c r="R154" s="27">
        <v>30511</v>
      </c>
      <c r="S154" s="26">
        <v>19983</v>
      </c>
      <c r="T154" s="26">
        <v>6612</v>
      </c>
      <c r="U154" s="27">
        <v>26595</v>
      </c>
      <c r="V154" s="26">
        <v>19958</v>
      </c>
      <c r="W154" s="26">
        <v>6668</v>
      </c>
      <c r="X154" s="31">
        <v>26626</v>
      </c>
      <c r="Y154" s="16">
        <v>19562</v>
      </c>
      <c r="Z154" s="16">
        <v>7098</v>
      </c>
      <c r="AA154" s="31">
        <v>26660</v>
      </c>
      <c r="AB154" s="32">
        <v>19255</v>
      </c>
      <c r="AC154" s="16">
        <v>4925</v>
      </c>
      <c r="AD154" s="31">
        <v>24180</v>
      </c>
      <c r="AE154" s="16">
        <v>15438</v>
      </c>
      <c r="AF154" s="16">
        <v>2308</v>
      </c>
      <c r="AG154" s="31">
        <v>17746</v>
      </c>
      <c r="AH154" s="16">
        <v>23786</v>
      </c>
      <c r="AI154" s="16">
        <v>4730</v>
      </c>
      <c r="AJ154" s="31">
        <v>28516</v>
      </c>
      <c r="AK154" s="16">
        <v>19564</v>
      </c>
      <c r="AL154" s="16">
        <v>5002</v>
      </c>
      <c r="AM154" s="31">
        <v>24566</v>
      </c>
      <c r="AN154" s="16">
        <v>16048</v>
      </c>
      <c r="AO154" s="16">
        <v>3062</v>
      </c>
      <c r="AP154" s="31">
        <v>19110</v>
      </c>
      <c r="AQ154" s="42"/>
      <c r="AR154" s="43"/>
      <c r="AS154" s="42"/>
      <c r="AT154" s="42"/>
    </row>
    <row r="155" spans="1:46" ht="12.9" customHeight="1" x14ac:dyDescent="0.25">
      <c r="A155" s="28" t="s">
        <v>337</v>
      </c>
      <c r="B155" s="29" t="s">
        <v>338</v>
      </c>
      <c r="C155" s="30" t="s">
        <v>191</v>
      </c>
      <c r="D155" s="40">
        <v>31945</v>
      </c>
      <c r="E155" s="26">
        <v>9927</v>
      </c>
      <c r="F155" s="26">
        <f t="shared" si="4"/>
        <v>41872</v>
      </c>
      <c r="G155" s="40">
        <v>34265</v>
      </c>
      <c r="H155" s="26">
        <v>12950</v>
      </c>
      <c r="I155" s="27">
        <f t="shared" si="5"/>
        <v>47215</v>
      </c>
      <c r="J155" s="40">
        <v>41052</v>
      </c>
      <c r="K155" s="26">
        <v>17507</v>
      </c>
      <c r="L155" s="27">
        <v>58559</v>
      </c>
      <c r="M155" s="26">
        <v>39503</v>
      </c>
      <c r="N155" s="26">
        <v>12356</v>
      </c>
      <c r="O155" s="27">
        <v>51859</v>
      </c>
      <c r="P155" s="26">
        <v>37640</v>
      </c>
      <c r="Q155" s="26">
        <v>10613</v>
      </c>
      <c r="R155" s="27">
        <v>48253</v>
      </c>
      <c r="S155" s="26">
        <v>29110</v>
      </c>
      <c r="T155" s="26">
        <v>8418</v>
      </c>
      <c r="U155" s="27">
        <v>37528</v>
      </c>
      <c r="V155" s="26">
        <v>28372</v>
      </c>
      <c r="W155" s="26">
        <v>7497</v>
      </c>
      <c r="X155" s="31">
        <v>35869</v>
      </c>
      <c r="Y155" s="16">
        <v>29146</v>
      </c>
      <c r="Z155" s="16">
        <v>9037</v>
      </c>
      <c r="AA155" s="31">
        <v>38183</v>
      </c>
      <c r="AB155" s="32">
        <v>28490</v>
      </c>
      <c r="AC155" s="16">
        <v>10187</v>
      </c>
      <c r="AD155" s="31">
        <v>38677</v>
      </c>
      <c r="AE155" s="16">
        <v>29263</v>
      </c>
      <c r="AF155" s="16">
        <v>8130</v>
      </c>
      <c r="AG155" s="31">
        <v>37393</v>
      </c>
      <c r="AH155" s="16">
        <v>30643</v>
      </c>
      <c r="AI155" s="16">
        <v>6099</v>
      </c>
      <c r="AJ155" s="31">
        <v>36742</v>
      </c>
      <c r="AK155" s="16">
        <v>30478</v>
      </c>
      <c r="AL155" s="16">
        <v>7220</v>
      </c>
      <c r="AM155" s="31">
        <v>37698</v>
      </c>
      <c r="AN155" s="16">
        <v>32236</v>
      </c>
      <c r="AO155" s="16">
        <v>6933</v>
      </c>
      <c r="AP155" s="31">
        <v>39169</v>
      </c>
      <c r="AQ155" s="42"/>
      <c r="AR155" s="43"/>
      <c r="AS155" s="42"/>
      <c r="AT155" s="42"/>
    </row>
    <row r="156" spans="1:46" ht="12.9" customHeight="1" x14ac:dyDescent="0.25">
      <c r="A156" s="28" t="s">
        <v>339</v>
      </c>
      <c r="B156" s="29" t="s">
        <v>340</v>
      </c>
      <c r="C156" s="30" t="s">
        <v>39</v>
      </c>
      <c r="D156" s="40">
        <v>4933</v>
      </c>
      <c r="E156" s="26">
        <v>13831</v>
      </c>
      <c r="F156" s="26">
        <f t="shared" si="4"/>
        <v>18764</v>
      </c>
      <c r="G156" s="40">
        <v>5104</v>
      </c>
      <c r="H156" s="26">
        <v>432</v>
      </c>
      <c r="I156" s="27">
        <f t="shared" si="5"/>
        <v>5536</v>
      </c>
      <c r="J156" s="40">
        <v>10296</v>
      </c>
      <c r="K156" s="26">
        <v>432</v>
      </c>
      <c r="L156" s="27">
        <v>10728</v>
      </c>
      <c r="M156" s="26">
        <v>9464</v>
      </c>
      <c r="N156" s="26">
        <v>432</v>
      </c>
      <c r="O156" s="27">
        <v>9896</v>
      </c>
      <c r="P156" s="26">
        <v>9464</v>
      </c>
      <c r="Q156" s="26">
        <v>492</v>
      </c>
      <c r="R156" s="27">
        <v>9956</v>
      </c>
      <c r="S156" s="26">
        <v>9568</v>
      </c>
      <c r="T156" s="26">
        <v>636</v>
      </c>
      <c r="U156" s="27">
        <v>10204</v>
      </c>
      <c r="V156" s="26">
        <v>9568</v>
      </c>
      <c r="W156" s="26">
        <v>636</v>
      </c>
      <c r="X156" s="31">
        <v>10204</v>
      </c>
      <c r="Y156" s="16">
        <v>8892</v>
      </c>
      <c r="Z156" s="16">
        <v>0</v>
      </c>
      <c r="AA156" s="31">
        <v>8892</v>
      </c>
      <c r="AB156" s="32">
        <v>8892</v>
      </c>
      <c r="AC156" s="16">
        <v>0</v>
      </c>
      <c r="AD156" s="31">
        <v>8892</v>
      </c>
      <c r="AE156" s="16">
        <v>8892</v>
      </c>
      <c r="AF156" s="16">
        <v>0</v>
      </c>
      <c r="AG156" s="31">
        <v>8892</v>
      </c>
      <c r="AH156" s="16">
        <v>8892</v>
      </c>
      <c r="AI156" s="16">
        <v>0</v>
      </c>
      <c r="AJ156" s="31">
        <v>8892</v>
      </c>
      <c r="AK156" s="16">
        <v>8892</v>
      </c>
      <c r="AL156" s="16">
        <v>0</v>
      </c>
      <c r="AM156" s="31">
        <v>8892</v>
      </c>
      <c r="AN156" s="16">
        <v>8892</v>
      </c>
      <c r="AO156" s="16">
        <v>0</v>
      </c>
      <c r="AP156" s="31">
        <v>8892</v>
      </c>
      <c r="AQ156" s="42"/>
      <c r="AR156" s="43"/>
      <c r="AS156" s="42"/>
      <c r="AT156" s="42"/>
    </row>
    <row r="157" spans="1:46" ht="12.9" customHeight="1" x14ac:dyDescent="0.25">
      <c r="A157" s="28" t="s">
        <v>341</v>
      </c>
      <c r="B157" s="29" t="s">
        <v>342</v>
      </c>
      <c r="C157" s="30" t="s">
        <v>29</v>
      </c>
      <c r="D157" s="40">
        <v>77764</v>
      </c>
      <c r="E157" s="26">
        <v>4782</v>
      </c>
      <c r="F157" s="26">
        <f t="shared" si="4"/>
        <v>82546</v>
      </c>
      <c r="G157" s="40">
        <v>72210</v>
      </c>
      <c r="H157" s="26">
        <v>4837</v>
      </c>
      <c r="I157" s="27">
        <f t="shared" si="5"/>
        <v>77047</v>
      </c>
      <c r="J157" s="40">
        <v>80677</v>
      </c>
      <c r="K157" s="26">
        <v>4669</v>
      </c>
      <c r="L157" s="27">
        <v>85346</v>
      </c>
      <c r="M157" s="26">
        <v>80732</v>
      </c>
      <c r="N157" s="26">
        <v>3654</v>
      </c>
      <c r="O157" s="27">
        <v>84386</v>
      </c>
      <c r="P157" s="26">
        <v>83016</v>
      </c>
      <c r="Q157" s="26">
        <v>3681</v>
      </c>
      <c r="R157" s="27">
        <v>86697</v>
      </c>
      <c r="S157" s="26">
        <v>79591</v>
      </c>
      <c r="T157" s="26">
        <v>4961</v>
      </c>
      <c r="U157" s="27">
        <v>84552</v>
      </c>
      <c r="V157" s="26">
        <v>84889</v>
      </c>
      <c r="W157" s="26">
        <v>4193</v>
      </c>
      <c r="X157" s="31">
        <v>89082</v>
      </c>
      <c r="Y157" s="16">
        <v>77513</v>
      </c>
      <c r="Z157" s="16">
        <v>3088</v>
      </c>
      <c r="AA157" s="31">
        <v>80601</v>
      </c>
      <c r="AB157" s="32">
        <v>73566</v>
      </c>
      <c r="AC157" s="16">
        <v>2576</v>
      </c>
      <c r="AD157" s="31">
        <v>76142</v>
      </c>
      <c r="AE157" s="16">
        <v>75072</v>
      </c>
      <c r="AF157" s="16">
        <v>2979</v>
      </c>
      <c r="AG157" s="31">
        <v>78051</v>
      </c>
      <c r="AH157" s="16">
        <v>74813</v>
      </c>
      <c r="AI157" s="16">
        <v>6061</v>
      </c>
      <c r="AJ157" s="31">
        <v>80874</v>
      </c>
      <c r="AK157" s="16">
        <v>79977</v>
      </c>
      <c r="AL157" s="16">
        <v>8995</v>
      </c>
      <c r="AM157" s="31">
        <v>88972</v>
      </c>
      <c r="AN157" s="16">
        <v>94123</v>
      </c>
      <c r="AO157" s="16">
        <v>17228</v>
      </c>
      <c r="AP157" s="31">
        <v>111351</v>
      </c>
      <c r="AQ157" s="42"/>
      <c r="AR157" s="43"/>
      <c r="AS157" s="42"/>
      <c r="AT157" s="42"/>
    </row>
    <row r="158" spans="1:46" ht="12.9" customHeight="1" x14ac:dyDescent="0.25">
      <c r="A158" s="28" t="s">
        <v>343</v>
      </c>
      <c r="B158" s="29" t="s">
        <v>344</v>
      </c>
      <c r="C158" s="30" t="s">
        <v>153</v>
      </c>
      <c r="D158" s="40">
        <v>83660</v>
      </c>
      <c r="E158" s="26">
        <v>7664</v>
      </c>
      <c r="F158" s="26">
        <f t="shared" si="4"/>
        <v>91324</v>
      </c>
      <c r="G158" s="40">
        <v>59293</v>
      </c>
      <c r="H158" s="26">
        <v>5889</v>
      </c>
      <c r="I158" s="27">
        <f t="shared" si="5"/>
        <v>65182</v>
      </c>
      <c r="J158" s="40">
        <v>108810</v>
      </c>
      <c r="K158" s="26">
        <v>13773</v>
      </c>
      <c r="L158" s="27">
        <v>122583</v>
      </c>
      <c r="M158" s="26">
        <v>109060</v>
      </c>
      <c r="N158" s="26">
        <v>10764</v>
      </c>
      <c r="O158" s="27">
        <v>119824</v>
      </c>
      <c r="P158" s="26">
        <v>107851</v>
      </c>
      <c r="Q158" s="26">
        <v>10031</v>
      </c>
      <c r="R158" s="27">
        <v>117882</v>
      </c>
      <c r="S158" s="26">
        <v>119701</v>
      </c>
      <c r="T158" s="26">
        <v>11769</v>
      </c>
      <c r="U158" s="27">
        <v>131470</v>
      </c>
      <c r="V158" s="26">
        <v>125311</v>
      </c>
      <c r="W158" s="26">
        <v>9960</v>
      </c>
      <c r="X158" s="31">
        <v>135271</v>
      </c>
      <c r="Y158" s="16">
        <v>98742</v>
      </c>
      <c r="Z158" s="16">
        <v>9928</v>
      </c>
      <c r="AA158" s="31">
        <v>108670</v>
      </c>
      <c r="AB158" s="32">
        <v>101657</v>
      </c>
      <c r="AC158" s="16">
        <v>8110</v>
      </c>
      <c r="AD158" s="31">
        <v>109767</v>
      </c>
      <c r="AE158" s="16">
        <v>97822</v>
      </c>
      <c r="AF158" s="16">
        <v>6202</v>
      </c>
      <c r="AG158" s="31">
        <v>104024</v>
      </c>
      <c r="AH158" s="16">
        <v>94631</v>
      </c>
      <c r="AI158" s="16">
        <v>7697</v>
      </c>
      <c r="AJ158" s="31">
        <v>102328</v>
      </c>
      <c r="AK158" s="16">
        <v>97071</v>
      </c>
      <c r="AL158" s="16">
        <v>4935</v>
      </c>
      <c r="AM158" s="31">
        <v>102006</v>
      </c>
      <c r="AN158" s="16">
        <v>111260</v>
      </c>
      <c r="AO158" s="16">
        <v>5397</v>
      </c>
      <c r="AP158" s="31">
        <v>116657</v>
      </c>
      <c r="AQ158" s="42"/>
      <c r="AR158" s="43"/>
      <c r="AS158" s="42"/>
      <c r="AT158" s="42"/>
    </row>
    <row r="159" spans="1:46" ht="12.9" customHeight="1" x14ac:dyDescent="0.25">
      <c r="A159" s="28" t="s">
        <v>345</v>
      </c>
      <c r="B159" s="29" t="s">
        <v>346</v>
      </c>
      <c r="C159" s="30" t="s">
        <v>80</v>
      </c>
      <c r="D159" s="40">
        <v>256817</v>
      </c>
      <c r="E159" s="26">
        <v>264393</v>
      </c>
      <c r="F159" s="26">
        <f t="shared" si="4"/>
        <v>521210</v>
      </c>
      <c r="G159" s="40">
        <v>301869</v>
      </c>
      <c r="H159" s="26">
        <v>300399</v>
      </c>
      <c r="I159" s="27">
        <f t="shared" si="5"/>
        <v>602268</v>
      </c>
      <c r="J159" s="40">
        <v>348313</v>
      </c>
      <c r="K159" s="26">
        <v>296346</v>
      </c>
      <c r="L159" s="27">
        <v>644659</v>
      </c>
      <c r="M159" s="26">
        <v>335139</v>
      </c>
      <c r="N159" s="26">
        <v>287023</v>
      </c>
      <c r="O159" s="27">
        <v>622162</v>
      </c>
      <c r="P159" s="26">
        <v>324343</v>
      </c>
      <c r="Q159" s="26">
        <v>264906</v>
      </c>
      <c r="R159" s="27">
        <v>589249</v>
      </c>
      <c r="S159" s="26">
        <v>318427</v>
      </c>
      <c r="T159" s="26">
        <v>330140</v>
      </c>
      <c r="U159" s="27">
        <v>648567</v>
      </c>
      <c r="V159" s="26">
        <v>301960</v>
      </c>
      <c r="W159" s="26">
        <v>315780</v>
      </c>
      <c r="X159" s="31">
        <v>617740</v>
      </c>
      <c r="Y159" s="16">
        <v>327293</v>
      </c>
      <c r="Z159" s="16">
        <v>273737</v>
      </c>
      <c r="AA159" s="31">
        <v>601030</v>
      </c>
      <c r="AB159" s="32">
        <v>333754.453125</v>
      </c>
      <c r="AC159" s="16">
        <v>319802</v>
      </c>
      <c r="AD159" s="31">
        <v>653556.453125</v>
      </c>
      <c r="AE159" s="16">
        <v>282946</v>
      </c>
      <c r="AF159" s="16">
        <v>288966</v>
      </c>
      <c r="AG159" s="31">
        <v>571912</v>
      </c>
      <c r="AH159" s="16">
        <v>332010</v>
      </c>
      <c r="AI159" s="16">
        <v>270427</v>
      </c>
      <c r="AJ159" s="31">
        <v>602437</v>
      </c>
      <c r="AK159" s="16">
        <v>323382</v>
      </c>
      <c r="AL159" s="16">
        <v>278926</v>
      </c>
      <c r="AM159" s="31">
        <v>602308</v>
      </c>
      <c r="AN159" s="16">
        <v>355352</v>
      </c>
      <c r="AO159" s="16">
        <v>284575</v>
      </c>
      <c r="AP159" s="31">
        <v>639927</v>
      </c>
      <c r="AQ159" s="42"/>
      <c r="AR159" s="43"/>
      <c r="AS159" s="42"/>
      <c r="AT159" s="42"/>
    </row>
    <row r="160" spans="1:46" ht="12.9" customHeight="1" x14ac:dyDescent="0.25">
      <c r="A160" s="28" t="s">
        <v>347</v>
      </c>
      <c r="B160" s="29" t="s">
        <v>348</v>
      </c>
      <c r="C160" s="30" t="s">
        <v>80</v>
      </c>
      <c r="D160" s="40">
        <v>524116.2</v>
      </c>
      <c r="E160" s="26">
        <v>68814.2</v>
      </c>
      <c r="F160" s="26">
        <f t="shared" si="4"/>
        <v>592930.4</v>
      </c>
      <c r="G160" s="40">
        <v>619856</v>
      </c>
      <c r="H160" s="26">
        <v>80140</v>
      </c>
      <c r="I160" s="27">
        <f t="shared" si="5"/>
        <v>699996</v>
      </c>
      <c r="J160" s="40">
        <v>628134</v>
      </c>
      <c r="K160" s="26">
        <v>69132</v>
      </c>
      <c r="L160" s="27">
        <v>697266</v>
      </c>
      <c r="M160" s="26">
        <v>636220</v>
      </c>
      <c r="N160" s="26">
        <v>66103</v>
      </c>
      <c r="O160" s="27">
        <v>702323</v>
      </c>
      <c r="P160" s="26">
        <v>598178</v>
      </c>
      <c r="Q160" s="26">
        <v>57739</v>
      </c>
      <c r="R160" s="27">
        <v>655917</v>
      </c>
      <c r="S160" s="26">
        <v>604301</v>
      </c>
      <c r="T160" s="26">
        <v>67697</v>
      </c>
      <c r="U160" s="27">
        <v>671998</v>
      </c>
      <c r="V160" s="26">
        <v>570164</v>
      </c>
      <c r="W160" s="26">
        <v>62939</v>
      </c>
      <c r="X160" s="31">
        <v>633103</v>
      </c>
      <c r="Y160" s="16">
        <v>591398</v>
      </c>
      <c r="Z160" s="16">
        <v>64280</v>
      </c>
      <c r="AA160" s="31">
        <v>655678</v>
      </c>
      <c r="AB160" s="32">
        <v>609873</v>
      </c>
      <c r="AC160" s="16">
        <v>63774</v>
      </c>
      <c r="AD160" s="31">
        <v>673647</v>
      </c>
      <c r="AE160" s="16">
        <v>594517</v>
      </c>
      <c r="AF160" s="16">
        <v>62145</v>
      </c>
      <c r="AG160" s="31">
        <v>656662</v>
      </c>
      <c r="AH160" s="16">
        <v>547796</v>
      </c>
      <c r="AI160" s="16">
        <v>61070</v>
      </c>
      <c r="AJ160" s="31">
        <v>608866</v>
      </c>
      <c r="AK160" s="16">
        <v>564010</v>
      </c>
      <c r="AL160" s="16">
        <v>64520</v>
      </c>
      <c r="AM160" s="31">
        <v>628530</v>
      </c>
      <c r="AN160" s="16">
        <v>697729</v>
      </c>
      <c r="AO160" s="16">
        <v>79862</v>
      </c>
      <c r="AP160" s="31">
        <v>777591</v>
      </c>
      <c r="AQ160" s="42"/>
      <c r="AR160" s="43"/>
      <c r="AS160" s="42"/>
      <c r="AT160" s="42"/>
    </row>
    <row r="161" spans="1:46" ht="12.9" customHeight="1" x14ac:dyDescent="0.25">
      <c r="A161" s="28" t="s">
        <v>349</v>
      </c>
      <c r="B161" s="29" t="s">
        <v>350</v>
      </c>
      <c r="C161" s="30" t="s">
        <v>23</v>
      </c>
      <c r="D161" s="40">
        <v>266276</v>
      </c>
      <c r="E161" s="26">
        <v>115809</v>
      </c>
      <c r="F161" s="26">
        <f t="shared" si="4"/>
        <v>382085</v>
      </c>
      <c r="G161" s="40">
        <v>283706</v>
      </c>
      <c r="H161" s="26">
        <v>122183</v>
      </c>
      <c r="I161" s="27">
        <f t="shared" si="5"/>
        <v>405889</v>
      </c>
      <c r="J161" s="40">
        <v>302166</v>
      </c>
      <c r="K161" s="26">
        <v>115266</v>
      </c>
      <c r="L161" s="27">
        <v>417432</v>
      </c>
      <c r="M161" s="26">
        <v>288239</v>
      </c>
      <c r="N161" s="26">
        <v>96463</v>
      </c>
      <c r="O161" s="27">
        <v>384702</v>
      </c>
      <c r="P161" s="26">
        <v>259395</v>
      </c>
      <c r="Q161" s="26">
        <v>75299</v>
      </c>
      <c r="R161" s="27">
        <v>334694</v>
      </c>
      <c r="S161" s="26">
        <v>280437</v>
      </c>
      <c r="T161" s="26">
        <v>112447</v>
      </c>
      <c r="U161" s="27">
        <v>392884</v>
      </c>
      <c r="V161" s="26">
        <v>270294</v>
      </c>
      <c r="W161" s="26">
        <v>109142</v>
      </c>
      <c r="X161" s="31">
        <v>379436</v>
      </c>
      <c r="Y161" s="16">
        <v>269555</v>
      </c>
      <c r="Z161" s="16">
        <v>110991</v>
      </c>
      <c r="AA161" s="31">
        <v>380546</v>
      </c>
      <c r="AB161" s="32">
        <v>270199</v>
      </c>
      <c r="AC161" s="16">
        <v>113276</v>
      </c>
      <c r="AD161" s="31">
        <v>383475</v>
      </c>
      <c r="AE161" s="16">
        <v>270229</v>
      </c>
      <c r="AF161" s="16">
        <v>104495</v>
      </c>
      <c r="AG161" s="31">
        <v>374724</v>
      </c>
      <c r="AH161" s="16">
        <v>267690</v>
      </c>
      <c r="AI161" s="16">
        <v>103741</v>
      </c>
      <c r="AJ161" s="31">
        <v>371431</v>
      </c>
      <c r="AK161" s="16">
        <v>264888</v>
      </c>
      <c r="AL161" s="16">
        <v>106444</v>
      </c>
      <c r="AM161" s="31">
        <v>371332</v>
      </c>
      <c r="AN161" s="16">
        <v>282517</v>
      </c>
      <c r="AO161" s="16">
        <v>96050</v>
      </c>
      <c r="AP161" s="31">
        <v>378567</v>
      </c>
      <c r="AQ161" s="42"/>
      <c r="AR161" s="43"/>
      <c r="AS161" s="42"/>
      <c r="AT161" s="42"/>
    </row>
    <row r="162" spans="1:46" ht="12.9" customHeight="1" x14ac:dyDescent="0.25">
      <c r="A162" s="28" t="s">
        <v>351</v>
      </c>
      <c r="B162" s="29" t="s">
        <v>352</v>
      </c>
      <c r="C162" s="30" t="s">
        <v>153</v>
      </c>
      <c r="D162" s="40">
        <v>81142</v>
      </c>
      <c r="E162" s="26">
        <v>32752</v>
      </c>
      <c r="F162" s="26">
        <f t="shared" si="4"/>
        <v>113894</v>
      </c>
      <c r="G162" s="40">
        <v>110820</v>
      </c>
      <c r="H162" s="26">
        <v>39387</v>
      </c>
      <c r="I162" s="27">
        <f t="shared" si="5"/>
        <v>150207</v>
      </c>
      <c r="J162" s="40">
        <v>102018</v>
      </c>
      <c r="K162" s="26">
        <v>46078</v>
      </c>
      <c r="L162" s="27">
        <v>148096</v>
      </c>
      <c r="M162" s="26">
        <v>119965</v>
      </c>
      <c r="N162" s="26">
        <v>53504</v>
      </c>
      <c r="O162" s="27">
        <v>173469</v>
      </c>
      <c r="P162" s="26">
        <v>116754</v>
      </c>
      <c r="Q162" s="26">
        <v>48867</v>
      </c>
      <c r="R162" s="27">
        <v>165621</v>
      </c>
      <c r="S162" s="26">
        <v>112026</v>
      </c>
      <c r="T162" s="26">
        <v>58350</v>
      </c>
      <c r="U162" s="27">
        <v>170376</v>
      </c>
      <c r="V162" s="26">
        <v>109221</v>
      </c>
      <c r="W162" s="26">
        <v>49957</v>
      </c>
      <c r="X162" s="31">
        <v>159178</v>
      </c>
      <c r="Y162" s="16">
        <v>107859</v>
      </c>
      <c r="Z162" s="16">
        <v>58262</v>
      </c>
      <c r="AA162" s="31">
        <v>166121</v>
      </c>
      <c r="AB162" s="32">
        <v>103948</v>
      </c>
      <c r="AC162" s="16">
        <v>54861</v>
      </c>
      <c r="AD162" s="31">
        <v>158809</v>
      </c>
      <c r="AE162" s="16">
        <v>101548</v>
      </c>
      <c r="AF162" s="16">
        <v>50105</v>
      </c>
      <c r="AG162" s="31">
        <v>151653</v>
      </c>
      <c r="AH162" s="16">
        <v>99979</v>
      </c>
      <c r="AI162" s="16">
        <v>45845</v>
      </c>
      <c r="AJ162" s="31">
        <v>145824</v>
      </c>
      <c r="AK162" s="16">
        <v>100827</v>
      </c>
      <c r="AL162" s="16">
        <v>47395</v>
      </c>
      <c r="AM162" s="31">
        <v>148222</v>
      </c>
      <c r="AN162" s="16">
        <v>111288</v>
      </c>
      <c r="AO162" s="16">
        <v>49664</v>
      </c>
      <c r="AP162" s="31">
        <v>160952</v>
      </c>
      <c r="AQ162" s="42"/>
      <c r="AR162" s="43"/>
      <c r="AS162" s="42"/>
      <c r="AT162" s="42"/>
    </row>
    <row r="163" spans="1:46" ht="12.9" customHeight="1" x14ac:dyDescent="0.25">
      <c r="A163" s="28" t="s">
        <v>353</v>
      </c>
      <c r="B163" s="29" t="s">
        <v>354</v>
      </c>
      <c r="C163" s="30" t="s">
        <v>53</v>
      </c>
      <c r="D163" s="40">
        <v>2594019</v>
      </c>
      <c r="E163" s="26">
        <v>454675</v>
      </c>
      <c r="F163" s="26">
        <f t="shared" si="4"/>
        <v>3048694</v>
      </c>
      <c r="G163" s="40">
        <v>1911838</v>
      </c>
      <c r="H163" s="26">
        <v>435731</v>
      </c>
      <c r="I163" s="27">
        <f t="shared" si="5"/>
        <v>2347569</v>
      </c>
      <c r="J163" s="40">
        <v>1943149</v>
      </c>
      <c r="K163" s="26">
        <v>361762</v>
      </c>
      <c r="L163" s="27">
        <v>2304911</v>
      </c>
      <c r="M163" s="26">
        <v>1930056</v>
      </c>
      <c r="N163" s="26">
        <v>278007</v>
      </c>
      <c r="O163" s="27">
        <v>2208063</v>
      </c>
      <c r="P163" s="26">
        <v>1884375</v>
      </c>
      <c r="Q163" s="26">
        <v>258321</v>
      </c>
      <c r="R163" s="27">
        <v>2142696</v>
      </c>
      <c r="S163" s="26">
        <v>1842115</v>
      </c>
      <c r="T163" s="26">
        <v>323622</v>
      </c>
      <c r="U163" s="27">
        <v>2165737</v>
      </c>
      <c r="V163" s="26">
        <v>1758574</v>
      </c>
      <c r="W163" s="26">
        <v>287887</v>
      </c>
      <c r="X163" s="31">
        <v>2046461</v>
      </c>
      <c r="Y163" s="16">
        <v>1852783</v>
      </c>
      <c r="Z163" s="16">
        <v>386202</v>
      </c>
      <c r="AA163" s="31">
        <v>2238985</v>
      </c>
      <c r="AB163" s="32">
        <v>1806161</v>
      </c>
      <c r="AC163" s="16">
        <v>444289</v>
      </c>
      <c r="AD163" s="31">
        <v>2250450</v>
      </c>
      <c r="AE163" s="16">
        <v>1778975</v>
      </c>
      <c r="AF163" s="16">
        <v>537939</v>
      </c>
      <c r="AG163" s="31">
        <v>2316914</v>
      </c>
      <c r="AH163" s="16">
        <v>1770646</v>
      </c>
      <c r="AI163" s="16">
        <v>556100</v>
      </c>
      <c r="AJ163" s="31">
        <v>2326746</v>
      </c>
      <c r="AK163" s="16">
        <v>1819825</v>
      </c>
      <c r="AL163" s="16">
        <v>545105</v>
      </c>
      <c r="AM163" s="31">
        <v>2364930</v>
      </c>
      <c r="AN163" s="16">
        <v>1964089</v>
      </c>
      <c r="AO163" s="16">
        <v>601443</v>
      </c>
      <c r="AP163" s="31">
        <v>2565532</v>
      </c>
      <c r="AQ163" s="42"/>
      <c r="AR163" s="43"/>
      <c r="AS163" s="42"/>
      <c r="AT163" s="42"/>
    </row>
    <row r="164" spans="1:46" ht="12.9" customHeight="1" x14ac:dyDescent="0.25">
      <c r="A164" s="28" t="s">
        <v>355</v>
      </c>
      <c r="B164" s="29" t="s">
        <v>356</v>
      </c>
      <c r="C164" s="48" t="s">
        <v>357</v>
      </c>
      <c r="D164" s="40">
        <v>47695</v>
      </c>
      <c r="E164" s="26">
        <v>38510</v>
      </c>
      <c r="F164" s="26">
        <f t="shared" si="4"/>
        <v>86205</v>
      </c>
      <c r="G164" s="40">
        <v>50168</v>
      </c>
      <c r="H164" s="26">
        <v>34763</v>
      </c>
      <c r="I164" s="27">
        <f t="shared" si="5"/>
        <v>84931</v>
      </c>
      <c r="J164" s="40">
        <v>61545</v>
      </c>
      <c r="K164" s="26">
        <v>42674</v>
      </c>
      <c r="L164" s="27">
        <v>104219</v>
      </c>
      <c r="M164" s="26">
        <v>64189</v>
      </c>
      <c r="N164" s="26">
        <v>38354</v>
      </c>
      <c r="O164" s="27">
        <v>102543</v>
      </c>
      <c r="P164" s="26">
        <v>60147</v>
      </c>
      <c r="Q164" s="26">
        <v>34331</v>
      </c>
      <c r="R164" s="27">
        <v>94478</v>
      </c>
      <c r="S164" s="26">
        <v>54717</v>
      </c>
      <c r="T164" s="26">
        <v>36923</v>
      </c>
      <c r="U164" s="27">
        <v>91640</v>
      </c>
      <c r="V164" s="26">
        <v>53095</v>
      </c>
      <c r="W164" s="26">
        <v>35106</v>
      </c>
      <c r="X164" s="31">
        <v>88201</v>
      </c>
      <c r="Y164" s="16">
        <v>55582</v>
      </c>
      <c r="Z164" s="16">
        <v>35973</v>
      </c>
      <c r="AA164" s="31">
        <v>91555</v>
      </c>
      <c r="AB164" s="32">
        <v>56446</v>
      </c>
      <c r="AC164" s="16">
        <v>37822</v>
      </c>
      <c r="AD164" s="31">
        <v>94268</v>
      </c>
      <c r="AE164" s="16">
        <v>53953</v>
      </c>
      <c r="AF164" s="16">
        <v>38581</v>
      </c>
      <c r="AG164" s="31">
        <v>92534</v>
      </c>
      <c r="AH164" s="16">
        <v>48683</v>
      </c>
      <c r="AI164" s="16">
        <v>42098</v>
      </c>
      <c r="AJ164" s="31">
        <v>90781</v>
      </c>
      <c r="AK164" s="16">
        <v>50950</v>
      </c>
      <c r="AL164" s="16">
        <v>26913</v>
      </c>
      <c r="AM164" s="31">
        <v>77863</v>
      </c>
      <c r="AN164" s="16">
        <v>57676</v>
      </c>
      <c r="AO164" s="16">
        <v>24891</v>
      </c>
      <c r="AP164" s="31">
        <v>82567</v>
      </c>
      <c r="AQ164" s="42"/>
      <c r="AR164" s="43"/>
      <c r="AS164" s="42"/>
      <c r="AT164" s="42"/>
    </row>
    <row r="165" spans="1:46" ht="12.9" customHeight="1" x14ac:dyDescent="0.25">
      <c r="A165" s="28" t="s">
        <v>358</v>
      </c>
      <c r="B165" s="29" t="s">
        <v>359</v>
      </c>
      <c r="C165" s="30" t="s">
        <v>123</v>
      </c>
      <c r="D165" s="40">
        <v>387212</v>
      </c>
      <c r="E165" s="26">
        <v>691581</v>
      </c>
      <c r="F165" s="26">
        <f t="shared" si="4"/>
        <v>1078793</v>
      </c>
      <c r="G165" s="40">
        <v>422087</v>
      </c>
      <c r="H165" s="26">
        <v>822157</v>
      </c>
      <c r="I165" s="27">
        <f t="shared" si="5"/>
        <v>1244244</v>
      </c>
      <c r="J165" s="40">
        <v>493755</v>
      </c>
      <c r="K165" s="26">
        <v>850791</v>
      </c>
      <c r="L165" s="27">
        <v>1344546</v>
      </c>
      <c r="M165" s="26">
        <v>426330</v>
      </c>
      <c r="N165" s="26">
        <v>607403</v>
      </c>
      <c r="O165" s="27">
        <v>1033733</v>
      </c>
      <c r="P165" s="26">
        <v>383217</v>
      </c>
      <c r="Q165" s="26">
        <v>762365</v>
      </c>
      <c r="R165" s="27">
        <v>1145582</v>
      </c>
      <c r="S165" s="26">
        <v>418498</v>
      </c>
      <c r="T165" s="26">
        <v>758133</v>
      </c>
      <c r="U165" s="27">
        <v>1176631</v>
      </c>
      <c r="V165" s="26">
        <v>429596</v>
      </c>
      <c r="W165" s="26">
        <v>837590</v>
      </c>
      <c r="X165" s="31">
        <v>1267186</v>
      </c>
      <c r="Y165" s="16">
        <v>445863</v>
      </c>
      <c r="Z165" s="16">
        <v>822465</v>
      </c>
      <c r="AA165" s="31">
        <v>1268328</v>
      </c>
      <c r="AB165" s="32">
        <v>346882</v>
      </c>
      <c r="AC165" s="16">
        <v>735940</v>
      </c>
      <c r="AD165" s="31">
        <v>1082822</v>
      </c>
      <c r="AE165" s="16">
        <v>321186</v>
      </c>
      <c r="AF165" s="16">
        <v>804522</v>
      </c>
      <c r="AG165" s="31">
        <v>1125708</v>
      </c>
      <c r="AH165" s="16">
        <v>340161</v>
      </c>
      <c r="AI165" s="16">
        <v>792444</v>
      </c>
      <c r="AJ165" s="31">
        <v>1132605</v>
      </c>
      <c r="AK165" s="16">
        <v>306377</v>
      </c>
      <c r="AL165" s="16">
        <v>676128</v>
      </c>
      <c r="AM165" s="31">
        <v>982505</v>
      </c>
      <c r="AN165" s="16">
        <v>329927</v>
      </c>
      <c r="AO165" s="16">
        <v>764780.66666666663</v>
      </c>
      <c r="AP165" s="31">
        <v>1094707.6666666665</v>
      </c>
      <c r="AQ165" s="42"/>
      <c r="AR165" s="43"/>
      <c r="AS165" s="42"/>
      <c r="AT165" s="42"/>
    </row>
    <row r="166" spans="1:46" ht="12.9" customHeight="1" x14ac:dyDescent="0.25">
      <c r="A166" s="28" t="s">
        <v>360</v>
      </c>
      <c r="B166" s="29" t="s">
        <v>361</v>
      </c>
      <c r="C166" s="30" t="s">
        <v>26</v>
      </c>
      <c r="D166" s="40">
        <v>590534</v>
      </c>
      <c r="E166" s="26">
        <v>283413</v>
      </c>
      <c r="F166" s="26">
        <f t="shared" si="4"/>
        <v>873947</v>
      </c>
      <c r="G166" s="40">
        <v>638075</v>
      </c>
      <c r="H166" s="26">
        <v>310096</v>
      </c>
      <c r="I166" s="27">
        <f t="shared" si="5"/>
        <v>948171</v>
      </c>
      <c r="J166" s="40">
        <v>670291</v>
      </c>
      <c r="K166" s="26">
        <v>312197</v>
      </c>
      <c r="L166" s="27">
        <v>982488</v>
      </c>
      <c r="M166" s="26">
        <v>696970</v>
      </c>
      <c r="N166" s="26">
        <v>267479</v>
      </c>
      <c r="O166" s="27">
        <v>964449</v>
      </c>
      <c r="P166" s="26">
        <v>697806</v>
      </c>
      <c r="Q166" s="26">
        <v>237973</v>
      </c>
      <c r="R166" s="27">
        <v>935779</v>
      </c>
      <c r="S166" s="26">
        <v>645877</v>
      </c>
      <c r="T166" s="26">
        <v>325497</v>
      </c>
      <c r="U166" s="27">
        <v>971374</v>
      </c>
      <c r="V166" s="26">
        <v>629189</v>
      </c>
      <c r="W166" s="26">
        <v>300948</v>
      </c>
      <c r="X166" s="31">
        <v>930137</v>
      </c>
      <c r="Y166" s="16">
        <v>637819</v>
      </c>
      <c r="Z166" s="16">
        <v>327494</v>
      </c>
      <c r="AA166" s="31">
        <v>965313</v>
      </c>
      <c r="AB166" s="32">
        <v>639122</v>
      </c>
      <c r="AC166" s="16">
        <v>306735</v>
      </c>
      <c r="AD166" s="31">
        <v>945857</v>
      </c>
      <c r="AE166" s="16">
        <v>640732</v>
      </c>
      <c r="AF166" s="16">
        <v>293637</v>
      </c>
      <c r="AG166" s="31">
        <v>934369</v>
      </c>
      <c r="AH166" s="16">
        <v>622820</v>
      </c>
      <c r="AI166" s="16">
        <v>281602</v>
      </c>
      <c r="AJ166" s="31">
        <v>904422</v>
      </c>
      <c r="AK166" s="16">
        <v>620514</v>
      </c>
      <c r="AL166" s="16">
        <v>281673</v>
      </c>
      <c r="AM166" s="31">
        <v>902187</v>
      </c>
      <c r="AN166" s="16">
        <v>672591</v>
      </c>
      <c r="AO166" s="16">
        <v>265639</v>
      </c>
      <c r="AP166" s="31">
        <v>938230</v>
      </c>
      <c r="AQ166" s="42"/>
      <c r="AR166" s="43"/>
      <c r="AS166" s="42"/>
      <c r="AT166" s="42"/>
    </row>
    <row r="167" spans="1:46" ht="12.9" customHeight="1" x14ac:dyDescent="0.25">
      <c r="A167" s="28" t="s">
        <v>362</v>
      </c>
      <c r="B167" s="29" t="s">
        <v>363</v>
      </c>
      <c r="C167" s="30" t="s">
        <v>80</v>
      </c>
      <c r="D167" s="40">
        <v>181596</v>
      </c>
      <c r="E167" s="26">
        <v>27816</v>
      </c>
      <c r="F167" s="26">
        <f t="shared" si="4"/>
        <v>209412</v>
      </c>
      <c r="G167" s="40">
        <v>196133</v>
      </c>
      <c r="H167" s="26">
        <v>22915</v>
      </c>
      <c r="I167" s="27">
        <f t="shared" si="5"/>
        <v>219048</v>
      </c>
      <c r="J167" s="40">
        <v>206294</v>
      </c>
      <c r="K167" s="26">
        <v>30097</v>
      </c>
      <c r="L167" s="27">
        <v>236391</v>
      </c>
      <c r="M167" s="26">
        <v>212822</v>
      </c>
      <c r="N167" s="26">
        <v>26776</v>
      </c>
      <c r="O167" s="27">
        <v>239598</v>
      </c>
      <c r="P167" s="26">
        <v>200409</v>
      </c>
      <c r="Q167" s="26">
        <v>31578</v>
      </c>
      <c r="R167" s="27">
        <v>231987</v>
      </c>
      <c r="S167" s="26">
        <v>196898</v>
      </c>
      <c r="T167" s="26">
        <v>44864</v>
      </c>
      <c r="U167" s="27">
        <v>241762</v>
      </c>
      <c r="V167" s="26">
        <v>183136</v>
      </c>
      <c r="W167" s="26">
        <v>40813</v>
      </c>
      <c r="X167" s="31">
        <v>223949</v>
      </c>
      <c r="Y167" s="16">
        <v>195685</v>
      </c>
      <c r="Z167" s="16">
        <v>44433</v>
      </c>
      <c r="AA167" s="31">
        <v>240118</v>
      </c>
      <c r="AB167" s="32">
        <v>192087</v>
      </c>
      <c r="AC167" s="16">
        <v>52189</v>
      </c>
      <c r="AD167" s="31">
        <v>244276</v>
      </c>
      <c r="AE167" s="16">
        <v>188950</v>
      </c>
      <c r="AF167" s="16">
        <v>43431</v>
      </c>
      <c r="AG167" s="31">
        <v>232381</v>
      </c>
      <c r="AH167" s="16">
        <v>182081</v>
      </c>
      <c r="AI167" s="16">
        <v>34022</v>
      </c>
      <c r="AJ167" s="31">
        <v>216103</v>
      </c>
      <c r="AK167" s="16">
        <v>190201.3091231178</v>
      </c>
      <c r="AL167" s="16">
        <v>45234.119700748131</v>
      </c>
      <c r="AM167" s="31">
        <v>235435.42882386592</v>
      </c>
      <c r="AN167" s="16">
        <v>218213</v>
      </c>
      <c r="AO167" s="16">
        <v>39591</v>
      </c>
      <c r="AP167" s="31">
        <v>257804</v>
      </c>
      <c r="AQ167" s="42"/>
      <c r="AR167" s="43"/>
      <c r="AS167" s="42"/>
      <c r="AT167" s="42"/>
    </row>
    <row r="168" spans="1:46" ht="12.9" customHeight="1" x14ac:dyDescent="0.25">
      <c r="A168" s="28" t="s">
        <v>364</v>
      </c>
      <c r="B168" s="29" t="s">
        <v>365</v>
      </c>
      <c r="C168" s="30" t="s">
        <v>80</v>
      </c>
      <c r="D168" s="40">
        <v>827958</v>
      </c>
      <c r="E168" s="26">
        <v>607401</v>
      </c>
      <c r="F168" s="26">
        <f t="shared" si="4"/>
        <v>1435359</v>
      </c>
      <c r="G168" s="40">
        <v>847968</v>
      </c>
      <c r="H168" s="26">
        <v>648659</v>
      </c>
      <c r="I168" s="27">
        <f t="shared" si="5"/>
        <v>1496627</v>
      </c>
      <c r="J168" s="40">
        <v>843352</v>
      </c>
      <c r="K168" s="26">
        <v>629950</v>
      </c>
      <c r="L168" s="27">
        <v>1473302</v>
      </c>
      <c r="M168" s="26">
        <v>850197</v>
      </c>
      <c r="N168" s="26">
        <v>386594</v>
      </c>
      <c r="O168" s="27">
        <v>1236791</v>
      </c>
      <c r="P168" s="26">
        <v>921064</v>
      </c>
      <c r="Q168" s="26">
        <v>335273</v>
      </c>
      <c r="R168" s="27">
        <v>1256337</v>
      </c>
      <c r="S168" s="26">
        <v>828655</v>
      </c>
      <c r="T168" s="26">
        <v>732620</v>
      </c>
      <c r="U168" s="27">
        <v>1561275</v>
      </c>
      <c r="V168" s="26">
        <v>816248</v>
      </c>
      <c r="W168" s="26">
        <v>684868</v>
      </c>
      <c r="X168" s="31">
        <v>1501116</v>
      </c>
      <c r="Y168" s="16">
        <v>809150</v>
      </c>
      <c r="Z168" s="16">
        <v>702984</v>
      </c>
      <c r="AA168" s="31">
        <v>1512134</v>
      </c>
      <c r="AB168" s="32">
        <v>794665</v>
      </c>
      <c r="AC168" s="16">
        <v>661676</v>
      </c>
      <c r="AD168" s="31">
        <v>1456341</v>
      </c>
      <c r="AE168" s="16">
        <v>796887</v>
      </c>
      <c r="AF168" s="16">
        <v>657485</v>
      </c>
      <c r="AG168" s="31">
        <v>1454372</v>
      </c>
      <c r="AH168" s="16">
        <v>815592</v>
      </c>
      <c r="AI168" s="16">
        <v>697245</v>
      </c>
      <c r="AJ168" s="31">
        <v>1512837</v>
      </c>
      <c r="AK168" s="16">
        <v>771183</v>
      </c>
      <c r="AL168" s="16">
        <v>645105</v>
      </c>
      <c r="AM168" s="31">
        <v>1416288</v>
      </c>
      <c r="AN168" s="16">
        <v>813158</v>
      </c>
      <c r="AO168" s="16">
        <v>648611</v>
      </c>
      <c r="AP168" s="31">
        <v>1461769</v>
      </c>
      <c r="AQ168" s="42"/>
      <c r="AR168" s="43"/>
      <c r="AS168" s="42"/>
      <c r="AT168" s="42"/>
    </row>
    <row r="169" spans="1:46" ht="12.9" customHeight="1" x14ac:dyDescent="0.25">
      <c r="A169" s="28" t="s">
        <v>366</v>
      </c>
      <c r="B169" s="29" t="s">
        <v>367</v>
      </c>
      <c r="C169" s="30" t="s">
        <v>113</v>
      </c>
      <c r="D169" s="40">
        <v>86664</v>
      </c>
      <c r="E169" s="26">
        <v>32834</v>
      </c>
      <c r="F169" s="26">
        <f t="shared" si="4"/>
        <v>119498</v>
      </c>
      <c r="G169" s="40">
        <v>88678</v>
      </c>
      <c r="H169" s="26">
        <v>30661</v>
      </c>
      <c r="I169" s="27">
        <f t="shared" si="5"/>
        <v>119339</v>
      </c>
      <c r="J169" s="40">
        <v>100369</v>
      </c>
      <c r="K169" s="26">
        <v>30314</v>
      </c>
      <c r="L169" s="27">
        <v>130683</v>
      </c>
      <c r="M169" s="26">
        <v>99361</v>
      </c>
      <c r="N169" s="26">
        <v>33191</v>
      </c>
      <c r="O169" s="27">
        <v>132552</v>
      </c>
      <c r="P169" s="26">
        <v>101078</v>
      </c>
      <c r="Q169" s="26">
        <v>36111</v>
      </c>
      <c r="R169" s="27">
        <v>137189</v>
      </c>
      <c r="S169" s="26">
        <v>95319</v>
      </c>
      <c r="T169" s="26">
        <v>45070</v>
      </c>
      <c r="U169" s="27">
        <v>140389</v>
      </c>
      <c r="V169" s="26">
        <v>91108</v>
      </c>
      <c r="W169" s="26">
        <v>38566</v>
      </c>
      <c r="X169" s="31">
        <v>129674</v>
      </c>
      <c r="Y169" s="16">
        <v>92290</v>
      </c>
      <c r="Z169" s="16">
        <v>45585</v>
      </c>
      <c r="AA169" s="31">
        <v>137875</v>
      </c>
      <c r="AB169" s="32">
        <v>90406</v>
      </c>
      <c r="AC169" s="16">
        <v>38270</v>
      </c>
      <c r="AD169" s="31">
        <v>128676</v>
      </c>
      <c r="AE169" s="16">
        <v>89852</v>
      </c>
      <c r="AF169" s="16">
        <v>37215</v>
      </c>
      <c r="AG169" s="31">
        <v>127067</v>
      </c>
      <c r="AH169" s="16">
        <v>86524</v>
      </c>
      <c r="AI169" s="16">
        <v>38428</v>
      </c>
      <c r="AJ169" s="31">
        <v>124952</v>
      </c>
      <c r="AK169" s="16">
        <v>88448.295681063129</v>
      </c>
      <c r="AL169" s="16">
        <v>29867</v>
      </c>
      <c r="AM169" s="31">
        <v>118315.29568106313</v>
      </c>
      <c r="AN169" s="16">
        <v>93714</v>
      </c>
      <c r="AO169" s="16">
        <v>61707</v>
      </c>
      <c r="AP169" s="31">
        <v>155421</v>
      </c>
      <c r="AQ169" s="42"/>
      <c r="AR169" s="43"/>
      <c r="AS169" s="42"/>
      <c r="AT169" s="42"/>
    </row>
    <row r="170" spans="1:46" ht="12.9" customHeight="1" x14ac:dyDescent="0.25">
      <c r="A170" s="28" t="s">
        <v>368</v>
      </c>
      <c r="B170" s="29" t="s">
        <v>369</v>
      </c>
      <c r="C170" s="30" t="s">
        <v>20</v>
      </c>
      <c r="D170" s="40">
        <v>74423</v>
      </c>
      <c r="E170" s="26">
        <v>19788</v>
      </c>
      <c r="F170" s="26">
        <f t="shared" si="4"/>
        <v>94211</v>
      </c>
      <c r="G170" s="40">
        <v>76880</v>
      </c>
      <c r="H170" s="26">
        <v>24348</v>
      </c>
      <c r="I170" s="27">
        <f t="shared" si="5"/>
        <v>101228</v>
      </c>
      <c r="J170" s="40">
        <v>80429</v>
      </c>
      <c r="K170" s="26">
        <v>26929</v>
      </c>
      <c r="L170" s="27">
        <v>107358</v>
      </c>
      <c r="M170" s="26">
        <v>86940</v>
      </c>
      <c r="N170" s="26">
        <v>28064</v>
      </c>
      <c r="O170" s="27">
        <v>115004</v>
      </c>
      <c r="P170" s="26">
        <v>86864</v>
      </c>
      <c r="Q170" s="26">
        <v>22297</v>
      </c>
      <c r="R170" s="27">
        <v>109161</v>
      </c>
      <c r="S170" s="26">
        <v>81150</v>
      </c>
      <c r="T170" s="26">
        <v>25455</v>
      </c>
      <c r="U170" s="27">
        <v>106605</v>
      </c>
      <c r="V170" s="26">
        <v>78918</v>
      </c>
      <c r="W170" s="26">
        <v>20362</v>
      </c>
      <c r="X170" s="31">
        <v>99280</v>
      </c>
      <c r="Y170" s="16">
        <v>77893</v>
      </c>
      <c r="Z170" s="16">
        <v>23123</v>
      </c>
      <c r="AA170" s="31">
        <v>101016</v>
      </c>
      <c r="AB170" s="32">
        <v>75093</v>
      </c>
      <c r="AC170" s="16">
        <v>22834</v>
      </c>
      <c r="AD170" s="31">
        <v>97927</v>
      </c>
      <c r="AE170" s="16">
        <v>91683</v>
      </c>
      <c r="AF170" s="16">
        <v>23442</v>
      </c>
      <c r="AG170" s="31">
        <v>115125</v>
      </c>
      <c r="AH170" s="16">
        <v>72481</v>
      </c>
      <c r="AI170" s="16">
        <v>20245</v>
      </c>
      <c r="AJ170" s="31">
        <v>92726</v>
      </c>
      <c r="AK170" s="16">
        <v>69816</v>
      </c>
      <c r="AL170" s="16">
        <v>22364</v>
      </c>
      <c r="AM170" s="31">
        <v>92180</v>
      </c>
      <c r="AN170" s="16">
        <v>69736</v>
      </c>
      <c r="AO170" s="16">
        <v>23906</v>
      </c>
      <c r="AP170" s="31">
        <v>93642</v>
      </c>
      <c r="AQ170" s="42"/>
      <c r="AR170" s="43"/>
      <c r="AS170" s="42"/>
      <c r="AT170" s="42"/>
    </row>
    <row r="171" spans="1:46" ht="12.9" customHeight="1" x14ac:dyDescent="0.25">
      <c r="A171" s="28" t="s">
        <v>370</v>
      </c>
      <c r="B171" s="29" t="s">
        <v>371</v>
      </c>
      <c r="C171" s="30" t="s">
        <v>59</v>
      </c>
      <c r="D171" s="40">
        <v>1041433</v>
      </c>
      <c r="E171" s="26">
        <v>336152</v>
      </c>
      <c r="F171" s="26">
        <f t="shared" si="4"/>
        <v>1377585</v>
      </c>
      <c r="G171" s="40">
        <v>1058094</v>
      </c>
      <c r="H171" s="26">
        <v>310847</v>
      </c>
      <c r="I171" s="27">
        <f t="shared" si="5"/>
        <v>1368941</v>
      </c>
      <c r="J171" s="40">
        <v>1160771</v>
      </c>
      <c r="K171" s="26">
        <v>395328</v>
      </c>
      <c r="L171" s="27">
        <v>1556099</v>
      </c>
      <c r="M171" s="26">
        <v>1217388</v>
      </c>
      <c r="N171" s="26">
        <v>351758</v>
      </c>
      <c r="O171" s="27">
        <v>1569146</v>
      </c>
      <c r="P171" s="26">
        <v>1088393</v>
      </c>
      <c r="Q171" s="26">
        <v>263265</v>
      </c>
      <c r="R171" s="27">
        <v>1351658</v>
      </c>
      <c r="S171" s="26">
        <v>1133123</v>
      </c>
      <c r="T171" s="26">
        <v>397117</v>
      </c>
      <c r="U171" s="27">
        <v>1530240</v>
      </c>
      <c r="V171" s="26">
        <v>1094750</v>
      </c>
      <c r="W171" s="26">
        <v>364795</v>
      </c>
      <c r="X171" s="31">
        <v>1459545</v>
      </c>
      <c r="Y171" s="16">
        <v>1159664</v>
      </c>
      <c r="Z171" s="16">
        <v>374294</v>
      </c>
      <c r="AA171" s="31">
        <v>1533958</v>
      </c>
      <c r="AB171" s="32">
        <v>1134715</v>
      </c>
      <c r="AC171" s="16">
        <v>353940</v>
      </c>
      <c r="AD171" s="31">
        <v>1488655</v>
      </c>
      <c r="AE171" s="16">
        <v>1081118</v>
      </c>
      <c r="AF171" s="16">
        <v>355482</v>
      </c>
      <c r="AG171" s="31">
        <v>1436600</v>
      </c>
      <c r="AH171" s="16">
        <v>1027716</v>
      </c>
      <c r="AI171" s="16">
        <v>335829</v>
      </c>
      <c r="AJ171" s="31">
        <v>1363545</v>
      </c>
      <c r="AK171" s="16">
        <v>1073147</v>
      </c>
      <c r="AL171" s="16">
        <v>270164.5018726592</v>
      </c>
      <c r="AM171" s="31">
        <v>1343311.5018726592</v>
      </c>
      <c r="AN171" s="16">
        <v>1113965</v>
      </c>
      <c r="AO171" s="16">
        <v>235969</v>
      </c>
      <c r="AP171" s="31">
        <v>1349934</v>
      </c>
      <c r="AQ171" s="42"/>
      <c r="AR171" s="43"/>
      <c r="AS171" s="42"/>
      <c r="AT171" s="42"/>
    </row>
    <row r="172" spans="1:46" ht="12.9" customHeight="1" x14ac:dyDescent="0.25">
      <c r="A172" s="28" t="s">
        <v>372</v>
      </c>
      <c r="B172" s="29" t="s">
        <v>373</v>
      </c>
      <c r="C172" s="30" t="s">
        <v>153</v>
      </c>
      <c r="D172" s="40">
        <v>6179</v>
      </c>
      <c r="E172" s="26">
        <v>35213</v>
      </c>
      <c r="F172" s="26">
        <f t="shared" si="4"/>
        <v>41392</v>
      </c>
      <c r="G172" s="40">
        <v>7626</v>
      </c>
      <c r="H172" s="26">
        <v>34227</v>
      </c>
      <c r="I172" s="27">
        <f t="shared" si="5"/>
        <v>41853</v>
      </c>
      <c r="J172" s="40">
        <v>6852</v>
      </c>
      <c r="K172" s="26">
        <v>3197</v>
      </c>
      <c r="L172" s="27">
        <v>10049</v>
      </c>
      <c r="M172" s="26">
        <v>7195</v>
      </c>
      <c r="N172" s="26">
        <v>2969</v>
      </c>
      <c r="O172" s="27">
        <v>10164</v>
      </c>
      <c r="P172" s="26">
        <v>7010</v>
      </c>
      <c r="Q172" s="26">
        <v>2168</v>
      </c>
      <c r="R172" s="27">
        <v>9178</v>
      </c>
      <c r="S172" s="26">
        <v>7972</v>
      </c>
      <c r="T172" s="26">
        <v>3256</v>
      </c>
      <c r="U172" s="27">
        <v>11228</v>
      </c>
      <c r="V172" s="26">
        <v>7511</v>
      </c>
      <c r="W172" s="26">
        <v>1953</v>
      </c>
      <c r="X172" s="31">
        <v>9464</v>
      </c>
      <c r="Y172" s="16">
        <v>7764</v>
      </c>
      <c r="Z172" s="16">
        <v>1949</v>
      </c>
      <c r="AA172" s="31">
        <v>9713</v>
      </c>
      <c r="AB172" s="32">
        <v>7959</v>
      </c>
      <c r="AC172" s="16">
        <v>1627</v>
      </c>
      <c r="AD172" s="31">
        <v>9586</v>
      </c>
      <c r="AE172" s="16">
        <v>8269</v>
      </c>
      <c r="AF172" s="16">
        <v>1739</v>
      </c>
      <c r="AG172" s="31">
        <v>10008</v>
      </c>
      <c r="AH172" s="16">
        <v>7743</v>
      </c>
      <c r="AI172" s="16">
        <v>2214</v>
      </c>
      <c r="AJ172" s="31">
        <v>9957</v>
      </c>
      <c r="AK172" s="16">
        <v>8025</v>
      </c>
      <c r="AL172" s="16">
        <v>5084</v>
      </c>
      <c r="AM172" s="31">
        <v>13109</v>
      </c>
      <c r="AN172" s="16">
        <v>10757</v>
      </c>
      <c r="AO172" s="16">
        <v>7993</v>
      </c>
      <c r="AP172" s="31">
        <v>18750</v>
      </c>
      <c r="AQ172" s="42"/>
      <c r="AR172" s="43"/>
      <c r="AS172" s="42"/>
      <c r="AT172" s="42"/>
    </row>
    <row r="173" spans="1:46" ht="12.9" customHeight="1" x14ac:dyDescent="0.25">
      <c r="A173" s="28" t="s">
        <v>374</v>
      </c>
      <c r="B173" s="29" t="s">
        <v>375</v>
      </c>
      <c r="C173" s="30" t="s">
        <v>14</v>
      </c>
      <c r="D173" s="40">
        <v>70536</v>
      </c>
      <c r="E173" s="26">
        <v>25223</v>
      </c>
      <c r="F173" s="26">
        <f t="shared" si="4"/>
        <v>95759</v>
      </c>
      <c r="G173" s="40">
        <v>71327</v>
      </c>
      <c r="H173" s="26">
        <v>25642</v>
      </c>
      <c r="I173" s="27">
        <f t="shared" si="5"/>
        <v>96969</v>
      </c>
      <c r="J173" s="40">
        <v>57270</v>
      </c>
      <c r="K173" s="26">
        <v>37267</v>
      </c>
      <c r="L173" s="27">
        <v>94537</v>
      </c>
      <c r="M173" s="26">
        <v>56296</v>
      </c>
      <c r="N173" s="26">
        <v>29614</v>
      </c>
      <c r="O173" s="27">
        <v>85910</v>
      </c>
      <c r="P173" s="26">
        <v>57786</v>
      </c>
      <c r="Q173" s="26">
        <v>24949</v>
      </c>
      <c r="R173" s="27">
        <v>82735</v>
      </c>
      <c r="S173" s="26">
        <v>57120</v>
      </c>
      <c r="T173" s="26">
        <v>36856</v>
      </c>
      <c r="U173" s="27">
        <v>93976</v>
      </c>
      <c r="V173" s="26">
        <v>54090</v>
      </c>
      <c r="W173" s="26">
        <v>34509</v>
      </c>
      <c r="X173" s="31">
        <v>88599</v>
      </c>
      <c r="Y173" s="16">
        <v>43605</v>
      </c>
      <c r="Z173" s="16">
        <v>33321</v>
      </c>
      <c r="AA173" s="31">
        <v>76926</v>
      </c>
      <c r="AB173" s="32">
        <v>43434</v>
      </c>
      <c r="AC173" s="16">
        <v>26334</v>
      </c>
      <c r="AD173" s="31">
        <v>69768</v>
      </c>
      <c r="AE173" s="16">
        <v>43551</v>
      </c>
      <c r="AF173" s="16">
        <v>18714</v>
      </c>
      <c r="AG173" s="31">
        <v>62265</v>
      </c>
      <c r="AH173" s="16">
        <v>43383</v>
      </c>
      <c r="AI173" s="16">
        <v>18791</v>
      </c>
      <c r="AJ173" s="31">
        <v>62174</v>
      </c>
      <c r="AK173" s="16">
        <v>43455</v>
      </c>
      <c r="AL173" s="16">
        <v>24801</v>
      </c>
      <c r="AM173" s="31">
        <v>68256</v>
      </c>
      <c r="AN173" s="16">
        <v>43455</v>
      </c>
      <c r="AO173" s="16">
        <v>24358</v>
      </c>
      <c r="AP173" s="31">
        <v>67813</v>
      </c>
      <c r="AQ173" s="42"/>
      <c r="AR173" s="43"/>
      <c r="AS173" s="42"/>
      <c r="AT173" s="42"/>
    </row>
    <row r="174" spans="1:46" ht="12.9" customHeight="1" x14ac:dyDescent="0.25">
      <c r="A174" s="28" t="s">
        <v>376</v>
      </c>
      <c r="B174" s="29" t="s">
        <v>377</v>
      </c>
      <c r="C174" s="30" t="s">
        <v>73</v>
      </c>
      <c r="D174" s="40">
        <v>113553</v>
      </c>
      <c r="E174" s="26">
        <v>46696</v>
      </c>
      <c r="F174" s="26">
        <f t="shared" si="4"/>
        <v>160249</v>
      </c>
      <c r="G174" s="40">
        <v>118003</v>
      </c>
      <c r="H174" s="26">
        <v>52394</v>
      </c>
      <c r="I174" s="27">
        <f t="shared" si="5"/>
        <v>170397</v>
      </c>
      <c r="J174" s="40">
        <v>122987</v>
      </c>
      <c r="K174" s="26">
        <v>55728</v>
      </c>
      <c r="L174" s="27">
        <v>178715</v>
      </c>
      <c r="M174" s="26">
        <v>106745</v>
      </c>
      <c r="N174" s="26">
        <v>51756</v>
      </c>
      <c r="O174" s="27">
        <v>158501</v>
      </c>
      <c r="P174" s="26">
        <v>108266</v>
      </c>
      <c r="Q174" s="26">
        <v>55459</v>
      </c>
      <c r="R174" s="27">
        <v>163725</v>
      </c>
      <c r="S174" s="26">
        <v>96041</v>
      </c>
      <c r="T174" s="26">
        <v>60288</v>
      </c>
      <c r="U174" s="27">
        <v>156329</v>
      </c>
      <c r="V174" s="26">
        <v>94018</v>
      </c>
      <c r="W174" s="26">
        <v>54824</v>
      </c>
      <c r="X174" s="31">
        <v>148842</v>
      </c>
      <c r="Y174" s="16">
        <v>95620</v>
      </c>
      <c r="Z174" s="16">
        <v>48735</v>
      </c>
      <c r="AA174" s="31">
        <v>144355</v>
      </c>
      <c r="AB174" s="32">
        <v>98978</v>
      </c>
      <c r="AC174" s="16">
        <v>52258</v>
      </c>
      <c r="AD174" s="31">
        <v>151236</v>
      </c>
      <c r="AE174" s="16">
        <v>90924</v>
      </c>
      <c r="AF174" s="16">
        <v>56471</v>
      </c>
      <c r="AG174" s="31">
        <v>147395</v>
      </c>
      <c r="AH174" s="16">
        <v>83318</v>
      </c>
      <c r="AI174" s="16">
        <v>73598</v>
      </c>
      <c r="AJ174" s="31">
        <v>156916</v>
      </c>
      <c r="AK174" s="16">
        <v>84944</v>
      </c>
      <c r="AL174" s="16">
        <v>44951</v>
      </c>
      <c r="AM174" s="31">
        <v>129895</v>
      </c>
      <c r="AN174" s="16">
        <v>90818</v>
      </c>
      <c r="AO174" s="16">
        <v>48474</v>
      </c>
      <c r="AP174" s="31">
        <v>139292</v>
      </c>
      <c r="AQ174" s="42"/>
      <c r="AR174" s="43"/>
      <c r="AS174" s="42"/>
      <c r="AT174" s="42"/>
    </row>
    <row r="175" spans="1:46" ht="12.9" customHeight="1" x14ac:dyDescent="0.25">
      <c r="A175" s="28" t="s">
        <v>378</v>
      </c>
      <c r="B175" s="29" t="s">
        <v>379</v>
      </c>
      <c r="C175" s="30" t="s">
        <v>56</v>
      </c>
      <c r="D175" s="40">
        <v>2647264</v>
      </c>
      <c r="E175" s="26">
        <v>1098214</v>
      </c>
      <c r="F175" s="26">
        <f t="shared" si="4"/>
        <v>3745478</v>
      </c>
      <c r="G175" s="40">
        <v>2440962</v>
      </c>
      <c r="H175" s="26">
        <v>1050341</v>
      </c>
      <c r="I175" s="27">
        <f t="shared" si="5"/>
        <v>3491303</v>
      </c>
      <c r="J175" s="40">
        <v>2698341</v>
      </c>
      <c r="K175" s="26">
        <v>1029704</v>
      </c>
      <c r="L175" s="27">
        <v>3728045</v>
      </c>
      <c r="M175" s="26">
        <v>2677030</v>
      </c>
      <c r="N175" s="26">
        <v>924174</v>
      </c>
      <c r="O175" s="27">
        <v>3601204</v>
      </c>
      <c r="P175" s="26">
        <v>2530090</v>
      </c>
      <c r="Q175" s="26">
        <v>742628</v>
      </c>
      <c r="R175" s="27">
        <v>3272718</v>
      </c>
      <c r="S175" s="26">
        <v>2497792</v>
      </c>
      <c r="T175" s="26">
        <v>1169555</v>
      </c>
      <c r="U175" s="27">
        <v>3667347</v>
      </c>
      <c r="V175" s="26">
        <v>2597147</v>
      </c>
      <c r="W175" s="26">
        <v>1066167</v>
      </c>
      <c r="X175" s="31">
        <v>3663314</v>
      </c>
      <c r="Y175" s="16">
        <v>2549449</v>
      </c>
      <c r="Z175" s="16">
        <v>1082756</v>
      </c>
      <c r="AA175" s="31">
        <v>3632205</v>
      </c>
      <c r="AB175" s="32">
        <v>2428162</v>
      </c>
      <c r="AC175" s="16">
        <v>1063314</v>
      </c>
      <c r="AD175" s="31">
        <v>3491476</v>
      </c>
      <c r="AE175" s="16">
        <v>2472889</v>
      </c>
      <c r="AF175" s="16">
        <v>1126506</v>
      </c>
      <c r="AG175" s="31">
        <v>3599395</v>
      </c>
      <c r="AH175" s="16">
        <v>2448249</v>
      </c>
      <c r="AI175" s="16">
        <v>942627</v>
      </c>
      <c r="AJ175" s="31">
        <v>3390876</v>
      </c>
      <c r="AK175" s="16">
        <v>2344076.2951312438</v>
      </c>
      <c r="AL175" s="16">
        <v>928916</v>
      </c>
      <c r="AM175" s="31">
        <v>3272992.2951312438</v>
      </c>
      <c r="AN175" s="16">
        <v>2702157.2951312438</v>
      </c>
      <c r="AO175" s="16">
        <v>966682</v>
      </c>
      <c r="AP175" s="31">
        <v>3668839.2951312438</v>
      </c>
      <c r="AQ175" s="42"/>
      <c r="AR175" s="43"/>
      <c r="AS175" s="42"/>
      <c r="AT175" s="42"/>
    </row>
    <row r="176" spans="1:46" ht="12.9" customHeight="1" x14ac:dyDescent="0.25">
      <c r="A176" s="28" t="s">
        <v>380</v>
      </c>
      <c r="B176" s="29" t="s">
        <v>381</v>
      </c>
      <c r="C176" s="30" t="s">
        <v>212</v>
      </c>
      <c r="D176" s="40">
        <v>23856</v>
      </c>
      <c r="E176" s="26">
        <v>19553</v>
      </c>
      <c r="F176" s="26">
        <f t="shared" si="4"/>
        <v>43409</v>
      </c>
      <c r="G176" s="40">
        <v>22823</v>
      </c>
      <c r="H176" s="26">
        <v>15349</v>
      </c>
      <c r="I176" s="27">
        <f t="shared" si="5"/>
        <v>38172</v>
      </c>
      <c r="J176" s="40">
        <v>22362</v>
      </c>
      <c r="K176" s="26">
        <v>14667</v>
      </c>
      <c r="L176" s="27">
        <v>37029</v>
      </c>
      <c r="M176" s="26">
        <v>22056</v>
      </c>
      <c r="N176" s="26">
        <v>14129</v>
      </c>
      <c r="O176" s="27">
        <v>36185</v>
      </c>
      <c r="P176" s="26">
        <v>20852</v>
      </c>
      <c r="Q176" s="26">
        <v>11295</v>
      </c>
      <c r="R176" s="27">
        <v>32147</v>
      </c>
      <c r="S176" s="26">
        <v>20715</v>
      </c>
      <c r="T176" s="26">
        <v>10851</v>
      </c>
      <c r="U176" s="27">
        <v>31566</v>
      </c>
      <c r="V176" s="26">
        <v>21767</v>
      </c>
      <c r="W176" s="26">
        <v>13051</v>
      </c>
      <c r="X176" s="31">
        <v>34818</v>
      </c>
      <c r="Y176" s="16">
        <v>21177</v>
      </c>
      <c r="Z176" s="16">
        <v>14658</v>
      </c>
      <c r="AA176" s="31">
        <v>35835</v>
      </c>
      <c r="AB176" s="32">
        <v>20245</v>
      </c>
      <c r="AC176" s="16">
        <v>12967</v>
      </c>
      <c r="AD176" s="31">
        <v>33212</v>
      </c>
      <c r="AE176" s="16">
        <v>20937</v>
      </c>
      <c r="AF176" s="16">
        <v>10479</v>
      </c>
      <c r="AG176" s="31">
        <v>31416</v>
      </c>
      <c r="AH176" s="16">
        <v>19514</v>
      </c>
      <c r="AI176" s="16">
        <v>13210</v>
      </c>
      <c r="AJ176" s="31">
        <v>32724</v>
      </c>
      <c r="AK176" s="16">
        <v>19610</v>
      </c>
      <c r="AL176" s="16">
        <v>11516</v>
      </c>
      <c r="AM176" s="31">
        <v>31126</v>
      </c>
      <c r="AN176" s="16">
        <v>22066</v>
      </c>
      <c r="AO176" s="16">
        <v>12305</v>
      </c>
      <c r="AP176" s="31">
        <v>34371</v>
      </c>
      <c r="AQ176" s="42"/>
      <c r="AR176" s="43"/>
      <c r="AS176" s="42"/>
      <c r="AT176" s="42"/>
    </row>
    <row r="177" spans="1:46" ht="12.9" customHeight="1" x14ac:dyDescent="0.25">
      <c r="A177" s="28" t="s">
        <v>382</v>
      </c>
      <c r="B177" s="29" t="s">
        <v>383</v>
      </c>
      <c r="C177" s="30" t="s">
        <v>384</v>
      </c>
      <c r="D177" s="40">
        <v>115573</v>
      </c>
      <c r="E177" s="26">
        <v>38435</v>
      </c>
      <c r="F177" s="26">
        <f t="shared" si="4"/>
        <v>154008</v>
      </c>
      <c r="G177" s="40">
        <v>121463</v>
      </c>
      <c r="H177" s="26">
        <v>44053</v>
      </c>
      <c r="I177" s="27">
        <f t="shared" si="5"/>
        <v>165516</v>
      </c>
      <c r="J177" s="40">
        <v>129878</v>
      </c>
      <c r="K177" s="26">
        <v>54102</v>
      </c>
      <c r="L177" s="27">
        <v>183980</v>
      </c>
      <c r="M177" s="26">
        <v>133770</v>
      </c>
      <c r="N177" s="26">
        <v>48941</v>
      </c>
      <c r="O177" s="27">
        <v>182711</v>
      </c>
      <c r="P177" s="26">
        <v>140074</v>
      </c>
      <c r="Q177" s="26">
        <v>42934</v>
      </c>
      <c r="R177" s="27">
        <v>183008</v>
      </c>
      <c r="S177" s="26">
        <v>125230</v>
      </c>
      <c r="T177" s="26">
        <v>62263</v>
      </c>
      <c r="U177" s="27">
        <v>187493</v>
      </c>
      <c r="V177" s="26">
        <v>129783</v>
      </c>
      <c r="W177" s="26">
        <v>58633</v>
      </c>
      <c r="X177" s="31">
        <v>188416</v>
      </c>
      <c r="Y177" s="16">
        <v>126844</v>
      </c>
      <c r="Z177" s="16">
        <v>54812</v>
      </c>
      <c r="AA177" s="31">
        <v>181656</v>
      </c>
      <c r="AB177" s="32">
        <v>133143</v>
      </c>
      <c r="AC177" s="16">
        <v>47629</v>
      </c>
      <c r="AD177" s="31">
        <v>180772</v>
      </c>
      <c r="AE177" s="16">
        <v>131237</v>
      </c>
      <c r="AF177" s="16">
        <v>41856</v>
      </c>
      <c r="AG177" s="31">
        <v>173093</v>
      </c>
      <c r="AH177" s="16">
        <v>129036</v>
      </c>
      <c r="AI177" s="16">
        <v>47047</v>
      </c>
      <c r="AJ177" s="31">
        <v>176083</v>
      </c>
      <c r="AK177" s="16">
        <v>128643</v>
      </c>
      <c r="AL177" s="16">
        <v>42790</v>
      </c>
      <c r="AM177" s="31">
        <v>171433</v>
      </c>
      <c r="AN177" s="16">
        <v>133388</v>
      </c>
      <c r="AO177" s="16">
        <v>42124</v>
      </c>
      <c r="AP177" s="31">
        <v>175512</v>
      </c>
      <c r="AQ177" s="42"/>
      <c r="AR177" s="43"/>
      <c r="AS177" s="42"/>
      <c r="AT177" s="42"/>
    </row>
    <row r="178" spans="1:46" ht="12.9" customHeight="1" x14ac:dyDescent="0.25">
      <c r="A178" s="28" t="s">
        <v>385</v>
      </c>
      <c r="B178" s="29" t="s">
        <v>386</v>
      </c>
      <c r="C178" s="30" t="s">
        <v>384</v>
      </c>
      <c r="D178" s="40">
        <v>8053</v>
      </c>
      <c r="E178" s="26">
        <v>4759</v>
      </c>
      <c r="F178" s="26">
        <f t="shared" si="4"/>
        <v>12812</v>
      </c>
      <c r="G178" s="40">
        <v>10030</v>
      </c>
      <c r="H178" s="26">
        <v>6422</v>
      </c>
      <c r="I178" s="27">
        <f t="shared" si="5"/>
        <v>16452</v>
      </c>
      <c r="J178" s="40">
        <v>10186</v>
      </c>
      <c r="K178" s="26">
        <v>7272</v>
      </c>
      <c r="L178" s="27">
        <v>17458</v>
      </c>
      <c r="M178" s="26">
        <v>9219</v>
      </c>
      <c r="N178" s="26">
        <v>3570</v>
      </c>
      <c r="O178" s="27">
        <v>12789</v>
      </c>
      <c r="P178" s="26">
        <v>8641</v>
      </c>
      <c r="Q178" s="26">
        <v>2446</v>
      </c>
      <c r="R178" s="27">
        <v>11087</v>
      </c>
      <c r="S178" s="26">
        <v>10550</v>
      </c>
      <c r="T178" s="26">
        <v>4189</v>
      </c>
      <c r="U178" s="27">
        <v>14739</v>
      </c>
      <c r="V178" s="26">
        <v>9188</v>
      </c>
      <c r="W178" s="26">
        <v>3583</v>
      </c>
      <c r="X178" s="31">
        <v>12771</v>
      </c>
      <c r="Y178" s="16">
        <v>12528</v>
      </c>
      <c r="Z178" s="16">
        <v>838</v>
      </c>
      <c r="AA178" s="31">
        <v>13366</v>
      </c>
      <c r="AB178" s="32">
        <v>12960</v>
      </c>
      <c r="AC178" s="16">
        <v>565</v>
      </c>
      <c r="AD178" s="31">
        <v>13525</v>
      </c>
      <c r="AE178" s="16">
        <v>12372</v>
      </c>
      <c r="AF178" s="16">
        <v>711</v>
      </c>
      <c r="AG178" s="31">
        <v>13083</v>
      </c>
      <c r="AH178" s="32" t="s">
        <v>160</v>
      </c>
      <c r="AI178" s="16">
        <v>699</v>
      </c>
      <c r="AJ178" s="31">
        <v>699</v>
      </c>
      <c r="AK178" s="16">
        <v>10479.744000000001</v>
      </c>
      <c r="AL178" s="16">
        <v>4200.24</v>
      </c>
      <c r="AM178" s="31">
        <v>14679.984</v>
      </c>
      <c r="AN178" s="16">
        <v>10479.744000000001</v>
      </c>
      <c r="AO178" s="16">
        <v>4156.24</v>
      </c>
      <c r="AP178" s="31">
        <v>14635.984</v>
      </c>
      <c r="AQ178" s="42"/>
      <c r="AR178" s="43"/>
      <c r="AS178" s="42"/>
      <c r="AT178" s="42"/>
    </row>
    <row r="179" spans="1:46" ht="12.9" customHeight="1" x14ac:dyDescent="0.25">
      <c r="A179" s="28" t="s">
        <v>387</v>
      </c>
      <c r="B179" s="29" t="s">
        <v>388</v>
      </c>
      <c r="C179" s="30" t="s">
        <v>26</v>
      </c>
      <c r="D179" s="40">
        <v>26388</v>
      </c>
      <c r="E179" s="26">
        <v>6474</v>
      </c>
      <c r="F179" s="26">
        <f t="shared" si="4"/>
        <v>32862</v>
      </c>
      <c r="G179" s="40">
        <v>31626</v>
      </c>
      <c r="H179" s="26">
        <v>6641</v>
      </c>
      <c r="I179" s="27">
        <f t="shared" si="5"/>
        <v>38267</v>
      </c>
      <c r="J179" s="40">
        <v>29737</v>
      </c>
      <c r="K179" s="26">
        <v>10694</v>
      </c>
      <c r="L179" s="27">
        <v>40431</v>
      </c>
      <c r="M179" s="26">
        <v>26020</v>
      </c>
      <c r="N179" s="26">
        <v>6112</v>
      </c>
      <c r="O179" s="27">
        <v>32132</v>
      </c>
      <c r="P179" s="26">
        <v>28873</v>
      </c>
      <c r="Q179" s="26">
        <v>6533</v>
      </c>
      <c r="R179" s="27">
        <v>35406</v>
      </c>
      <c r="S179" s="26">
        <v>29120</v>
      </c>
      <c r="T179" s="26">
        <v>7088</v>
      </c>
      <c r="U179" s="27">
        <v>36208</v>
      </c>
      <c r="V179" s="26">
        <v>28553</v>
      </c>
      <c r="W179" s="26">
        <v>8077</v>
      </c>
      <c r="X179" s="31">
        <v>36630</v>
      </c>
      <c r="Y179" s="16">
        <v>30145</v>
      </c>
      <c r="Z179" s="16">
        <v>7309</v>
      </c>
      <c r="AA179" s="31">
        <v>37454</v>
      </c>
      <c r="AB179" s="32">
        <v>30800</v>
      </c>
      <c r="AC179" s="16">
        <v>7206</v>
      </c>
      <c r="AD179" s="31">
        <v>38006</v>
      </c>
      <c r="AE179" s="16">
        <v>29253</v>
      </c>
      <c r="AF179" s="16">
        <v>6895</v>
      </c>
      <c r="AG179" s="31">
        <v>36148</v>
      </c>
      <c r="AH179" s="16">
        <v>27149</v>
      </c>
      <c r="AI179" s="16">
        <v>5288</v>
      </c>
      <c r="AJ179" s="31">
        <v>32437</v>
      </c>
      <c r="AK179" s="16">
        <v>28196</v>
      </c>
      <c r="AL179" s="16">
        <v>5303</v>
      </c>
      <c r="AM179" s="31">
        <v>33499</v>
      </c>
      <c r="AN179" s="16">
        <v>35740</v>
      </c>
      <c r="AO179" s="16">
        <v>5686</v>
      </c>
      <c r="AP179" s="31">
        <v>41426</v>
      </c>
      <c r="AQ179" s="42"/>
      <c r="AR179" s="43"/>
      <c r="AS179" s="42"/>
      <c r="AT179" s="42"/>
    </row>
    <row r="180" spans="1:46" ht="12.9" customHeight="1" x14ac:dyDescent="0.25">
      <c r="A180" s="28" t="s">
        <v>389</v>
      </c>
      <c r="B180" s="29" t="s">
        <v>390</v>
      </c>
      <c r="C180" s="30" t="s">
        <v>274</v>
      </c>
      <c r="D180" s="40">
        <v>14930</v>
      </c>
      <c r="E180" s="26">
        <v>170188</v>
      </c>
      <c r="F180" s="26">
        <f t="shared" si="4"/>
        <v>185118</v>
      </c>
      <c r="G180" s="40">
        <v>15687</v>
      </c>
      <c r="H180" s="26">
        <v>185770</v>
      </c>
      <c r="I180" s="27">
        <f t="shared" si="5"/>
        <v>201457</v>
      </c>
      <c r="J180" s="40">
        <v>17327</v>
      </c>
      <c r="K180" s="26">
        <v>179087</v>
      </c>
      <c r="L180" s="27">
        <v>196414</v>
      </c>
      <c r="M180" s="26">
        <v>18536</v>
      </c>
      <c r="N180" s="26">
        <v>316330</v>
      </c>
      <c r="O180" s="27">
        <v>334866</v>
      </c>
      <c r="P180" s="26">
        <v>21199</v>
      </c>
      <c r="Q180" s="26">
        <v>388635</v>
      </c>
      <c r="R180" s="27">
        <v>409834</v>
      </c>
      <c r="S180" s="26">
        <v>21675</v>
      </c>
      <c r="T180" s="26">
        <v>228798</v>
      </c>
      <c r="U180" s="27">
        <v>250473</v>
      </c>
      <c r="V180" s="26">
        <v>16708</v>
      </c>
      <c r="W180" s="26">
        <v>208994</v>
      </c>
      <c r="X180" s="31">
        <v>225702</v>
      </c>
      <c r="Y180" s="16">
        <v>19207</v>
      </c>
      <c r="Z180" s="16">
        <v>190242</v>
      </c>
      <c r="AA180" s="31">
        <v>209449</v>
      </c>
      <c r="AB180" s="32">
        <v>15806</v>
      </c>
      <c r="AC180" s="16">
        <v>173314</v>
      </c>
      <c r="AD180" s="31">
        <v>189120</v>
      </c>
      <c r="AE180" s="16">
        <v>15110</v>
      </c>
      <c r="AF180" s="16">
        <v>163520</v>
      </c>
      <c r="AG180" s="31">
        <v>178630</v>
      </c>
      <c r="AH180" s="16">
        <v>14489</v>
      </c>
      <c r="AI180" s="16">
        <v>154769</v>
      </c>
      <c r="AJ180" s="31">
        <v>169258</v>
      </c>
      <c r="AK180" s="16">
        <v>14803</v>
      </c>
      <c r="AL180" s="16">
        <v>152235</v>
      </c>
      <c r="AM180" s="31">
        <v>167038</v>
      </c>
      <c r="AN180" s="16">
        <v>15708</v>
      </c>
      <c r="AO180" s="16">
        <v>152093</v>
      </c>
      <c r="AP180" s="31">
        <v>167801</v>
      </c>
      <c r="AQ180" s="42"/>
      <c r="AR180" s="43"/>
      <c r="AS180" s="42"/>
      <c r="AT180" s="42"/>
    </row>
    <row r="181" spans="1:46" ht="12.9" customHeight="1" x14ac:dyDescent="0.25">
      <c r="A181" s="28" t="s">
        <v>391</v>
      </c>
      <c r="B181" s="29" t="s">
        <v>392</v>
      </c>
      <c r="C181" s="30" t="s">
        <v>384</v>
      </c>
      <c r="D181" s="40">
        <v>126388</v>
      </c>
      <c r="E181" s="26">
        <v>62687</v>
      </c>
      <c r="F181" s="26">
        <f t="shared" si="4"/>
        <v>189075</v>
      </c>
      <c r="G181" s="40">
        <v>124408</v>
      </c>
      <c r="H181" s="26">
        <v>55349</v>
      </c>
      <c r="I181" s="27">
        <f t="shared" si="5"/>
        <v>179757</v>
      </c>
      <c r="J181" s="40">
        <v>128488</v>
      </c>
      <c r="K181" s="26">
        <v>61041</v>
      </c>
      <c r="L181" s="27">
        <v>189529</v>
      </c>
      <c r="M181" s="26">
        <v>130181</v>
      </c>
      <c r="N181" s="26">
        <v>50122</v>
      </c>
      <c r="O181" s="27">
        <v>180303</v>
      </c>
      <c r="P181" s="26">
        <v>130852</v>
      </c>
      <c r="Q181" s="26">
        <v>44609</v>
      </c>
      <c r="R181" s="27">
        <v>175461</v>
      </c>
      <c r="S181" s="26">
        <v>123117</v>
      </c>
      <c r="T181" s="26">
        <v>52087</v>
      </c>
      <c r="U181" s="27">
        <v>175204</v>
      </c>
      <c r="V181" s="26">
        <v>117179</v>
      </c>
      <c r="W181" s="26">
        <v>46192</v>
      </c>
      <c r="X181" s="31">
        <v>163371</v>
      </c>
      <c r="Y181" s="16">
        <v>119286</v>
      </c>
      <c r="Z181" s="16">
        <v>48591</v>
      </c>
      <c r="AA181" s="31">
        <v>167877</v>
      </c>
      <c r="AB181" s="32">
        <v>117740</v>
      </c>
      <c r="AC181" s="16">
        <v>42616</v>
      </c>
      <c r="AD181" s="31">
        <v>160356</v>
      </c>
      <c r="AE181" s="16">
        <v>110926</v>
      </c>
      <c r="AF181" s="16">
        <v>40248</v>
      </c>
      <c r="AG181" s="31">
        <v>151174</v>
      </c>
      <c r="AH181" s="16">
        <v>117670</v>
      </c>
      <c r="AI181" s="16">
        <v>37635</v>
      </c>
      <c r="AJ181" s="31">
        <v>155305</v>
      </c>
      <c r="AK181" s="16">
        <v>119232</v>
      </c>
      <c r="AL181" s="16">
        <v>37044</v>
      </c>
      <c r="AM181" s="31">
        <v>156276</v>
      </c>
      <c r="AN181" s="16">
        <v>128164</v>
      </c>
      <c r="AO181" s="16">
        <v>42314</v>
      </c>
      <c r="AP181" s="31">
        <v>170478</v>
      </c>
      <c r="AQ181" s="42"/>
      <c r="AR181" s="43"/>
      <c r="AS181" s="42"/>
      <c r="AT181" s="42"/>
    </row>
    <row r="182" spans="1:46" ht="12.9" customHeight="1" x14ac:dyDescent="0.25">
      <c r="A182" s="28" t="s">
        <v>393</v>
      </c>
      <c r="B182" s="29" t="s">
        <v>394</v>
      </c>
      <c r="C182" s="30" t="s">
        <v>166</v>
      </c>
      <c r="D182" s="40">
        <v>5400</v>
      </c>
      <c r="E182" s="26">
        <v>216</v>
      </c>
      <c r="F182" s="26">
        <f t="shared" si="4"/>
        <v>5616</v>
      </c>
      <c r="G182" s="40">
        <v>5400</v>
      </c>
      <c r="H182" s="26">
        <v>216</v>
      </c>
      <c r="I182" s="27">
        <f t="shared" si="5"/>
        <v>5616</v>
      </c>
      <c r="J182" s="40">
        <v>5939</v>
      </c>
      <c r="K182" s="26">
        <v>216</v>
      </c>
      <c r="L182" s="27">
        <v>6155</v>
      </c>
      <c r="M182" s="26">
        <v>5461</v>
      </c>
      <c r="N182" s="26">
        <v>216</v>
      </c>
      <c r="O182" s="27">
        <v>5677</v>
      </c>
      <c r="P182" s="26">
        <v>5461</v>
      </c>
      <c r="Q182" s="26">
        <v>216</v>
      </c>
      <c r="R182" s="27">
        <v>5677</v>
      </c>
      <c r="S182" s="26">
        <v>7200</v>
      </c>
      <c r="T182" s="26">
        <v>216</v>
      </c>
      <c r="U182" s="27">
        <v>7416</v>
      </c>
      <c r="V182" s="26">
        <v>7200</v>
      </c>
      <c r="W182" s="26">
        <v>216</v>
      </c>
      <c r="X182" s="31">
        <v>7416</v>
      </c>
      <c r="Y182" s="16">
        <v>7200</v>
      </c>
      <c r="Z182" s="16">
        <v>216</v>
      </c>
      <c r="AA182" s="31">
        <v>7416</v>
      </c>
      <c r="AB182" s="32">
        <v>7200</v>
      </c>
      <c r="AC182" s="16">
        <v>216</v>
      </c>
      <c r="AD182" s="31">
        <v>7416</v>
      </c>
      <c r="AE182" s="16">
        <v>7200</v>
      </c>
      <c r="AF182" s="16">
        <v>216</v>
      </c>
      <c r="AG182" s="31">
        <v>7416</v>
      </c>
      <c r="AH182" s="16">
        <v>7200</v>
      </c>
      <c r="AI182" s="16">
        <v>144</v>
      </c>
      <c r="AJ182" s="31">
        <v>7344</v>
      </c>
      <c r="AK182" s="16">
        <v>5207.0508474576272</v>
      </c>
      <c r="AL182" s="16">
        <v>144</v>
      </c>
      <c r="AM182" s="31">
        <v>5351.0508474576272</v>
      </c>
      <c r="AN182" s="16">
        <v>5207.0508474576272</v>
      </c>
      <c r="AO182" s="16">
        <v>144</v>
      </c>
      <c r="AP182" s="31">
        <v>5351.0508474576272</v>
      </c>
      <c r="AQ182" s="42"/>
      <c r="AR182" s="43"/>
      <c r="AS182" s="42"/>
      <c r="AT182" s="42"/>
    </row>
    <row r="183" spans="1:46" ht="12.9" customHeight="1" x14ac:dyDescent="0.25">
      <c r="A183" s="28" t="s">
        <v>395</v>
      </c>
      <c r="B183" s="29" t="s">
        <v>396</v>
      </c>
      <c r="C183" s="30" t="s">
        <v>274</v>
      </c>
      <c r="D183" s="40">
        <v>28574</v>
      </c>
      <c r="E183" s="26">
        <v>7317</v>
      </c>
      <c r="F183" s="26">
        <f t="shared" si="4"/>
        <v>35891</v>
      </c>
      <c r="G183" s="40">
        <v>29237</v>
      </c>
      <c r="H183" s="26">
        <v>6016</v>
      </c>
      <c r="I183" s="27">
        <f t="shared" si="5"/>
        <v>35253</v>
      </c>
      <c r="J183" s="40">
        <v>35476</v>
      </c>
      <c r="K183" s="26">
        <v>7023</v>
      </c>
      <c r="L183" s="27">
        <v>42499</v>
      </c>
      <c r="M183" s="26">
        <v>35810</v>
      </c>
      <c r="N183" s="26">
        <v>6083</v>
      </c>
      <c r="O183" s="27">
        <v>41893</v>
      </c>
      <c r="P183" s="26">
        <v>38121</v>
      </c>
      <c r="Q183" s="26">
        <v>11955</v>
      </c>
      <c r="R183" s="27">
        <v>50076</v>
      </c>
      <c r="S183" s="26">
        <v>40379</v>
      </c>
      <c r="T183" s="26">
        <v>10249</v>
      </c>
      <c r="U183" s="27">
        <v>50628</v>
      </c>
      <c r="V183" s="26">
        <v>31680</v>
      </c>
      <c r="W183" s="26">
        <v>7979</v>
      </c>
      <c r="X183" s="31">
        <v>39659</v>
      </c>
      <c r="Y183" s="16">
        <v>35203</v>
      </c>
      <c r="Z183" s="16">
        <v>8615</v>
      </c>
      <c r="AA183" s="31">
        <v>43818</v>
      </c>
      <c r="AB183" s="32">
        <v>30339</v>
      </c>
      <c r="AC183" s="16">
        <v>6680</v>
      </c>
      <c r="AD183" s="31">
        <v>37019</v>
      </c>
      <c r="AE183" s="16">
        <v>31052</v>
      </c>
      <c r="AF183" s="16">
        <v>7279</v>
      </c>
      <c r="AG183" s="31">
        <v>38331</v>
      </c>
      <c r="AH183" s="16">
        <v>28024</v>
      </c>
      <c r="AI183" s="16">
        <v>7876</v>
      </c>
      <c r="AJ183" s="31">
        <v>35900</v>
      </c>
      <c r="AK183" s="16">
        <v>27748</v>
      </c>
      <c r="AL183" s="16">
        <v>6887</v>
      </c>
      <c r="AM183" s="31">
        <v>34635</v>
      </c>
      <c r="AN183" s="16">
        <v>37294</v>
      </c>
      <c r="AO183" s="16">
        <v>8015</v>
      </c>
      <c r="AP183" s="31">
        <v>45309</v>
      </c>
      <c r="AQ183" s="42"/>
      <c r="AR183" s="43"/>
      <c r="AS183" s="42"/>
      <c r="AT183" s="42"/>
    </row>
    <row r="184" spans="1:46" ht="12.9" customHeight="1" x14ac:dyDescent="0.25">
      <c r="A184" s="28" t="s">
        <v>397</v>
      </c>
      <c r="B184" s="29" t="s">
        <v>398</v>
      </c>
      <c r="C184" s="30" t="s">
        <v>80</v>
      </c>
      <c r="D184" s="40">
        <v>611277</v>
      </c>
      <c r="E184" s="26">
        <v>132336</v>
      </c>
      <c r="F184" s="26">
        <f t="shared" si="4"/>
        <v>743613</v>
      </c>
      <c r="G184" s="40">
        <v>616259</v>
      </c>
      <c r="H184" s="26">
        <v>141263</v>
      </c>
      <c r="I184" s="27">
        <f t="shared" si="5"/>
        <v>757522</v>
      </c>
      <c r="J184" s="40">
        <v>632919</v>
      </c>
      <c r="K184" s="26">
        <v>159521</v>
      </c>
      <c r="L184" s="27">
        <v>792440</v>
      </c>
      <c r="M184" s="26">
        <v>649485</v>
      </c>
      <c r="N184" s="26">
        <v>152875</v>
      </c>
      <c r="O184" s="27">
        <v>802360</v>
      </c>
      <c r="P184" s="26">
        <v>655033</v>
      </c>
      <c r="Q184" s="26">
        <v>129663</v>
      </c>
      <c r="R184" s="27">
        <v>784696</v>
      </c>
      <c r="S184" s="26">
        <v>624366</v>
      </c>
      <c r="T184" s="26">
        <v>166219</v>
      </c>
      <c r="U184" s="27">
        <v>790585</v>
      </c>
      <c r="V184" s="26">
        <v>609509</v>
      </c>
      <c r="W184" s="26">
        <v>172169</v>
      </c>
      <c r="X184" s="31">
        <v>781678</v>
      </c>
      <c r="Y184" s="16">
        <v>613647</v>
      </c>
      <c r="Z184" s="16">
        <v>162043</v>
      </c>
      <c r="AA184" s="31">
        <v>775690</v>
      </c>
      <c r="AB184" s="32">
        <v>606064</v>
      </c>
      <c r="AC184" s="16">
        <v>166504</v>
      </c>
      <c r="AD184" s="31">
        <v>772568</v>
      </c>
      <c r="AE184" s="16">
        <v>576116</v>
      </c>
      <c r="AF184" s="16">
        <v>183378</v>
      </c>
      <c r="AG184" s="31">
        <v>759494</v>
      </c>
      <c r="AH184" s="16">
        <v>557619</v>
      </c>
      <c r="AI184" s="16">
        <v>159347</v>
      </c>
      <c r="AJ184" s="31">
        <v>716966</v>
      </c>
      <c r="AK184" s="16">
        <v>582689.73070518055</v>
      </c>
      <c r="AL184" s="16">
        <v>175100</v>
      </c>
      <c r="AM184" s="31">
        <v>757789.73070518055</v>
      </c>
      <c r="AN184" s="16">
        <v>592945</v>
      </c>
      <c r="AO184" s="16">
        <v>163047</v>
      </c>
      <c r="AP184" s="31">
        <v>755992</v>
      </c>
      <c r="AQ184" s="42"/>
      <c r="AR184" s="43"/>
      <c r="AS184" s="42"/>
      <c r="AT184" s="42"/>
    </row>
    <row r="185" spans="1:46" ht="12.9" customHeight="1" x14ac:dyDescent="0.25">
      <c r="A185" s="28" t="s">
        <v>399</v>
      </c>
      <c r="B185" s="29" t="s">
        <v>400</v>
      </c>
      <c r="C185" s="30" t="s">
        <v>120</v>
      </c>
      <c r="D185" s="40">
        <v>202102</v>
      </c>
      <c r="E185" s="26">
        <v>6432364</v>
      </c>
      <c r="F185" s="26">
        <f t="shared" si="4"/>
        <v>6634466</v>
      </c>
      <c r="G185" s="40">
        <v>200106</v>
      </c>
      <c r="H185" s="26">
        <v>6779373</v>
      </c>
      <c r="I185" s="27">
        <f t="shared" si="5"/>
        <v>6979479</v>
      </c>
      <c r="J185" s="40">
        <v>205402</v>
      </c>
      <c r="K185" s="26">
        <v>6885720</v>
      </c>
      <c r="L185" s="27">
        <v>7091122</v>
      </c>
      <c r="M185" s="26">
        <v>208163</v>
      </c>
      <c r="N185" s="26">
        <v>7642141</v>
      </c>
      <c r="O185" s="27">
        <v>7850304</v>
      </c>
      <c r="P185" s="26">
        <v>218293</v>
      </c>
      <c r="Q185" s="26">
        <v>7074718</v>
      </c>
      <c r="R185" s="27">
        <v>7293011</v>
      </c>
      <c r="S185" s="26">
        <v>204280</v>
      </c>
      <c r="T185" s="26">
        <v>8129837</v>
      </c>
      <c r="U185" s="27">
        <v>8334117</v>
      </c>
      <c r="V185" s="26">
        <v>201049</v>
      </c>
      <c r="W185" s="26">
        <v>6205886</v>
      </c>
      <c r="X185" s="31">
        <v>6406935</v>
      </c>
      <c r="Y185" s="16">
        <v>205419</v>
      </c>
      <c r="Z185" s="16">
        <v>8142067</v>
      </c>
      <c r="AA185" s="31">
        <v>8347486</v>
      </c>
      <c r="AB185" s="32">
        <v>205207</v>
      </c>
      <c r="AC185" s="16">
        <v>7666601</v>
      </c>
      <c r="AD185" s="31">
        <v>7871808</v>
      </c>
      <c r="AE185" s="45">
        <v>204227</v>
      </c>
      <c r="AF185" s="16">
        <v>7458600</v>
      </c>
      <c r="AG185" s="31">
        <v>7662827</v>
      </c>
      <c r="AH185" s="16">
        <v>136564</v>
      </c>
      <c r="AI185" s="16">
        <v>7918248</v>
      </c>
      <c r="AJ185" s="31">
        <v>8054812</v>
      </c>
      <c r="AK185" s="32" t="s">
        <v>160</v>
      </c>
      <c r="AL185" s="16">
        <v>7281915</v>
      </c>
      <c r="AM185" s="31">
        <v>7281915</v>
      </c>
      <c r="AN185" s="32" t="s">
        <v>160</v>
      </c>
      <c r="AO185" s="16">
        <v>8037077</v>
      </c>
      <c r="AP185" s="31">
        <v>8037077</v>
      </c>
      <c r="AQ185" s="42"/>
      <c r="AR185" s="43"/>
      <c r="AS185" s="42"/>
      <c r="AT185" s="42"/>
    </row>
    <row r="186" spans="1:46" ht="12.9" customHeight="1" x14ac:dyDescent="0.25">
      <c r="A186" s="28" t="s">
        <v>401</v>
      </c>
      <c r="B186" s="29" t="s">
        <v>402</v>
      </c>
      <c r="C186" s="30" t="s">
        <v>26</v>
      </c>
      <c r="D186" s="40">
        <v>627432</v>
      </c>
      <c r="E186" s="26">
        <v>243677</v>
      </c>
      <c r="F186" s="26">
        <f t="shared" si="4"/>
        <v>871109</v>
      </c>
      <c r="G186" s="40">
        <v>632950</v>
      </c>
      <c r="H186" s="26">
        <v>243353</v>
      </c>
      <c r="I186" s="27">
        <f t="shared" si="5"/>
        <v>876303</v>
      </c>
      <c r="J186" s="40">
        <v>660086</v>
      </c>
      <c r="K186" s="26">
        <v>246456</v>
      </c>
      <c r="L186" s="27">
        <v>906542</v>
      </c>
      <c r="M186" s="26">
        <v>670270</v>
      </c>
      <c r="N186" s="26">
        <v>232636</v>
      </c>
      <c r="O186" s="27">
        <v>902906</v>
      </c>
      <c r="P186" s="26">
        <v>688570</v>
      </c>
      <c r="Q186" s="26">
        <v>220689</v>
      </c>
      <c r="R186" s="27">
        <v>909259</v>
      </c>
      <c r="S186" s="26">
        <v>636863</v>
      </c>
      <c r="T186" s="26">
        <v>238210</v>
      </c>
      <c r="U186" s="27">
        <v>875073</v>
      </c>
      <c r="V186" s="26">
        <v>630074</v>
      </c>
      <c r="W186" s="26">
        <v>248403</v>
      </c>
      <c r="X186" s="31">
        <v>878477</v>
      </c>
      <c r="Y186" s="16">
        <v>621971</v>
      </c>
      <c r="Z186" s="16">
        <v>275999</v>
      </c>
      <c r="AA186" s="31">
        <v>897970</v>
      </c>
      <c r="AB186" s="32">
        <v>624923</v>
      </c>
      <c r="AC186" s="16">
        <v>264427</v>
      </c>
      <c r="AD186" s="31">
        <v>889350</v>
      </c>
      <c r="AE186" s="16">
        <v>618340</v>
      </c>
      <c r="AF186" s="16">
        <v>265263</v>
      </c>
      <c r="AG186" s="31">
        <v>883603</v>
      </c>
      <c r="AH186" s="16">
        <v>605002</v>
      </c>
      <c r="AI186" s="16">
        <v>235106</v>
      </c>
      <c r="AJ186" s="31">
        <v>840108</v>
      </c>
      <c r="AK186" s="16">
        <v>618178</v>
      </c>
      <c r="AL186" s="16">
        <v>233565</v>
      </c>
      <c r="AM186" s="31">
        <v>851743</v>
      </c>
      <c r="AN186" s="16">
        <v>655292</v>
      </c>
      <c r="AO186" s="16">
        <v>258452</v>
      </c>
      <c r="AP186" s="31">
        <v>913744</v>
      </c>
      <c r="AQ186" s="42"/>
      <c r="AR186" s="43"/>
      <c r="AS186" s="42"/>
      <c r="AT186" s="42"/>
    </row>
    <row r="187" spans="1:46" ht="12.9" customHeight="1" x14ac:dyDescent="0.25">
      <c r="A187" s="28" t="s">
        <v>403</v>
      </c>
      <c r="B187" s="29" t="s">
        <v>404</v>
      </c>
      <c r="C187" s="30" t="s">
        <v>26</v>
      </c>
      <c r="D187" s="40">
        <v>130801</v>
      </c>
      <c r="E187" s="26">
        <v>8997</v>
      </c>
      <c r="F187" s="26">
        <f t="shared" si="4"/>
        <v>139798</v>
      </c>
      <c r="G187" s="40">
        <v>137635</v>
      </c>
      <c r="H187" s="26">
        <v>11309</v>
      </c>
      <c r="I187" s="27">
        <f t="shared" si="5"/>
        <v>148944</v>
      </c>
      <c r="J187" s="40">
        <v>144666</v>
      </c>
      <c r="K187" s="26">
        <v>11385</v>
      </c>
      <c r="L187" s="27">
        <v>156051</v>
      </c>
      <c r="M187" s="26">
        <v>145542</v>
      </c>
      <c r="N187" s="26">
        <v>10334</v>
      </c>
      <c r="O187" s="27">
        <v>155876</v>
      </c>
      <c r="P187" s="26">
        <v>141801</v>
      </c>
      <c r="Q187" s="26">
        <v>11881</v>
      </c>
      <c r="R187" s="27">
        <v>153682</v>
      </c>
      <c r="S187" s="26">
        <v>143208</v>
      </c>
      <c r="T187" s="26">
        <v>12538</v>
      </c>
      <c r="U187" s="27">
        <v>155746</v>
      </c>
      <c r="V187" s="26">
        <v>128280</v>
      </c>
      <c r="W187" s="26">
        <v>11146</v>
      </c>
      <c r="X187" s="31">
        <v>139426</v>
      </c>
      <c r="Y187" s="16">
        <v>135817</v>
      </c>
      <c r="Z187" s="16">
        <v>11967</v>
      </c>
      <c r="AA187" s="31">
        <v>147784</v>
      </c>
      <c r="AB187" s="32">
        <v>162861</v>
      </c>
      <c r="AC187" s="16">
        <v>9202</v>
      </c>
      <c r="AD187" s="31">
        <v>172063</v>
      </c>
      <c r="AE187" s="16">
        <v>138920</v>
      </c>
      <c r="AF187" s="16">
        <v>6848</v>
      </c>
      <c r="AG187" s="31">
        <v>145768</v>
      </c>
      <c r="AH187" s="16">
        <v>130211</v>
      </c>
      <c r="AI187" s="16">
        <v>8248</v>
      </c>
      <c r="AJ187" s="31">
        <v>138459</v>
      </c>
      <c r="AK187" s="16">
        <v>133426</v>
      </c>
      <c r="AL187" s="16">
        <v>8971</v>
      </c>
      <c r="AM187" s="31">
        <v>142397</v>
      </c>
      <c r="AN187" s="16">
        <v>157115</v>
      </c>
      <c r="AO187" s="16">
        <v>7588</v>
      </c>
      <c r="AP187" s="31">
        <v>164703</v>
      </c>
      <c r="AQ187" s="42"/>
      <c r="AR187" s="43"/>
      <c r="AS187" s="42"/>
      <c r="AT187" s="42"/>
    </row>
    <row r="188" spans="1:46" ht="12.9" customHeight="1" x14ac:dyDescent="0.25">
      <c r="A188" s="28" t="s">
        <v>405</v>
      </c>
      <c r="B188" s="29" t="s">
        <v>406</v>
      </c>
      <c r="C188" s="30" t="s">
        <v>23</v>
      </c>
      <c r="D188" s="40">
        <v>17369</v>
      </c>
      <c r="E188" s="26">
        <v>5471</v>
      </c>
      <c r="F188" s="26">
        <f t="shared" si="4"/>
        <v>22840</v>
      </c>
      <c r="G188" s="40">
        <v>17577</v>
      </c>
      <c r="H188" s="26">
        <v>5988</v>
      </c>
      <c r="I188" s="27">
        <f t="shared" si="5"/>
        <v>23565</v>
      </c>
      <c r="J188" s="40">
        <v>23091</v>
      </c>
      <c r="K188" s="26">
        <v>7778</v>
      </c>
      <c r="L188" s="27">
        <v>30869</v>
      </c>
      <c r="M188" s="26">
        <v>20802</v>
      </c>
      <c r="N188" s="26">
        <v>3719</v>
      </c>
      <c r="O188" s="27">
        <v>24521</v>
      </c>
      <c r="P188" s="26">
        <v>21011</v>
      </c>
      <c r="Q188" s="26">
        <v>5189</v>
      </c>
      <c r="R188" s="27">
        <v>26200</v>
      </c>
      <c r="S188" s="26">
        <v>19661</v>
      </c>
      <c r="T188" s="26">
        <v>7760</v>
      </c>
      <c r="U188" s="27">
        <v>27421</v>
      </c>
      <c r="V188" s="26">
        <v>17504</v>
      </c>
      <c r="W188" s="26">
        <v>9112</v>
      </c>
      <c r="X188" s="31">
        <v>26616</v>
      </c>
      <c r="Y188" s="16">
        <v>18978</v>
      </c>
      <c r="Z188" s="16">
        <v>8722</v>
      </c>
      <c r="AA188" s="31">
        <v>27700</v>
      </c>
      <c r="AB188" s="32">
        <v>20647</v>
      </c>
      <c r="AC188" s="16">
        <v>10513</v>
      </c>
      <c r="AD188" s="31">
        <v>31160</v>
      </c>
      <c r="AE188" s="16">
        <v>20996</v>
      </c>
      <c r="AF188" s="16">
        <v>11365</v>
      </c>
      <c r="AG188" s="31">
        <v>32361</v>
      </c>
      <c r="AH188" s="16">
        <v>18463</v>
      </c>
      <c r="AI188" s="16">
        <v>7868</v>
      </c>
      <c r="AJ188" s="31">
        <v>26331</v>
      </c>
      <c r="AK188" s="16">
        <v>17552</v>
      </c>
      <c r="AL188" s="16">
        <v>6670</v>
      </c>
      <c r="AM188" s="31">
        <v>24222</v>
      </c>
      <c r="AN188" s="16">
        <v>22973</v>
      </c>
      <c r="AO188" s="16">
        <v>6242</v>
      </c>
      <c r="AP188" s="31">
        <v>29215</v>
      </c>
      <c r="AQ188" s="42"/>
      <c r="AR188" s="43"/>
      <c r="AS188" s="42"/>
      <c r="AT188" s="42"/>
    </row>
    <row r="189" spans="1:46" ht="12.9" customHeight="1" x14ac:dyDescent="0.25">
      <c r="A189" s="28" t="s">
        <v>407</v>
      </c>
      <c r="B189" s="29" t="s">
        <v>408</v>
      </c>
      <c r="C189" s="30" t="s">
        <v>409</v>
      </c>
      <c r="D189" s="40">
        <v>207286</v>
      </c>
      <c r="E189" s="26">
        <v>34357</v>
      </c>
      <c r="F189" s="26">
        <f t="shared" si="4"/>
        <v>241643</v>
      </c>
      <c r="G189" s="40">
        <v>215864</v>
      </c>
      <c r="H189" s="26">
        <v>40668</v>
      </c>
      <c r="I189" s="27">
        <f t="shared" si="5"/>
        <v>256532</v>
      </c>
      <c r="J189" s="40">
        <v>211965</v>
      </c>
      <c r="K189" s="26">
        <v>39836</v>
      </c>
      <c r="L189" s="27">
        <v>251801</v>
      </c>
      <c r="M189" s="26">
        <v>214279</v>
      </c>
      <c r="N189" s="26">
        <v>41547</v>
      </c>
      <c r="O189" s="27">
        <v>255826</v>
      </c>
      <c r="P189" s="26">
        <v>201678</v>
      </c>
      <c r="Q189" s="26">
        <v>32551</v>
      </c>
      <c r="R189" s="27">
        <v>234229</v>
      </c>
      <c r="S189" s="26">
        <v>180860</v>
      </c>
      <c r="T189" s="26">
        <v>25842</v>
      </c>
      <c r="U189" s="27">
        <v>206702</v>
      </c>
      <c r="V189" s="26">
        <v>194249</v>
      </c>
      <c r="W189" s="26">
        <v>31920</v>
      </c>
      <c r="X189" s="31">
        <v>226169</v>
      </c>
      <c r="Y189" s="16">
        <v>214699</v>
      </c>
      <c r="Z189" s="16">
        <v>25544</v>
      </c>
      <c r="AA189" s="31">
        <v>240243</v>
      </c>
      <c r="AB189" s="32">
        <v>211896</v>
      </c>
      <c r="AC189" s="16">
        <v>27662</v>
      </c>
      <c r="AD189" s="31">
        <v>239558</v>
      </c>
      <c r="AE189" s="16">
        <v>208017</v>
      </c>
      <c r="AF189" s="16">
        <v>21283</v>
      </c>
      <c r="AG189" s="31">
        <v>229300</v>
      </c>
      <c r="AH189" s="16">
        <v>207886</v>
      </c>
      <c r="AI189" s="16">
        <v>22479</v>
      </c>
      <c r="AJ189" s="31">
        <v>230365</v>
      </c>
      <c r="AK189" s="16">
        <v>239938</v>
      </c>
      <c r="AL189" s="16">
        <v>11517</v>
      </c>
      <c r="AM189" s="31">
        <v>251455</v>
      </c>
      <c r="AN189" s="16">
        <v>266344</v>
      </c>
      <c r="AO189" s="16">
        <v>63542</v>
      </c>
      <c r="AP189" s="31">
        <v>329886</v>
      </c>
      <c r="AQ189" s="42"/>
      <c r="AR189" s="43"/>
      <c r="AS189" s="42"/>
      <c r="AT189" s="42"/>
    </row>
    <row r="190" spans="1:46" ht="12.9" customHeight="1" x14ac:dyDescent="0.25">
      <c r="A190" s="28" t="s">
        <v>410</v>
      </c>
      <c r="B190" s="29" t="s">
        <v>411</v>
      </c>
      <c r="C190" s="30" t="s">
        <v>56</v>
      </c>
      <c r="D190" s="40">
        <v>4041</v>
      </c>
      <c r="E190" s="26">
        <v>1345</v>
      </c>
      <c r="F190" s="26">
        <f t="shared" si="4"/>
        <v>5386</v>
      </c>
      <c r="G190" s="40">
        <v>4648</v>
      </c>
      <c r="H190" s="26">
        <v>1646</v>
      </c>
      <c r="I190" s="27">
        <f t="shared" si="5"/>
        <v>6294</v>
      </c>
      <c r="J190" s="40">
        <v>4953</v>
      </c>
      <c r="K190" s="26">
        <v>955</v>
      </c>
      <c r="L190" s="27">
        <v>5908</v>
      </c>
      <c r="M190" s="26">
        <v>4976</v>
      </c>
      <c r="N190" s="26">
        <v>994</v>
      </c>
      <c r="O190" s="27">
        <v>5970</v>
      </c>
      <c r="P190" s="26">
        <v>4524</v>
      </c>
      <c r="Q190" s="26">
        <v>923</v>
      </c>
      <c r="R190" s="27">
        <v>5447</v>
      </c>
      <c r="S190" s="26">
        <v>4417</v>
      </c>
      <c r="T190" s="26">
        <v>1269</v>
      </c>
      <c r="U190" s="27">
        <v>5686</v>
      </c>
      <c r="V190" s="26">
        <v>4160</v>
      </c>
      <c r="W190" s="26">
        <v>1624</v>
      </c>
      <c r="X190" s="31">
        <v>5784</v>
      </c>
      <c r="Y190" s="16">
        <v>4277</v>
      </c>
      <c r="Z190" s="16">
        <v>1639</v>
      </c>
      <c r="AA190" s="31">
        <v>5916</v>
      </c>
      <c r="AB190" s="32">
        <v>4753.333333333333</v>
      </c>
      <c r="AC190" s="16">
        <v>1804.3333333333333</v>
      </c>
      <c r="AD190" s="31">
        <v>6557.6666666666661</v>
      </c>
      <c r="AE190" s="16">
        <v>5304</v>
      </c>
      <c r="AF190" s="16">
        <v>1895</v>
      </c>
      <c r="AG190" s="31">
        <v>7199</v>
      </c>
      <c r="AH190" s="16">
        <v>4252</v>
      </c>
      <c r="AI190" s="16">
        <v>1159</v>
      </c>
      <c r="AJ190" s="31">
        <v>5411</v>
      </c>
      <c r="AK190" s="16">
        <v>4904</v>
      </c>
      <c r="AL190" s="16">
        <v>1371</v>
      </c>
      <c r="AM190" s="31">
        <v>6275</v>
      </c>
      <c r="AN190" s="16">
        <v>4904</v>
      </c>
      <c r="AO190" s="16">
        <v>1371</v>
      </c>
      <c r="AP190" s="31">
        <v>6275</v>
      </c>
      <c r="AQ190" s="42"/>
      <c r="AR190" s="43"/>
      <c r="AS190" s="42"/>
      <c r="AT190" s="42"/>
    </row>
    <row r="191" spans="1:46" ht="12.9" customHeight="1" x14ac:dyDescent="0.25">
      <c r="A191" s="28" t="s">
        <v>412</v>
      </c>
      <c r="B191" s="29" t="s">
        <v>413</v>
      </c>
      <c r="C191" s="30" t="s">
        <v>249</v>
      </c>
      <c r="D191" s="40">
        <v>14971</v>
      </c>
      <c r="E191" s="26">
        <v>6136</v>
      </c>
      <c r="F191" s="26">
        <f t="shared" si="4"/>
        <v>21107</v>
      </c>
      <c r="G191" s="40">
        <v>15473</v>
      </c>
      <c r="H191" s="26">
        <v>3440</v>
      </c>
      <c r="I191" s="27">
        <f t="shared" si="5"/>
        <v>18913</v>
      </c>
      <c r="J191" s="40">
        <v>15675</v>
      </c>
      <c r="K191" s="26">
        <v>12535</v>
      </c>
      <c r="L191" s="27">
        <v>28210</v>
      </c>
      <c r="M191" s="26">
        <v>16340</v>
      </c>
      <c r="N191" s="26">
        <v>19180</v>
      </c>
      <c r="O191" s="27">
        <v>35520</v>
      </c>
      <c r="P191" s="26">
        <v>16943</v>
      </c>
      <c r="Q191" s="26">
        <v>5970</v>
      </c>
      <c r="R191" s="27">
        <v>22913</v>
      </c>
      <c r="S191" s="26">
        <v>15930</v>
      </c>
      <c r="T191" s="26">
        <v>7388</v>
      </c>
      <c r="U191" s="27">
        <v>23318</v>
      </c>
      <c r="V191" s="26">
        <v>16000</v>
      </c>
      <c r="W191" s="26">
        <v>6992</v>
      </c>
      <c r="X191" s="31">
        <v>22992</v>
      </c>
      <c r="Y191" s="16">
        <v>16019</v>
      </c>
      <c r="Z191" s="16">
        <v>6089</v>
      </c>
      <c r="AA191" s="31">
        <v>22108</v>
      </c>
      <c r="AB191" s="32">
        <v>16879</v>
      </c>
      <c r="AC191" s="16">
        <v>5870</v>
      </c>
      <c r="AD191" s="31">
        <v>22749</v>
      </c>
      <c r="AE191" s="16">
        <v>16246</v>
      </c>
      <c r="AF191" s="16">
        <v>4244</v>
      </c>
      <c r="AG191" s="31">
        <v>20490</v>
      </c>
      <c r="AH191" s="16">
        <v>16481</v>
      </c>
      <c r="AI191" s="16">
        <v>4108</v>
      </c>
      <c r="AJ191" s="31">
        <v>20589</v>
      </c>
      <c r="AK191" s="16">
        <v>18163</v>
      </c>
      <c r="AL191" s="16">
        <v>6946</v>
      </c>
      <c r="AM191" s="31">
        <v>25109</v>
      </c>
      <c r="AN191" s="16">
        <v>18163</v>
      </c>
      <c r="AO191" s="16">
        <v>6842</v>
      </c>
      <c r="AP191" s="31">
        <v>25005</v>
      </c>
      <c r="AQ191" s="42"/>
      <c r="AR191" s="43"/>
      <c r="AS191" s="42"/>
      <c r="AT191" s="42"/>
    </row>
    <row r="192" spans="1:46" ht="12.9" customHeight="1" x14ac:dyDescent="0.25">
      <c r="A192" s="28" t="s">
        <v>414</v>
      </c>
      <c r="B192" s="29" t="s">
        <v>415</v>
      </c>
      <c r="C192" s="30" t="s">
        <v>153</v>
      </c>
      <c r="D192" s="40">
        <v>179365</v>
      </c>
      <c r="E192" s="26">
        <v>451392</v>
      </c>
      <c r="F192" s="26">
        <f t="shared" si="4"/>
        <v>630757</v>
      </c>
      <c r="G192" s="40">
        <v>188768</v>
      </c>
      <c r="H192" s="26">
        <v>434297</v>
      </c>
      <c r="I192" s="27">
        <f t="shared" si="5"/>
        <v>623065</v>
      </c>
      <c r="J192" s="40">
        <v>194012</v>
      </c>
      <c r="K192" s="26">
        <v>567771</v>
      </c>
      <c r="L192" s="27">
        <v>761783</v>
      </c>
      <c r="M192" s="26">
        <v>204644</v>
      </c>
      <c r="N192" s="26">
        <v>596561</v>
      </c>
      <c r="O192" s="27">
        <v>801205</v>
      </c>
      <c r="P192" s="26">
        <v>208092</v>
      </c>
      <c r="Q192" s="26">
        <v>599348</v>
      </c>
      <c r="R192" s="27">
        <v>807440</v>
      </c>
      <c r="S192" s="26">
        <v>205150</v>
      </c>
      <c r="T192" s="26">
        <v>639024</v>
      </c>
      <c r="U192" s="27">
        <v>844174</v>
      </c>
      <c r="V192" s="26">
        <v>198923</v>
      </c>
      <c r="W192" s="26">
        <v>650013</v>
      </c>
      <c r="X192" s="31">
        <v>848936</v>
      </c>
      <c r="Y192" s="16">
        <v>199629</v>
      </c>
      <c r="Z192" s="16">
        <v>745871</v>
      </c>
      <c r="AA192" s="31">
        <v>945500</v>
      </c>
      <c r="AB192" s="32">
        <v>204659</v>
      </c>
      <c r="AC192" s="16">
        <v>689485</v>
      </c>
      <c r="AD192" s="31">
        <v>894144</v>
      </c>
      <c r="AE192" s="16">
        <v>204273</v>
      </c>
      <c r="AF192" s="16">
        <v>730095</v>
      </c>
      <c r="AG192" s="31">
        <v>934368</v>
      </c>
      <c r="AH192" s="16">
        <v>216892</v>
      </c>
      <c r="AI192" s="16">
        <v>671597</v>
      </c>
      <c r="AJ192" s="31">
        <v>888489</v>
      </c>
      <c r="AK192" s="16">
        <v>224033</v>
      </c>
      <c r="AL192" s="16">
        <v>699075</v>
      </c>
      <c r="AM192" s="31">
        <v>923108</v>
      </c>
      <c r="AN192" s="16">
        <v>249114</v>
      </c>
      <c r="AO192" s="16">
        <v>717773</v>
      </c>
      <c r="AP192" s="31">
        <v>966887</v>
      </c>
      <c r="AQ192" s="42"/>
      <c r="AR192" s="43"/>
      <c r="AS192" s="42"/>
      <c r="AT192" s="42"/>
    </row>
    <row r="193" spans="1:46" ht="12.9" customHeight="1" x14ac:dyDescent="0.25">
      <c r="A193" s="28" t="s">
        <v>416</v>
      </c>
      <c r="B193" s="29" t="s">
        <v>417</v>
      </c>
      <c r="C193" s="30" t="s">
        <v>23</v>
      </c>
      <c r="D193" s="40">
        <v>25069</v>
      </c>
      <c r="E193" s="26">
        <v>13645</v>
      </c>
      <c r="F193" s="26">
        <f t="shared" si="4"/>
        <v>38714</v>
      </c>
      <c r="G193" s="40">
        <v>25657</v>
      </c>
      <c r="H193" s="26">
        <v>12268</v>
      </c>
      <c r="I193" s="27">
        <f t="shared" si="5"/>
        <v>37925</v>
      </c>
      <c r="J193" s="40">
        <v>28395</v>
      </c>
      <c r="K193" s="26">
        <v>14896</v>
      </c>
      <c r="L193" s="27">
        <v>43291</v>
      </c>
      <c r="M193" s="26">
        <v>27194</v>
      </c>
      <c r="N193" s="26">
        <v>16415</v>
      </c>
      <c r="O193" s="27">
        <v>43609</v>
      </c>
      <c r="P193" s="26">
        <v>33231</v>
      </c>
      <c r="Q193" s="26">
        <v>15091</v>
      </c>
      <c r="R193" s="27">
        <v>48322</v>
      </c>
      <c r="S193" s="26">
        <v>24921</v>
      </c>
      <c r="T193" s="26">
        <v>16339</v>
      </c>
      <c r="U193" s="27">
        <v>41260</v>
      </c>
      <c r="V193" s="26">
        <v>32138</v>
      </c>
      <c r="W193" s="26">
        <v>16280</v>
      </c>
      <c r="X193" s="31">
        <v>48418</v>
      </c>
      <c r="Y193" s="16">
        <v>32138</v>
      </c>
      <c r="Z193" s="16">
        <v>24856</v>
      </c>
      <c r="AA193" s="31">
        <v>56994</v>
      </c>
      <c r="AB193" s="32">
        <v>26235</v>
      </c>
      <c r="AC193" s="16">
        <v>17040</v>
      </c>
      <c r="AD193" s="31">
        <v>43275</v>
      </c>
      <c r="AE193" s="16">
        <v>23127</v>
      </c>
      <c r="AF193" s="16">
        <v>19307</v>
      </c>
      <c r="AG193" s="31">
        <v>42434</v>
      </c>
      <c r="AH193" s="16">
        <v>24261</v>
      </c>
      <c r="AI193" s="16">
        <v>17621</v>
      </c>
      <c r="AJ193" s="31">
        <v>41882</v>
      </c>
      <c r="AK193" s="16">
        <v>22260</v>
      </c>
      <c r="AL193" s="16">
        <v>15137</v>
      </c>
      <c r="AM193" s="31">
        <v>37397</v>
      </c>
      <c r="AN193" s="16">
        <v>24546</v>
      </c>
      <c r="AO193" s="16">
        <v>15198</v>
      </c>
      <c r="AP193" s="31">
        <v>39744</v>
      </c>
      <c r="AQ193" s="42"/>
      <c r="AR193" s="43"/>
      <c r="AS193" s="42"/>
      <c r="AT193" s="42"/>
    </row>
    <row r="194" spans="1:46" ht="12.9" customHeight="1" x14ac:dyDescent="0.25">
      <c r="A194" s="28" t="s">
        <v>418</v>
      </c>
      <c r="B194" s="29" t="s">
        <v>419</v>
      </c>
      <c r="C194" s="30" t="s">
        <v>184</v>
      </c>
      <c r="D194" s="40">
        <v>2171</v>
      </c>
      <c r="E194" s="26">
        <v>5746</v>
      </c>
      <c r="F194" s="26">
        <f t="shared" si="4"/>
        <v>7917</v>
      </c>
      <c r="G194" s="40">
        <v>1322</v>
      </c>
      <c r="H194" s="26">
        <v>6064</v>
      </c>
      <c r="I194" s="27">
        <f t="shared" si="5"/>
        <v>7386</v>
      </c>
      <c r="J194" s="40">
        <v>1775</v>
      </c>
      <c r="K194" s="26">
        <v>4525</v>
      </c>
      <c r="L194" s="27">
        <v>6300</v>
      </c>
      <c r="M194" s="26">
        <v>1906</v>
      </c>
      <c r="N194" s="26">
        <v>3219</v>
      </c>
      <c r="O194" s="27">
        <v>5125</v>
      </c>
      <c r="P194" s="26">
        <v>2650</v>
      </c>
      <c r="Q194" s="26">
        <v>4355</v>
      </c>
      <c r="R194" s="27">
        <v>7005</v>
      </c>
      <c r="S194" s="26">
        <v>1868</v>
      </c>
      <c r="T194" s="26">
        <v>3088</v>
      </c>
      <c r="U194" s="27">
        <v>4956</v>
      </c>
      <c r="V194" s="26">
        <v>2424</v>
      </c>
      <c r="W194" s="26">
        <v>3167</v>
      </c>
      <c r="X194" s="31">
        <v>5591</v>
      </c>
      <c r="Y194" s="16">
        <v>2220</v>
      </c>
      <c r="Z194" s="16">
        <v>3396</v>
      </c>
      <c r="AA194" s="31">
        <v>5616</v>
      </c>
      <c r="AB194" s="32">
        <v>1939</v>
      </c>
      <c r="AC194" s="16">
        <v>2985</v>
      </c>
      <c r="AD194" s="31">
        <v>4924</v>
      </c>
      <c r="AE194" s="16">
        <v>1561</v>
      </c>
      <c r="AF194" s="16">
        <v>4412</v>
      </c>
      <c r="AG194" s="31">
        <v>5973</v>
      </c>
      <c r="AH194" s="16">
        <v>1224</v>
      </c>
      <c r="AI194" s="16">
        <v>1912</v>
      </c>
      <c r="AJ194" s="31">
        <v>3136</v>
      </c>
      <c r="AK194" s="16">
        <v>1224</v>
      </c>
      <c r="AL194" s="16">
        <v>2044</v>
      </c>
      <c r="AM194" s="31">
        <v>3268</v>
      </c>
      <c r="AN194" s="16">
        <v>1224</v>
      </c>
      <c r="AO194" s="16">
        <v>1742</v>
      </c>
      <c r="AP194" s="31">
        <v>2966</v>
      </c>
      <c r="AQ194" s="42"/>
      <c r="AR194" s="43"/>
      <c r="AS194" s="42"/>
      <c r="AT194" s="42"/>
    </row>
    <row r="195" spans="1:46" ht="12.9" customHeight="1" x14ac:dyDescent="0.25">
      <c r="A195" s="28" t="s">
        <v>420</v>
      </c>
      <c r="B195" s="29" t="s">
        <v>421</v>
      </c>
      <c r="C195" s="30" t="s">
        <v>26</v>
      </c>
      <c r="D195" s="40">
        <v>667747</v>
      </c>
      <c r="E195" s="26">
        <v>147702</v>
      </c>
      <c r="F195" s="26">
        <f t="shared" si="4"/>
        <v>815449</v>
      </c>
      <c r="G195" s="40">
        <v>695305</v>
      </c>
      <c r="H195" s="26">
        <v>161506</v>
      </c>
      <c r="I195" s="27">
        <f t="shared" si="5"/>
        <v>856811</v>
      </c>
      <c r="J195" s="40">
        <v>738635</v>
      </c>
      <c r="K195" s="26">
        <v>173762</v>
      </c>
      <c r="L195" s="27">
        <v>912397</v>
      </c>
      <c r="M195" s="26">
        <v>772943</v>
      </c>
      <c r="N195" s="26">
        <v>155523</v>
      </c>
      <c r="O195" s="27">
        <v>928466</v>
      </c>
      <c r="P195" s="26">
        <v>761367</v>
      </c>
      <c r="Q195" s="26">
        <v>147853</v>
      </c>
      <c r="R195" s="27">
        <v>909220</v>
      </c>
      <c r="S195" s="26">
        <v>716574</v>
      </c>
      <c r="T195" s="26">
        <v>168954</v>
      </c>
      <c r="U195" s="27">
        <v>885528</v>
      </c>
      <c r="V195" s="26">
        <v>697170</v>
      </c>
      <c r="W195" s="26">
        <v>163713</v>
      </c>
      <c r="X195" s="31">
        <v>860883</v>
      </c>
      <c r="Y195" s="16">
        <v>727489</v>
      </c>
      <c r="Z195" s="16">
        <v>166788</v>
      </c>
      <c r="AA195" s="31">
        <v>894277</v>
      </c>
      <c r="AB195" s="32">
        <v>726513</v>
      </c>
      <c r="AC195" s="16">
        <v>166904</v>
      </c>
      <c r="AD195" s="31">
        <v>893417</v>
      </c>
      <c r="AE195" s="16">
        <v>705790</v>
      </c>
      <c r="AF195" s="16">
        <v>151686</v>
      </c>
      <c r="AG195" s="31">
        <v>857476</v>
      </c>
      <c r="AH195" s="16">
        <v>688567</v>
      </c>
      <c r="AI195" s="16">
        <v>146674</v>
      </c>
      <c r="AJ195" s="31">
        <v>835241</v>
      </c>
      <c r="AK195" s="16">
        <v>703434</v>
      </c>
      <c r="AL195" s="16">
        <v>157729</v>
      </c>
      <c r="AM195" s="31">
        <v>861163</v>
      </c>
      <c r="AN195" s="16">
        <v>747901</v>
      </c>
      <c r="AO195" s="16">
        <v>171093</v>
      </c>
      <c r="AP195" s="31">
        <v>918994</v>
      </c>
      <c r="AQ195" s="42"/>
      <c r="AR195" s="43"/>
      <c r="AS195" s="42"/>
      <c r="AT195" s="42"/>
    </row>
    <row r="196" spans="1:46" ht="12.9" customHeight="1" x14ac:dyDescent="0.25">
      <c r="A196" s="28" t="s">
        <v>422</v>
      </c>
      <c r="B196" s="29" t="s">
        <v>423</v>
      </c>
      <c r="C196" s="30" t="s">
        <v>20</v>
      </c>
      <c r="D196" s="40">
        <v>144896</v>
      </c>
      <c r="E196" s="26">
        <v>297314</v>
      </c>
      <c r="F196" s="26">
        <f t="shared" si="4"/>
        <v>442210</v>
      </c>
      <c r="G196" s="40">
        <v>150159</v>
      </c>
      <c r="H196" s="26">
        <v>294059</v>
      </c>
      <c r="I196" s="27">
        <f t="shared" si="5"/>
        <v>444218</v>
      </c>
      <c r="J196" s="40">
        <v>151256</v>
      </c>
      <c r="K196" s="26">
        <v>341026</v>
      </c>
      <c r="L196" s="27">
        <v>492282</v>
      </c>
      <c r="M196" s="26">
        <v>156231</v>
      </c>
      <c r="N196" s="26">
        <v>352993</v>
      </c>
      <c r="O196" s="27">
        <v>509224</v>
      </c>
      <c r="P196" s="26">
        <v>155444</v>
      </c>
      <c r="Q196" s="26">
        <v>376879</v>
      </c>
      <c r="R196" s="27">
        <v>532323</v>
      </c>
      <c r="S196" s="26">
        <v>204232</v>
      </c>
      <c r="T196" s="26">
        <v>375360</v>
      </c>
      <c r="U196" s="27">
        <v>579592</v>
      </c>
      <c r="V196" s="26">
        <v>199696</v>
      </c>
      <c r="W196" s="26">
        <v>456492</v>
      </c>
      <c r="X196" s="31">
        <v>656188</v>
      </c>
      <c r="Y196" s="16">
        <v>201810</v>
      </c>
      <c r="Z196" s="16">
        <v>668303</v>
      </c>
      <c r="AA196" s="31">
        <v>870113</v>
      </c>
      <c r="AB196" s="32">
        <v>209649</v>
      </c>
      <c r="AC196" s="16">
        <v>713771</v>
      </c>
      <c r="AD196" s="31">
        <v>923420</v>
      </c>
      <c r="AE196" s="16">
        <v>202639</v>
      </c>
      <c r="AF196" s="16">
        <v>645912</v>
      </c>
      <c r="AG196" s="31">
        <v>848551</v>
      </c>
      <c r="AH196" s="16">
        <v>202029</v>
      </c>
      <c r="AI196" s="16">
        <v>653191</v>
      </c>
      <c r="AJ196" s="31">
        <v>855220</v>
      </c>
      <c r="AK196" s="16">
        <v>214572</v>
      </c>
      <c r="AL196" s="16">
        <v>672711</v>
      </c>
      <c r="AM196" s="31">
        <v>887283</v>
      </c>
      <c r="AN196" s="16">
        <v>217550</v>
      </c>
      <c r="AO196" s="16">
        <v>805416</v>
      </c>
      <c r="AP196" s="31">
        <v>1022966</v>
      </c>
      <c r="AQ196" s="42"/>
      <c r="AR196" s="43"/>
      <c r="AS196" s="42"/>
      <c r="AT196" s="42"/>
    </row>
    <row r="197" spans="1:46" ht="12.9" customHeight="1" x14ac:dyDescent="0.25">
      <c r="A197" s="28" t="s">
        <v>424</v>
      </c>
      <c r="B197" s="29" t="s">
        <v>425</v>
      </c>
      <c r="C197" s="30" t="s">
        <v>153</v>
      </c>
      <c r="D197" s="40">
        <v>25964</v>
      </c>
      <c r="E197" s="26">
        <v>829</v>
      </c>
      <c r="F197" s="26">
        <f t="shared" si="4"/>
        <v>26793</v>
      </c>
      <c r="G197" s="40">
        <v>26321</v>
      </c>
      <c r="H197" s="26">
        <v>1035</v>
      </c>
      <c r="I197" s="27">
        <f t="shared" si="5"/>
        <v>27356</v>
      </c>
      <c r="J197" s="40">
        <v>27374</v>
      </c>
      <c r="K197" s="26">
        <v>2478</v>
      </c>
      <c r="L197" s="27">
        <v>29852</v>
      </c>
      <c r="M197" s="26">
        <v>31580</v>
      </c>
      <c r="N197" s="26">
        <v>2822</v>
      </c>
      <c r="O197" s="27">
        <v>34402</v>
      </c>
      <c r="P197" s="26">
        <v>30562</v>
      </c>
      <c r="Q197" s="26">
        <v>2905</v>
      </c>
      <c r="R197" s="27">
        <v>33467</v>
      </c>
      <c r="S197" s="26">
        <v>26113</v>
      </c>
      <c r="T197" s="26">
        <v>3070</v>
      </c>
      <c r="U197" s="27">
        <v>29183</v>
      </c>
      <c r="V197" s="26">
        <v>27298</v>
      </c>
      <c r="W197" s="26">
        <v>3740</v>
      </c>
      <c r="X197" s="31">
        <v>31038</v>
      </c>
      <c r="Y197" s="16">
        <v>30617</v>
      </c>
      <c r="Z197" s="16">
        <v>4010</v>
      </c>
      <c r="AA197" s="31">
        <v>34627</v>
      </c>
      <c r="AB197" s="32">
        <v>28117</v>
      </c>
      <c r="AC197" s="16">
        <v>5542</v>
      </c>
      <c r="AD197" s="31">
        <v>33659</v>
      </c>
      <c r="AE197" s="16">
        <v>31546</v>
      </c>
      <c r="AF197" s="16">
        <v>999</v>
      </c>
      <c r="AG197" s="31">
        <v>32545</v>
      </c>
      <c r="AH197" s="16">
        <v>31546</v>
      </c>
      <c r="AI197" s="16">
        <v>995</v>
      </c>
      <c r="AJ197" s="31">
        <v>32541</v>
      </c>
      <c r="AK197" s="16">
        <v>31546</v>
      </c>
      <c r="AL197" s="16">
        <v>895</v>
      </c>
      <c r="AM197" s="31">
        <v>32441</v>
      </c>
      <c r="AN197" s="16">
        <v>31546</v>
      </c>
      <c r="AO197" s="16">
        <v>895</v>
      </c>
      <c r="AP197" s="31">
        <v>32441</v>
      </c>
      <c r="AQ197" s="42"/>
      <c r="AR197" s="43"/>
      <c r="AS197" s="42"/>
      <c r="AT197" s="42"/>
    </row>
    <row r="198" spans="1:46" ht="12.9" customHeight="1" x14ac:dyDescent="0.25">
      <c r="A198" s="28" t="s">
        <v>426</v>
      </c>
      <c r="B198" s="29" t="s">
        <v>427</v>
      </c>
      <c r="C198" s="30" t="s">
        <v>163</v>
      </c>
      <c r="D198" s="40">
        <v>8671</v>
      </c>
      <c r="E198" s="26">
        <v>9627</v>
      </c>
      <c r="F198" s="26">
        <f t="shared" si="4"/>
        <v>18298</v>
      </c>
      <c r="G198" s="40">
        <v>10311</v>
      </c>
      <c r="H198" s="26">
        <v>10272</v>
      </c>
      <c r="I198" s="27">
        <f t="shared" si="5"/>
        <v>20583</v>
      </c>
      <c r="J198" s="40">
        <v>9168</v>
      </c>
      <c r="K198" s="26">
        <v>15639</v>
      </c>
      <c r="L198" s="27">
        <v>24807</v>
      </c>
      <c r="M198" s="26">
        <v>9410</v>
      </c>
      <c r="N198" s="26">
        <v>4638</v>
      </c>
      <c r="O198" s="27">
        <v>14048</v>
      </c>
      <c r="P198" s="26">
        <v>8995</v>
      </c>
      <c r="Q198" s="26">
        <v>7488</v>
      </c>
      <c r="R198" s="27">
        <v>16483</v>
      </c>
      <c r="S198" s="26">
        <v>9232</v>
      </c>
      <c r="T198" s="26">
        <v>4618</v>
      </c>
      <c r="U198" s="27">
        <v>13850</v>
      </c>
      <c r="V198" s="26">
        <v>8994</v>
      </c>
      <c r="W198" s="26">
        <v>6131</v>
      </c>
      <c r="X198" s="31">
        <v>15125</v>
      </c>
      <c r="Y198" s="16">
        <v>9218</v>
      </c>
      <c r="Z198" s="16">
        <v>5844</v>
      </c>
      <c r="AA198" s="31">
        <v>15062</v>
      </c>
      <c r="AB198" s="32">
        <v>9024</v>
      </c>
      <c r="AC198" s="16">
        <v>1397</v>
      </c>
      <c r="AD198" s="31">
        <v>10421</v>
      </c>
      <c r="AE198" s="16">
        <v>9038</v>
      </c>
      <c r="AF198" s="16">
        <v>1636</v>
      </c>
      <c r="AG198" s="31">
        <v>10674</v>
      </c>
      <c r="AH198" s="16">
        <v>10285</v>
      </c>
      <c r="AI198" s="16">
        <v>2059</v>
      </c>
      <c r="AJ198" s="31">
        <v>12344</v>
      </c>
      <c r="AK198" s="16">
        <v>10729</v>
      </c>
      <c r="AL198" s="16">
        <v>3132</v>
      </c>
      <c r="AM198" s="31">
        <v>13861</v>
      </c>
      <c r="AN198" s="16">
        <v>10729</v>
      </c>
      <c r="AO198" s="16">
        <v>3132</v>
      </c>
      <c r="AP198" s="31">
        <v>13861</v>
      </c>
      <c r="AQ198" s="42"/>
      <c r="AR198" s="43"/>
      <c r="AS198" s="42"/>
      <c r="AT198" s="42"/>
    </row>
    <row r="199" spans="1:46" ht="12.9" customHeight="1" x14ac:dyDescent="0.25">
      <c r="A199" s="28" t="s">
        <v>428</v>
      </c>
      <c r="B199" s="29" t="s">
        <v>429</v>
      </c>
      <c r="C199" s="30" t="s">
        <v>274</v>
      </c>
      <c r="D199" s="40">
        <v>379295</v>
      </c>
      <c r="E199" s="26">
        <v>138937</v>
      </c>
      <c r="F199" s="26">
        <f t="shared" si="4"/>
        <v>518232</v>
      </c>
      <c r="G199" s="40">
        <v>389218</v>
      </c>
      <c r="H199" s="26">
        <v>157466</v>
      </c>
      <c r="I199" s="27">
        <f t="shared" si="5"/>
        <v>546684</v>
      </c>
      <c r="J199" s="40">
        <v>403904</v>
      </c>
      <c r="K199" s="26">
        <v>200550</v>
      </c>
      <c r="L199" s="27">
        <v>604454</v>
      </c>
      <c r="M199" s="26">
        <v>410116</v>
      </c>
      <c r="N199" s="26">
        <v>179237</v>
      </c>
      <c r="O199" s="27">
        <v>589353</v>
      </c>
      <c r="P199" s="26">
        <v>431252</v>
      </c>
      <c r="Q199" s="26">
        <v>157877</v>
      </c>
      <c r="R199" s="27">
        <v>589129</v>
      </c>
      <c r="S199" s="26">
        <v>392070</v>
      </c>
      <c r="T199" s="26">
        <v>164922</v>
      </c>
      <c r="U199" s="27">
        <v>556992</v>
      </c>
      <c r="V199" s="26">
        <v>382397</v>
      </c>
      <c r="W199" s="26">
        <v>149506</v>
      </c>
      <c r="X199" s="31">
        <v>531903</v>
      </c>
      <c r="Y199" s="16">
        <v>381462</v>
      </c>
      <c r="Z199" s="16">
        <v>163344</v>
      </c>
      <c r="AA199" s="31">
        <v>544806</v>
      </c>
      <c r="AB199" s="32">
        <v>376595</v>
      </c>
      <c r="AC199" s="16">
        <v>152625</v>
      </c>
      <c r="AD199" s="31">
        <v>529220</v>
      </c>
      <c r="AE199" s="16">
        <v>368966</v>
      </c>
      <c r="AF199" s="16">
        <v>146060</v>
      </c>
      <c r="AG199" s="31">
        <v>515026</v>
      </c>
      <c r="AH199" s="16">
        <v>361307</v>
      </c>
      <c r="AI199" s="16">
        <v>140412</v>
      </c>
      <c r="AJ199" s="31">
        <v>501719</v>
      </c>
      <c r="AK199" s="16">
        <v>360979</v>
      </c>
      <c r="AL199" s="16">
        <v>138746</v>
      </c>
      <c r="AM199" s="31">
        <v>499725</v>
      </c>
      <c r="AN199" s="16">
        <v>384101</v>
      </c>
      <c r="AO199" s="16">
        <v>147556</v>
      </c>
      <c r="AP199" s="31">
        <v>531657</v>
      </c>
      <c r="AQ199" s="42"/>
      <c r="AR199" s="43"/>
      <c r="AS199" s="42"/>
      <c r="AT199" s="42"/>
    </row>
    <row r="200" spans="1:46" ht="12.9" customHeight="1" x14ac:dyDescent="0.25">
      <c r="A200" s="28" t="s">
        <v>430</v>
      </c>
      <c r="B200" s="29" t="s">
        <v>431</v>
      </c>
      <c r="C200" s="30" t="s">
        <v>184</v>
      </c>
      <c r="D200" s="40">
        <v>45949</v>
      </c>
      <c r="E200" s="26">
        <v>50255</v>
      </c>
      <c r="F200" s="26">
        <f t="shared" si="4"/>
        <v>96204</v>
      </c>
      <c r="G200" s="40">
        <v>52078</v>
      </c>
      <c r="H200" s="26">
        <v>68872</v>
      </c>
      <c r="I200" s="27">
        <f t="shared" si="5"/>
        <v>120950</v>
      </c>
      <c r="J200" s="40">
        <v>53328</v>
      </c>
      <c r="K200" s="26">
        <v>48964</v>
      </c>
      <c r="L200" s="27">
        <v>102292</v>
      </c>
      <c r="M200" s="26">
        <v>53328</v>
      </c>
      <c r="N200" s="26">
        <v>47531</v>
      </c>
      <c r="O200" s="27">
        <v>100859</v>
      </c>
      <c r="P200" s="26">
        <v>53328</v>
      </c>
      <c r="Q200" s="26">
        <v>47466</v>
      </c>
      <c r="R200" s="27">
        <v>100794</v>
      </c>
      <c r="S200" s="26">
        <v>52637</v>
      </c>
      <c r="T200" s="26">
        <v>49585</v>
      </c>
      <c r="U200" s="27">
        <v>102222</v>
      </c>
      <c r="V200" s="26">
        <v>49250</v>
      </c>
      <c r="W200" s="26">
        <v>50866</v>
      </c>
      <c r="X200" s="31">
        <v>100116</v>
      </c>
      <c r="Y200" s="16">
        <v>53306</v>
      </c>
      <c r="Z200" s="16">
        <v>49698</v>
      </c>
      <c r="AA200" s="31">
        <v>103004</v>
      </c>
      <c r="AB200" s="32">
        <v>51257</v>
      </c>
      <c r="AC200" s="16">
        <v>47688</v>
      </c>
      <c r="AD200" s="31">
        <v>98945</v>
      </c>
      <c r="AE200" s="16">
        <v>53902</v>
      </c>
      <c r="AF200" s="16">
        <v>44028</v>
      </c>
      <c r="AG200" s="31">
        <v>97930</v>
      </c>
      <c r="AH200" s="16">
        <v>49405</v>
      </c>
      <c r="AI200" s="16">
        <v>46766</v>
      </c>
      <c r="AJ200" s="31">
        <v>96171</v>
      </c>
      <c r="AK200" s="16">
        <v>56753</v>
      </c>
      <c r="AL200" s="16">
        <v>58313</v>
      </c>
      <c r="AM200" s="31">
        <v>115066</v>
      </c>
      <c r="AN200" s="16">
        <v>56753</v>
      </c>
      <c r="AO200" s="16">
        <v>57608</v>
      </c>
      <c r="AP200" s="31">
        <v>114361</v>
      </c>
      <c r="AQ200" s="42"/>
      <c r="AR200" s="43"/>
      <c r="AS200" s="42"/>
      <c r="AT200" s="42"/>
    </row>
    <row r="201" spans="1:46" ht="12.9" customHeight="1" x14ac:dyDescent="0.25">
      <c r="A201" s="28" t="s">
        <v>432</v>
      </c>
      <c r="B201" s="29" t="s">
        <v>433</v>
      </c>
      <c r="C201" s="30" t="s">
        <v>184</v>
      </c>
      <c r="D201" s="40">
        <v>2852</v>
      </c>
      <c r="E201" s="26">
        <v>413</v>
      </c>
      <c r="F201" s="26">
        <f t="shared" ref="F201:F264" si="6">+D201+E201</f>
        <v>3265</v>
      </c>
      <c r="G201" s="40">
        <v>3344</v>
      </c>
      <c r="H201" s="26">
        <v>394</v>
      </c>
      <c r="I201" s="27">
        <f t="shared" si="5"/>
        <v>3738</v>
      </c>
      <c r="J201" s="40">
        <v>2279</v>
      </c>
      <c r="K201" s="26">
        <v>587</v>
      </c>
      <c r="L201" s="27">
        <v>2866</v>
      </c>
      <c r="M201" s="26">
        <v>2041</v>
      </c>
      <c r="N201" s="26">
        <v>498</v>
      </c>
      <c r="O201" s="27">
        <v>2539</v>
      </c>
      <c r="P201" s="26">
        <v>2109</v>
      </c>
      <c r="Q201" s="26">
        <v>179</v>
      </c>
      <c r="R201" s="27">
        <v>2288</v>
      </c>
      <c r="S201" s="26">
        <v>2261</v>
      </c>
      <c r="T201" s="26">
        <v>188</v>
      </c>
      <c r="U201" s="27">
        <v>2449</v>
      </c>
      <c r="V201" s="26">
        <v>2702</v>
      </c>
      <c r="W201" s="26">
        <v>0</v>
      </c>
      <c r="X201" s="31">
        <v>2702</v>
      </c>
      <c r="Y201" s="16">
        <v>2296</v>
      </c>
      <c r="Z201" s="16">
        <v>0</v>
      </c>
      <c r="AA201" s="31">
        <v>2296</v>
      </c>
      <c r="AB201" s="32">
        <v>2375</v>
      </c>
      <c r="AC201" s="16">
        <v>0</v>
      </c>
      <c r="AD201" s="31">
        <v>2375</v>
      </c>
      <c r="AE201" s="16">
        <v>2910</v>
      </c>
      <c r="AF201" s="16">
        <v>0</v>
      </c>
      <c r="AG201" s="31">
        <v>2910</v>
      </c>
      <c r="AH201" s="16">
        <v>2259</v>
      </c>
      <c r="AI201" s="16">
        <v>0</v>
      </c>
      <c r="AJ201" s="31">
        <v>2259</v>
      </c>
      <c r="AK201" s="16">
        <v>3434</v>
      </c>
      <c r="AL201" s="16">
        <v>0</v>
      </c>
      <c r="AM201" s="31">
        <v>3434</v>
      </c>
      <c r="AN201" s="16">
        <v>2883</v>
      </c>
      <c r="AO201" s="16">
        <v>0</v>
      </c>
      <c r="AP201" s="31">
        <v>2883</v>
      </c>
      <c r="AQ201" s="42"/>
      <c r="AR201" s="43"/>
      <c r="AS201" s="42"/>
      <c r="AT201" s="42"/>
    </row>
    <row r="202" spans="1:46" ht="12.9" customHeight="1" x14ac:dyDescent="0.25">
      <c r="A202" s="28" t="s">
        <v>434</v>
      </c>
      <c r="B202" s="29" t="s">
        <v>435</v>
      </c>
      <c r="C202" s="30" t="s">
        <v>8</v>
      </c>
      <c r="D202" s="40">
        <v>4894</v>
      </c>
      <c r="E202" s="26">
        <v>14246</v>
      </c>
      <c r="F202" s="26">
        <f t="shared" si="6"/>
        <v>19140</v>
      </c>
      <c r="G202" s="40">
        <v>6787.5</v>
      </c>
      <c r="H202" s="26">
        <v>18717</v>
      </c>
      <c r="I202" s="27">
        <f t="shared" ref="I202:I265" si="7">+G202+H202</f>
        <v>25504.5</v>
      </c>
      <c r="J202" s="40">
        <v>6787.5</v>
      </c>
      <c r="K202" s="26">
        <v>10445</v>
      </c>
      <c r="L202" s="27">
        <v>17232.5</v>
      </c>
      <c r="M202" s="26">
        <v>5830</v>
      </c>
      <c r="N202" s="26">
        <v>10878</v>
      </c>
      <c r="O202" s="27">
        <v>16708</v>
      </c>
      <c r="P202" s="26">
        <v>5830</v>
      </c>
      <c r="Q202" s="26">
        <v>21043</v>
      </c>
      <c r="R202" s="27">
        <v>26873</v>
      </c>
      <c r="S202" s="26">
        <v>5830</v>
      </c>
      <c r="T202" s="26">
        <v>15578</v>
      </c>
      <c r="U202" s="27">
        <v>21408</v>
      </c>
      <c r="V202" s="26">
        <v>5529</v>
      </c>
      <c r="W202" s="26">
        <v>14816</v>
      </c>
      <c r="X202" s="31">
        <v>20345</v>
      </c>
      <c r="Y202" s="16">
        <v>7079</v>
      </c>
      <c r="Z202" s="16">
        <v>19067</v>
      </c>
      <c r="AA202" s="31">
        <v>26146</v>
      </c>
      <c r="AB202" s="32">
        <v>9583</v>
      </c>
      <c r="AC202" s="16">
        <v>12474</v>
      </c>
      <c r="AD202" s="31">
        <v>22057</v>
      </c>
      <c r="AE202" s="16">
        <v>4912</v>
      </c>
      <c r="AF202" s="16">
        <v>11309</v>
      </c>
      <c r="AG202" s="31">
        <v>16221</v>
      </c>
      <c r="AH202" s="16">
        <v>8713</v>
      </c>
      <c r="AI202" s="16">
        <v>18318</v>
      </c>
      <c r="AJ202" s="31">
        <v>27031</v>
      </c>
      <c r="AK202" s="16">
        <v>11586</v>
      </c>
      <c r="AL202" s="16">
        <v>9777</v>
      </c>
      <c r="AM202" s="31">
        <v>21363</v>
      </c>
      <c r="AN202" s="16">
        <v>11586</v>
      </c>
      <c r="AO202" s="16">
        <v>6842</v>
      </c>
      <c r="AP202" s="31">
        <v>18428</v>
      </c>
      <c r="AQ202" s="42"/>
      <c r="AR202" s="43"/>
      <c r="AS202" s="42"/>
      <c r="AT202" s="42"/>
    </row>
    <row r="203" spans="1:46" ht="12.9" customHeight="1" x14ac:dyDescent="0.25">
      <c r="A203" s="28" t="s">
        <v>436</v>
      </c>
      <c r="B203" s="29" t="s">
        <v>437</v>
      </c>
      <c r="C203" s="30" t="s">
        <v>438</v>
      </c>
      <c r="D203" s="40">
        <v>3033</v>
      </c>
      <c r="E203" s="26">
        <v>141548</v>
      </c>
      <c r="F203" s="26">
        <f t="shared" si="6"/>
        <v>144581</v>
      </c>
      <c r="G203" s="40">
        <v>4917</v>
      </c>
      <c r="H203" s="26">
        <v>172935</v>
      </c>
      <c r="I203" s="27">
        <f t="shared" si="7"/>
        <v>177852</v>
      </c>
      <c r="J203" s="40">
        <v>4917</v>
      </c>
      <c r="K203" s="26">
        <v>126245</v>
      </c>
      <c r="L203" s="27">
        <v>131162</v>
      </c>
      <c r="M203" s="26">
        <v>2930</v>
      </c>
      <c r="N203" s="26">
        <v>161010</v>
      </c>
      <c r="O203" s="27">
        <v>163940</v>
      </c>
      <c r="P203" s="26">
        <v>2930</v>
      </c>
      <c r="Q203" s="26">
        <v>155071</v>
      </c>
      <c r="R203" s="27">
        <v>158001</v>
      </c>
      <c r="S203" s="26">
        <v>2930</v>
      </c>
      <c r="T203" s="26">
        <v>115911</v>
      </c>
      <c r="U203" s="27">
        <v>118841</v>
      </c>
      <c r="V203" s="26">
        <v>2733</v>
      </c>
      <c r="W203" s="26">
        <v>112859</v>
      </c>
      <c r="X203" s="31">
        <v>115592</v>
      </c>
      <c r="Y203" s="16">
        <v>3760</v>
      </c>
      <c r="Z203" s="16">
        <v>53303</v>
      </c>
      <c r="AA203" s="31">
        <v>57063</v>
      </c>
      <c r="AB203" s="32">
        <v>2619</v>
      </c>
      <c r="AC203" s="16">
        <v>45968</v>
      </c>
      <c r="AD203" s="31">
        <v>48587</v>
      </c>
      <c r="AE203" s="16">
        <v>2619</v>
      </c>
      <c r="AF203" s="16">
        <v>48388</v>
      </c>
      <c r="AG203" s="31">
        <v>51007</v>
      </c>
      <c r="AH203" s="16">
        <v>2794</v>
      </c>
      <c r="AI203" s="16">
        <v>70271</v>
      </c>
      <c r="AJ203" s="31">
        <v>73065</v>
      </c>
      <c r="AK203" s="16">
        <v>2532</v>
      </c>
      <c r="AL203" s="16">
        <v>38909</v>
      </c>
      <c r="AM203" s="31">
        <v>41441</v>
      </c>
      <c r="AN203" s="16">
        <v>2792</v>
      </c>
      <c r="AO203" s="16">
        <v>19761</v>
      </c>
      <c r="AP203" s="31">
        <v>22553</v>
      </c>
      <c r="AQ203" s="42"/>
      <c r="AR203" s="43"/>
      <c r="AS203" s="42"/>
      <c r="AT203" s="42"/>
    </row>
    <row r="204" spans="1:46" ht="12.9" customHeight="1" x14ac:dyDescent="0.25">
      <c r="A204" s="28" t="s">
        <v>439</v>
      </c>
      <c r="B204" s="29" t="s">
        <v>440</v>
      </c>
      <c r="C204" s="30" t="s">
        <v>184</v>
      </c>
      <c r="D204" s="40">
        <v>9450</v>
      </c>
      <c r="E204" s="26">
        <v>6943</v>
      </c>
      <c r="F204" s="26">
        <f t="shared" si="6"/>
        <v>16393</v>
      </c>
      <c r="G204" s="40">
        <v>11340</v>
      </c>
      <c r="H204" s="26">
        <v>3875</v>
      </c>
      <c r="I204" s="27">
        <f t="shared" si="7"/>
        <v>15215</v>
      </c>
      <c r="J204" s="40">
        <v>20493</v>
      </c>
      <c r="K204" s="26">
        <v>5177</v>
      </c>
      <c r="L204" s="27">
        <v>25670</v>
      </c>
      <c r="M204" s="26">
        <v>20493</v>
      </c>
      <c r="N204" s="26">
        <v>1890</v>
      </c>
      <c r="O204" s="27">
        <v>22383</v>
      </c>
      <c r="P204" s="26">
        <v>15192</v>
      </c>
      <c r="Q204" s="26">
        <v>1890</v>
      </c>
      <c r="R204" s="27">
        <v>17082</v>
      </c>
      <c r="S204" s="26">
        <v>15120</v>
      </c>
      <c r="T204" s="26">
        <v>2520</v>
      </c>
      <c r="U204" s="27">
        <v>17640</v>
      </c>
      <c r="V204" s="26">
        <v>15120</v>
      </c>
      <c r="W204" s="26">
        <v>2520</v>
      </c>
      <c r="X204" s="31">
        <v>17640</v>
      </c>
      <c r="Y204" s="16">
        <v>15120</v>
      </c>
      <c r="Z204" s="16">
        <v>5040</v>
      </c>
      <c r="AA204" s="31">
        <v>20160</v>
      </c>
      <c r="AB204" s="32">
        <v>15120</v>
      </c>
      <c r="AC204" s="16">
        <v>5040</v>
      </c>
      <c r="AD204" s="31">
        <v>20160</v>
      </c>
      <c r="AE204" s="16">
        <v>15120</v>
      </c>
      <c r="AF204" s="16">
        <v>5040</v>
      </c>
      <c r="AG204" s="31">
        <v>20160</v>
      </c>
      <c r="AH204" s="16">
        <v>15120</v>
      </c>
      <c r="AI204" s="16">
        <v>5040</v>
      </c>
      <c r="AJ204" s="31">
        <v>20160</v>
      </c>
      <c r="AK204" s="16">
        <v>15120</v>
      </c>
      <c r="AL204" s="16">
        <v>5040</v>
      </c>
      <c r="AM204" s="31">
        <v>20160</v>
      </c>
      <c r="AN204" s="16">
        <v>15120</v>
      </c>
      <c r="AO204" s="16">
        <v>5040</v>
      </c>
      <c r="AP204" s="31">
        <v>20160</v>
      </c>
      <c r="AQ204" s="42"/>
      <c r="AR204" s="43"/>
      <c r="AS204" s="42"/>
      <c r="AT204" s="42"/>
    </row>
    <row r="205" spans="1:46" ht="12.9" customHeight="1" x14ac:dyDescent="0.25">
      <c r="A205" s="28" t="s">
        <v>441</v>
      </c>
      <c r="B205" s="29" t="s">
        <v>442</v>
      </c>
      <c r="C205" s="30" t="s">
        <v>184</v>
      </c>
      <c r="D205" s="40">
        <v>4453</v>
      </c>
      <c r="E205" s="26">
        <v>8543</v>
      </c>
      <c r="F205" s="26">
        <f t="shared" si="6"/>
        <v>12996</v>
      </c>
      <c r="G205" s="40">
        <v>5243</v>
      </c>
      <c r="H205" s="26">
        <v>13707</v>
      </c>
      <c r="I205" s="27">
        <f t="shared" si="7"/>
        <v>18950</v>
      </c>
      <c r="J205" s="40">
        <v>5243</v>
      </c>
      <c r="K205" s="26">
        <v>13707</v>
      </c>
      <c r="L205" s="27">
        <v>18950</v>
      </c>
      <c r="M205" s="26">
        <v>4154</v>
      </c>
      <c r="N205" s="26">
        <v>10067</v>
      </c>
      <c r="O205" s="27">
        <v>14221</v>
      </c>
      <c r="P205" s="26">
        <v>3956</v>
      </c>
      <c r="Q205" s="26">
        <v>8540</v>
      </c>
      <c r="R205" s="27">
        <v>12496</v>
      </c>
      <c r="S205" s="26">
        <v>3560</v>
      </c>
      <c r="T205" s="26">
        <v>6885</v>
      </c>
      <c r="U205" s="27">
        <v>10445</v>
      </c>
      <c r="V205" s="26">
        <v>3365.3333333333335</v>
      </c>
      <c r="W205" s="26">
        <v>6193</v>
      </c>
      <c r="X205" s="31">
        <v>9558.3333333333339</v>
      </c>
      <c r="Y205" s="16">
        <v>3943</v>
      </c>
      <c r="Z205" s="16">
        <v>5083</v>
      </c>
      <c r="AA205" s="31">
        <v>9026</v>
      </c>
      <c r="AB205" s="32">
        <v>4371</v>
      </c>
      <c r="AC205" s="16">
        <v>4466</v>
      </c>
      <c r="AD205" s="31">
        <v>8837</v>
      </c>
      <c r="AE205" s="16">
        <v>3824</v>
      </c>
      <c r="AF205" s="16">
        <v>5456</v>
      </c>
      <c r="AG205" s="31">
        <v>9280</v>
      </c>
      <c r="AH205" s="16">
        <v>3867</v>
      </c>
      <c r="AI205" s="16">
        <v>8051</v>
      </c>
      <c r="AJ205" s="31">
        <v>11918</v>
      </c>
      <c r="AK205" s="16">
        <v>5447</v>
      </c>
      <c r="AL205" s="16">
        <v>13301</v>
      </c>
      <c r="AM205" s="31">
        <v>18748</v>
      </c>
      <c r="AN205" s="16">
        <v>3278</v>
      </c>
      <c r="AO205" s="16">
        <v>6280</v>
      </c>
      <c r="AP205" s="31">
        <v>9558</v>
      </c>
      <c r="AQ205" s="42"/>
      <c r="AR205" s="43"/>
      <c r="AS205" s="42"/>
      <c r="AT205" s="42"/>
    </row>
    <row r="206" spans="1:46" ht="12.9" customHeight="1" x14ac:dyDescent="0.25">
      <c r="A206" s="28" t="s">
        <v>443</v>
      </c>
      <c r="B206" s="29" t="s">
        <v>444</v>
      </c>
      <c r="C206" s="30" t="s">
        <v>197</v>
      </c>
      <c r="D206" s="40">
        <v>968243</v>
      </c>
      <c r="E206" s="26">
        <v>343502</v>
      </c>
      <c r="F206" s="26">
        <f t="shared" si="6"/>
        <v>1311745</v>
      </c>
      <c r="G206" s="40">
        <v>1024417</v>
      </c>
      <c r="H206" s="26">
        <v>354058</v>
      </c>
      <c r="I206" s="27">
        <f t="shared" si="7"/>
        <v>1378475</v>
      </c>
      <c r="J206" s="40">
        <v>1062474</v>
      </c>
      <c r="K206" s="26">
        <v>412324</v>
      </c>
      <c r="L206" s="27">
        <v>1474798</v>
      </c>
      <c r="M206" s="26">
        <v>1107368</v>
      </c>
      <c r="N206" s="26">
        <v>402671</v>
      </c>
      <c r="O206" s="27">
        <v>1510039</v>
      </c>
      <c r="P206" s="26">
        <v>1134195</v>
      </c>
      <c r="Q206" s="26">
        <v>392764</v>
      </c>
      <c r="R206" s="27">
        <v>1526959</v>
      </c>
      <c r="S206" s="26">
        <v>1041241</v>
      </c>
      <c r="T206" s="26">
        <v>478620</v>
      </c>
      <c r="U206" s="27">
        <v>1519861</v>
      </c>
      <c r="V206" s="26">
        <v>993117</v>
      </c>
      <c r="W206" s="26">
        <v>505016</v>
      </c>
      <c r="X206" s="31">
        <v>1498133</v>
      </c>
      <c r="Y206" s="16">
        <v>1030849</v>
      </c>
      <c r="Z206" s="16">
        <v>561852</v>
      </c>
      <c r="AA206" s="31">
        <v>1592701</v>
      </c>
      <c r="AB206" s="32">
        <v>999671</v>
      </c>
      <c r="AC206" s="16">
        <v>578997</v>
      </c>
      <c r="AD206" s="31">
        <v>1578668</v>
      </c>
      <c r="AE206" s="16">
        <v>1023915</v>
      </c>
      <c r="AF206" s="16">
        <v>537125</v>
      </c>
      <c r="AG206" s="31">
        <v>1561040</v>
      </c>
      <c r="AH206" s="16">
        <v>983666</v>
      </c>
      <c r="AI206" s="16">
        <v>518594</v>
      </c>
      <c r="AJ206" s="31">
        <v>1502260</v>
      </c>
      <c r="AK206" s="16">
        <v>976722</v>
      </c>
      <c r="AL206" s="16">
        <v>512283</v>
      </c>
      <c r="AM206" s="31">
        <v>1489005</v>
      </c>
      <c r="AN206" s="16">
        <v>1078172</v>
      </c>
      <c r="AO206" s="16">
        <v>768493</v>
      </c>
      <c r="AP206" s="31">
        <v>1846665</v>
      </c>
      <c r="AQ206" s="42"/>
      <c r="AR206" s="43"/>
      <c r="AS206" s="42"/>
      <c r="AT206" s="42"/>
    </row>
    <row r="207" spans="1:46" ht="12.9" customHeight="1" x14ac:dyDescent="0.25">
      <c r="A207" s="28" t="s">
        <v>445</v>
      </c>
      <c r="B207" s="29" t="s">
        <v>446</v>
      </c>
      <c r="C207" s="30" t="s">
        <v>20</v>
      </c>
      <c r="D207" s="40">
        <v>145959</v>
      </c>
      <c r="E207" s="26">
        <v>38302</v>
      </c>
      <c r="F207" s="26">
        <f t="shared" si="6"/>
        <v>184261</v>
      </c>
      <c r="G207" s="40">
        <v>148360</v>
      </c>
      <c r="H207" s="26">
        <v>46866</v>
      </c>
      <c r="I207" s="27">
        <f t="shared" si="7"/>
        <v>195226</v>
      </c>
      <c r="J207" s="40">
        <v>154055</v>
      </c>
      <c r="K207" s="26">
        <v>56871</v>
      </c>
      <c r="L207" s="27">
        <v>210926</v>
      </c>
      <c r="M207" s="26">
        <v>161478</v>
      </c>
      <c r="N207" s="26">
        <v>50532</v>
      </c>
      <c r="O207" s="27">
        <v>212010</v>
      </c>
      <c r="P207" s="26">
        <v>163723</v>
      </c>
      <c r="Q207" s="26">
        <v>50920</v>
      </c>
      <c r="R207" s="27">
        <v>214643</v>
      </c>
      <c r="S207" s="26">
        <v>152850</v>
      </c>
      <c r="T207" s="26">
        <v>48095</v>
      </c>
      <c r="U207" s="27">
        <v>200945</v>
      </c>
      <c r="V207" s="26">
        <v>143929</v>
      </c>
      <c r="W207" s="26">
        <v>50599</v>
      </c>
      <c r="X207" s="31">
        <v>194528</v>
      </c>
      <c r="Y207" s="16">
        <v>149396</v>
      </c>
      <c r="Z207" s="16">
        <v>46449</v>
      </c>
      <c r="AA207" s="31">
        <v>195845</v>
      </c>
      <c r="AB207" s="32">
        <v>152930</v>
      </c>
      <c r="AC207" s="16">
        <v>54552</v>
      </c>
      <c r="AD207" s="31">
        <v>207482</v>
      </c>
      <c r="AE207" s="16">
        <v>147149</v>
      </c>
      <c r="AF207" s="16">
        <v>52056</v>
      </c>
      <c r="AG207" s="31">
        <v>199205</v>
      </c>
      <c r="AH207" s="16">
        <v>139378</v>
      </c>
      <c r="AI207" s="16">
        <v>54996</v>
      </c>
      <c r="AJ207" s="31">
        <v>194374</v>
      </c>
      <c r="AK207" s="16">
        <v>141786.87069395906</v>
      </c>
      <c r="AL207" s="16">
        <v>49151.216666666667</v>
      </c>
      <c r="AM207" s="31">
        <v>190938.08736062574</v>
      </c>
      <c r="AN207" s="16">
        <v>156422</v>
      </c>
      <c r="AO207" s="16">
        <v>48726</v>
      </c>
      <c r="AP207" s="31">
        <v>205148</v>
      </c>
      <c r="AQ207" s="42"/>
      <c r="AR207" s="43"/>
      <c r="AS207" s="42"/>
      <c r="AT207" s="42"/>
    </row>
    <row r="208" spans="1:46" ht="12.9" customHeight="1" x14ac:dyDescent="0.25">
      <c r="A208" s="28" t="s">
        <v>447</v>
      </c>
      <c r="B208" s="29" t="s">
        <v>448</v>
      </c>
      <c r="C208" s="30" t="s">
        <v>197</v>
      </c>
      <c r="D208" s="40">
        <v>486755</v>
      </c>
      <c r="E208" s="26">
        <v>3663103</v>
      </c>
      <c r="F208" s="26">
        <f t="shared" si="6"/>
        <v>4149858</v>
      </c>
      <c r="G208" s="40">
        <v>527898</v>
      </c>
      <c r="H208" s="26">
        <v>3853877</v>
      </c>
      <c r="I208" s="27">
        <f t="shared" si="7"/>
        <v>4381775</v>
      </c>
      <c r="J208" s="40">
        <v>531822</v>
      </c>
      <c r="K208" s="26">
        <v>4711361</v>
      </c>
      <c r="L208" s="27">
        <v>5243183</v>
      </c>
      <c r="M208" s="26">
        <v>554180</v>
      </c>
      <c r="N208" s="26">
        <v>5328892</v>
      </c>
      <c r="O208" s="27">
        <v>5883072</v>
      </c>
      <c r="P208" s="26">
        <v>546780</v>
      </c>
      <c r="Q208" s="26">
        <v>5287582</v>
      </c>
      <c r="R208" s="27">
        <v>5834362</v>
      </c>
      <c r="S208" s="26">
        <v>503185</v>
      </c>
      <c r="T208" s="26">
        <v>5624689</v>
      </c>
      <c r="U208" s="27">
        <v>6127874</v>
      </c>
      <c r="V208" s="26">
        <v>490484</v>
      </c>
      <c r="W208" s="26">
        <v>5524566</v>
      </c>
      <c r="X208" s="31">
        <v>6015050</v>
      </c>
      <c r="Y208" s="16">
        <v>503028</v>
      </c>
      <c r="Z208" s="16">
        <v>5364071</v>
      </c>
      <c r="AA208" s="31">
        <v>5867099</v>
      </c>
      <c r="AB208" s="32">
        <v>507825</v>
      </c>
      <c r="AC208" s="16">
        <v>5111722</v>
      </c>
      <c r="AD208" s="31">
        <v>5619547</v>
      </c>
      <c r="AE208" s="16">
        <v>512308</v>
      </c>
      <c r="AF208" s="16">
        <v>5464433</v>
      </c>
      <c r="AG208" s="31">
        <v>5976741</v>
      </c>
      <c r="AH208" s="16">
        <v>492920</v>
      </c>
      <c r="AI208" s="16">
        <v>4932948</v>
      </c>
      <c r="AJ208" s="31">
        <v>5425868</v>
      </c>
      <c r="AK208" s="16">
        <v>525835</v>
      </c>
      <c r="AL208" s="16">
        <v>4962138</v>
      </c>
      <c r="AM208" s="31">
        <v>5487973</v>
      </c>
      <c r="AN208" s="16">
        <v>532473</v>
      </c>
      <c r="AO208" s="16">
        <v>5547579</v>
      </c>
      <c r="AP208" s="31">
        <v>6080052</v>
      </c>
      <c r="AQ208" s="42"/>
      <c r="AR208" s="43"/>
      <c r="AS208" s="42"/>
      <c r="AT208" s="42"/>
    </row>
    <row r="209" spans="1:46" ht="12.9" customHeight="1" x14ac:dyDescent="0.25">
      <c r="A209" s="28" t="s">
        <v>449</v>
      </c>
      <c r="B209" s="29" t="s">
        <v>450</v>
      </c>
      <c r="C209" s="30" t="s">
        <v>357</v>
      </c>
      <c r="D209" s="40">
        <v>28401</v>
      </c>
      <c r="E209" s="26">
        <v>45269</v>
      </c>
      <c r="F209" s="26">
        <f t="shared" si="6"/>
        <v>73670</v>
      </c>
      <c r="G209" s="40">
        <v>29293</v>
      </c>
      <c r="H209" s="26">
        <v>55710</v>
      </c>
      <c r="I209" s="27">
        <f t="shared" si="7"/>
        <v>85003</v>
      </c>
      <c r="J209" s="40">
        <v>35211</v>
      </c>
      <c r="K209" s="26">
        <v>61073</v>
      </c>
      <c r="L209" s="27">
        <v>96284</v>
      </c>
      <c r="M209" s="26">
        <v>37949</v>
      </c>
      <c r="N209" s="26">
        <v>56602</v>
      </c>
      <c r="O209" s="27">
        <v>94551</v>
      </c>
      <c r="P209" s="26">
        <v>38380</v>
      </c>
      <c r="Q209" s="26">
        <v>53321</v>
      </c>
      <c r="R209" s="27">
        <v>91701</v>
      </c>
      <c r="S209" s="26">
        <v>37266</v>
      </c>
      <c r="T209" s="26">
        <v>39475</v>
      </c>
      <c r="U209" s="27">
        <v>76741</v>
      </c>
      <c r="V209" s="26">
        <v>41673</v>
      </c>
      <c r="W209" s="26">
        <v>45664</v>
      </c>
      <c r="X209" s="31">
        <v>87337</v>
      </c>
      <c r="Y209" s="16">
        <v>38669</v>
      </c>
      <c r="Z209" s="16">
        <v>39492</v>
      </c>
      <c r="AA209" s="31">
        <v>78161</v>
      </c>
      <c r="AB209" s="32">
        <v>39145</v>
      </c>
      <c r="AC209" s="16">
        <v>33529</v>
      </c>
      <c r="AD209" s="31">
        <v>72674</v>
      </c>
      <c r="AE209" s="16">
        <v>39601</v>
      </c>
      <c r="AF209" s="16">
        <v>26106</v>
      </c>
      <c r="AG209" s="31">
        <v>65707</v>
      </c>
      <c r="AH209" s="16">
        <v>33437</v>
      </c>
      <c r="AI209" s="16">
        <v>19815</v>
      </c>
      <c r="AJ209" s="31">
        <v>53252</v>
      </c>
      <c r="AK209" s="16">
        <v>31745</v>
      </c>
      <c r="AL209" s="16">
        <v>17071</v>
      </c>
      <c r="AM209" s="31">
        <v>48816</v>
      </c>
      <c r="AN209" s="16">
        <v>31858</v>
      </c>
      <c r="AO209" s="16">
        <v>25791</v>
      </c>
      <c r="AP209" s="31">
        <v>57649</v>
      </c>
      <c r="AQ209" s="42"/>
      <c r="AR209" s="43"/>
      <c r="AS209" s="42"/>
      <c r="AT209" s="42"/>
    </row>
    <row r="210" spans="1:46" ht="12.9" customHeight="1" x14ac:dyDescent="0.25">
      <c r="A210" s="28" t="s">
        <v>451</v>
      </c>
      <c r="B210" s="29" t="s">
        <v>452</v>
      </c>
      <c r="C210" s="30" t="s">
        <v>42</v>
      </c>
      <c r="D210" s="40">
        <v>35145</v>
      </c>
      <c r="E210" s="26">
        <v>1457</v>
      </c>
      <c r="F210" s="26">
        <f t="shared" si="6"/>
        <v>36602</v>
      </c>
      <c r="G210" s="40">
        <v>31299</v>
      </c>
      <c r="H210" s="26">
        <v>2275</v>
      </c>
      <c r="I210" s="27">
        <f t="shared" si="7"/>
        <v>33574</v>
      </c>
      <c r="J210" s="40">
        <v>33355</v>
      </c>
      <c r="K210" s="26">
        <v>187</v>
      </c>
      <c r="L210" s="27">
        <v>33542</v>
      </c>
      <c r="M210" s="26">
        <v>34836</v>
      </c>
      <c r="N210" s="26">
        <v>999</v>
      </c>
      <c r="O210" s="27">
        <v>35835</v>
      </c>
      <c r="P210" s="26">
        <v>34505</v>
      </c>
      <c r="Q210" s="26">
        <v>1025</v>
      </c>
      <c r="R210" s="27">
        <v>35530</v>
      </c>
      <c r="S210" s="26">
        <v>34588</v>
      </c>
      <c r="T210" s="26">
        <v>130</v>
      </c>
      <c r="U210" s="27">
        <v>34718</v>
      </c>
      <c r="V210" s="26">
        <v>31405</v>
      </c>
      <c r="W210" s="26">
        <v>311</v>
      </c>
      <c r="X210" s="31">
        <v>31716</v>
      </c>
      <c r="Y210" s="16">
        <v>35062</v>
      </c>
      <c r="Z210" s="16">
        <v>104</v>
      </c>
      <c r="AA210" s="31">
        <v>35166</v>
      </c>
      <c r="AB210" s="32">
        <v>33189</v>
      </c>
      <c r="AC210" s="16">
        <v>84</v>
      </c>
      <c r="AD210" s="31">
        <v>33273</v>
      </c>
      <c r="AE210" s="16">
        <v>33887</v>
      </c>
      <c r="AF210" s="16">
        <v>235</v>
      </c>
      <c r="AG210" s="31">
        <v>34122</v>
      </c>
      <c r="AH210" s="16">
        <v>34347</v>
      </c>
      <c r="AI210" s="16">
        <v>83</v>
      </c>
      <c r="AJ210" s="31">
        <v>34430</v>
      </c>
      <c r="AK210" s="16">
        <v>37898</v>
      </c>
      <c r="AL210" s="16">
        <v>124</v>
      </c>
      <c r="AM210" s="31">
        <v>38022</v>
      </c>
      <c r="AN210" s="16">
        <v>39146</v>
      </c>
      <c r="AO210" s="16">
        <v>222</v>
      </c>
      <c r="AP210" s="31">
        <v>39368</v>
      </c>
      <c r="AQ210" s="42"/>
      <c r="AR210" s="43"/>
      <c r="AS210" s="42"/>
      <c r="AT210" s="42"/>
    </row>
    <row r="211" spans="1:46" ht="12.9" customHeight="1" x14ac:dyDescent="0.25">
      <c r="A211" s="28" t="s">
        <v>453</v>
      </c>
      <c r="B211" s="29" t="s">
        <v>454</v>
      </c>
      <c r="C211" s="30" t="s">
        <v>11</v>
      </c>
      <c r="D211" s="40">
        <v>2831231</v>
      </c>
      <c r="E211" s="26">
        <v>688332</v>
      </c>
      <c r="F211" s="26">
        <f t="shared" si="6"/>
        <v>3519563</v>
      </c>
      <c r="G211" s="40">
        <v>2896382</v>
      </c>
      <c r="H211" s="26">
        <v>724801</v>
      </c>
      <c r="I211" s="27">
        <f t="shared" si="7"/>
        <v>3621183</v>
      </c>
      <c r="J211" s="40">
        <v>3034879</v>
      </c>
      <c r="K211" s="26">
        <v>817624</v>
      </c>
      <c r="L211" s="27">
        <v>3852503</v>
      </c>
      <c r="M211" s="26">
        <v>3167323</v>
      </c>
      <c r="N211" s="26">
        <v>678556</v>
      </c>
      <c r="O211" s="27">
        <v>3845879</v>
      </c>
      <c r="P211" s="26">
        <v>3199525</v>
      </c>
      <c r="Q211" s="26">
        <v>634354</v>
      </c>
      <c r="R211" s="27">
        <v>3833879</v>
      </c>
      <c r="S211" s="26">
        <v>3064528</v>
      </c>
      <c r="T211" s="26">
        <v>944592</v>
      </c>
      <c r="U211" s="27">
        <v>4009120</v>
      </c>
      <c r="V211" s="26">
        <v>3026283</v>
      </c>
      <c r="W211" s="26">
        <v>873449</v>
      </c>
      <c r="X211" s="31">
        <v>3899732</v>
      </c>
      <c r="Y211" s="16">
        <v>3045610</v>
      </c>
      <c r="Z211" s="16">
        <v>918532</v>
      </c>
      <c r="AA211" s="31">
        <v>3964142</v>
      </c>
      <c r="AB211" s="32">
        <v>2993151</v>
      </c>
      <c r="AC211" s="16">
        <v>831777</v>
      </c>
      <c r="AD211" s="31">
        <v>3824928</v>
      </c>
      <c r="AE211" s="16">
        <v>2951798</v>
      </c>
      <c r="AF211" s="16">
        <v>784508</v>
      </c>
      <c r="AG211" s="31">
        <v>3736306</v>
      </c>
      <c r="AH211" s="16">
        <v>2905394</v>
      </c>
      <c r="AI211" s="16">
        <v>814886</v>
      </c>
      <c r="AJ211" s="31">
        <v>3720280</v>
      </c>
      <c r="AK211" s="16">
        <v>2911882</v>
      </c>
      <c r="AL211" s="16">
        <v>803933</v>
      </c>
      <c r="AM211" s="31">
        <v>3715815</v>
      </c>
      <c r="AN211" s="16">
        <v>3061061</v>
      </c>
      <c r="AO211" s="16">
        <v>773934</v>
      </c>
      <c r="AP211" s="31">
        <v>3834995</v>
      </c>
      <c r="AQ211" s="42"/>
      <c r="AR211" s="43"/>
      <c r="AS211" s="42"/>
      <c r="AT211" s="42"/>
    </row>
    <row r="212" spans="1:46" ht="12.9" customHeight="1" x14ac:dyDescent="0.25">
      <c r="A212" s="28" t="s">
        <v>455</v>
      </c>
      <c r="B212" s="29" t="s">
        <v>456</v>
      </c>
      <c r="C212" s="30" t="s">
        <v>191</v>
      </c>
      <c r="D212" s="40">
        <v>127635</v>
      </c>
      <c r="E212" s="26">
        <v>74695</v>
      </c>
      <c r="F212" s="26">
        <f t="shared" si="6"/>
        <v>202330</v>
      </c>
      <c r="G212" s="40">
        <v>142146</v>
      </c>
      <c r="H212" s="26">
        <v>63038</v>
      </c>
      <c r="I212" s="27">
        <f t="shared" si="7"/>
        <v>205184</v>
      </c>
      <c r="J212" s="40">
        <v>135666</v>
      </c>
      <c r="K212" s="26">
        <v>80323</v>
      </c>
      <c r="L212" s="27">
        <v>215989</v>
      </c>
      <c r="M212" s="26">
        <v>133987</v>
      </c>
      <c r="N212" s="26">
        <v>111099</v>
      </c>
      <c r="O212" s="27">
        <v>245086</v>
      </c>
      <c r="P212" s="26">
        <v>137542</v>
      </c>
      <c r="Q212" s="26">
        <v>95533</v>
      </c>
      <c r="R212" s="27">
        <v>233075</v>
      </c>
      <c r="S212" s="26">
        <v>123997</v>
      </c>
      <c r="T212" s="26">
        <v>117984</v>
      </c>
      <c r="U212" s="27">
        <v>241981</v>
      </c>
      <c r="V212" s="26">
        <v>116750</v>
      </c>
      <c r="W212" s="26">
        <v>111678</v>
      </c>
      <c r="X212" s="31">
        <v>228428</v>
      </c>
      <c r="Y212" s="16">
        <v>122458</v>
      </c>
      <c r="Z212" s="16">
        <v>112343</v>
      </c>
      <c r="AA212" s="31">
        <v>234801</v>
      </c>
      <c r="AB212" s="32">
        <v>119848</v>
      </c>
      <c r="AC212" s="16">
        <v>110861</v>
      </c>
      <c r="AD212" s="31">
        <v>230709</v>
      </c>
      <c r="AE212" s="16">
        <v>108757</v>
      </c>
      <c r="AF212" s="16">
        <v>101619</v>
      </c>
      <c r="AG212" s="31">
        <v>210376</v>
      </c>
      <c r="AH212" s="16">
        <v>112099</v>
      </c>
      <c r="AI212" s="16">
        <v>99811</v>
      </c>
      <c r="AJ212" s="31">
        <v>211910</v>
      </c>
      <c r="AK212" s="16">
        <v>113309</v>
      </c>
      <c r="AL212" s="16">
        <v>111855</v>
      </c>
      <c r="AM212" s="31">
        <v>225164</v>
      </c>
      <c r="AN212" s="16">
        <v>126952</v>
      </c>
      <c r="AO212" s="16">
        <v>110163</v>
      </c>
      <c r="AP212" s="31">
        <v>237115</v>
      </c>
      <c r="AQ212" s="42"/>
      <c r="AR212" s="43"/>
      <c r="AS212" s="42"/>
      <c r="AT212" s="42"/>
    </row>
    <row r="213" spans="1:46" ht="12.9" customHeight="1" x14ac:dyDescent="0.25">
      <c r="A213" s="28" t="s">
        <v>457</v>
      </c>
      <c r="B213" s="29" t="s">
        <v>458</v>
      </c>
      <c r="C213" s="30" t="s">
        <v>150</v>
      </c>
      <c r="D213" s="40">
        <v>37752</v>
      </c>
      <c r="E213" s="26">
        <v>10054</v>
      </c>
      <c r="F213" s="26">
        <f t="shared" si="6"/>
        <v>47806</v>
      </c>
      <c r="G213" s="40">
        <v>38430</v>
      </c>
      <c r="H213" s="26">
        <v>8538</v>
      </c>
      <c r="I213" s="27">
        <f t="shared" si="7"/>
        <v>46968</v>
      </c>
      <c r="J213" s="40">
        <v>40898</v>
      </c>
      <c r="K213" s="26">
        <v>8857</v>
      </c>
      <c r="L213" s="27">
        <v>49755</v>
      </c>
      <c r="M213" s="26">
        <v>41808</v>
      </c>
      <c r="N213" s="26">
        <v>10010</v>
      </c>
      <c r="O213" s="27">
        <v>51818</v>
      </c>
      <c r="P213" s="26">
        <v>44022</v>
      </c>
      <c r="Q213" s="26">
        <v>7897</v>
      </c>
      <c r="R213" s="27">
        <v>51919</v>
      </c>
      <c r="S213" s="26">
        <v>40816</v>
      </c>
      <c r="T213" s="26">
        <v>10285</v>
      </c>
      <c r="U213" s="27">
        <v>51101</v>
      </c>
      <c r="V213" s="26">
        <v>40791</v>
      </c>
      <c r="W213" s="26">
        <v>9032</v>
      </c>
      <c r="X213" s="31">
        <v>49823</v>
      </c>
      <c r="Y213" s="16">
        <v>43093</v>
      </c>
      <c r="Z213" s="16">
        <v>12988</v>
      </c>
      <c r="AA213" s="31">
        <v>56081</v>
      </c>
      <c r="AB213" s="32">
        <v>41709</v>
      </c>
      <c r="AC213" s="16">
        <v>15476</v>
      </c>
      <c r="AD213" s="31">
        <v>57185</v>
      </c>
      <c r="AE213" s="16">
        <v>48128</v>
      </c>
      <c r="AF213" s="16">
        <v>17351</v>
      </c>
      <c r="AG213" s="31">
        <v>65479</v>
      </c>
      <c r="AH213" s="16">
        <v>37145</v>
      </c>
      <c r="AI213" s="16">
        <v>12648</v>
      </c>
      <c r="AJ213" s="31">
        <v>49793</v>
      </c>
      <c r="AK213" s="16">
        <v>30890</v>
      </c>
      <c r="AL213" s="16">
        <v>8980</v>
      </c>
      <c r="AM213" s="31">
        <v>39870</v>
      </c>
      <c r="AN213" s="16">
        <v>41025</v>
      </c>
      <c r="AO213" s="16">
        <v>7465</v>
      </c>
      <c r="AP213" s="31">
        <v>48490</v>
      </c>
      <c r="AQ213" s="42"/>
      <c r="AR213" s="43"/>
      <c r="AS213" s="42"/>
      <c r="AT213" s="42"/>
    </row>
    <row r="214" spans="1:46" ht="12.9" customHeight="1" x14ac:dyDescent="0.25">
      <c r="A214" s="28" t="s">
        <v>459</v>
      </c>
      <c r="B214" s="29" t="s">
        <v>460</v>
      </c>
      <c r="C214" s="30" t="s">
        <v>153</v>
      </c>
      <c r="D214" s="40">
        <v>5454</v>
      </c>
      <c r="E214" s="26">
        <v>6518</v>
      </c>
      <c r="F214" s="26">
        <f t="shared" si="6"/>
        <v>11972</v>
      </c>
      <c r="G214" s="40">
        <v>7232</v>
      </c>
      <c r="H214" s="26">
        <v>10706</v>
      </c>
      <c r="I214" s="27">
        <f t="shared" si="7"/>
        <v>17938</v>
      </c>
      <c r="J214" s="40">
        <v>5514</v>
      </c>
      <c r="K214" s="26">
        <v>10371</v>
      </c>
      <c r="L214" s="27">
        <v>15885</v>
      </c>
      <c r="M214" s="26">
        <v>6864</v>
      </c>
      <c r="N214" s="26">
        <v>12575</v>
      </c>
      <c r="O214" s="27">
        <v>19439</v>
      </c>
      <c r="P214" s="26">
        <v>9807</v>
      </c>
      <c r="Q214" s="26">
        <v>7479</v>
      </c>
      <c r="R214" s="27">
        <v>17286</v>
      </c>
      <c r="S214" s="26">
        <v>5076</v>
      </c>
      <c r="T214" s="26">
        <v>5442</v>
      </c>
      <c r="U214" s="27">
        <v>10518</v>
      </c>
      <c r="V214" s="26">
        <v>5452</v>
      </c>
      <c r="W214" s="26">
        <v>3346</v>
      </c>
      <c r="X214" s="31">
        <v>8798</v>
      </c>
      <c r="Y214" s="16">
        <v>6826</v>
      </c>
      <c r="Z214" s="16">
        <v>4350</v>
      </c>
      <c r="AA214" s="31">
        <v>11176</v>
      </c>
      <c r="AB214" s="32">
        <v>8483</v>
      </c>
      <c r="AC214" s="16">
        <v>3801</v>
      </c>
      <c r="AD214" s="31">
        <v>12284</v>
      </c>
      <c r="AE214" s="16">
        <v>10473</v>
      </c>
      <c r="AF214" s="16">
        <v>2047</v>
      </c>
      <c r="AG214" s="31">
        <v>12520</v>
      </c>
      <c r="AH214" s="16">
        <v>6138</v>
      </c>
      <c r="AI214" s="16">
        <v>3700</v>
      </c>
      <c r="AJ214" s="31">
        <v>9838</v>
      </c>
      <c r="AK214" s="16">
        <v>5719</v>
      </c>
      <c r="AL214" s="16">
        <v>4964</v>
      </c>
      <c r="AM214" s="31">
        <v>10683</v>
      </c>
      <c r="AN214" s="16">
        <v>7439.6920000000009</v>
      </c>
      <c r="AO214" s="16">
        <v>3199</v>
      </c>
      <c r="AP214" s="31">
        <v>10638.692000000001</v>
      </c>
      <c r="AQ214" s="42"/>
      <c r="AR214" s="43"/>
      <c r="AS214" s="42"/>
      <c r="AT214" s="42"/>
    </row>
    <row r="215" spans="1:46" ht="12.9" customHeight="1" x14ac:dyDescent="0.25">
      <c r="A215" s="28" t="s">
        <v>461</v>
      </c>
      <c r="B215" s="29" t="s">
        <v>462</v>
      </c>
      <c r="C215" s="30" t="s">
        <v>20</v>
      </c>
      <c r="D215" s="40">
        <v>20083</v>
      </c>
      <c r="E215" s="26">
        <v>13292</v>
      </c>
      <c r="F215" s="26">
        <f t="shared" si="6"/>
        <v>33375</v>
      </c>
      <c r="G215" s="40">
        <v>20930</v>
      </c>
      <c r="H215" s="26">
        <v>11361</v>
      </c>
      <c r="I215" s="27">
        <f t="shared" si="7"/>
        <v>32291</v>
      </c>
      <c r="J215" s="40">
        <v>25663</v>
      </c>
      <c r="K215" s="26">
        <v>13597</v>
      </c>
      <c r="L215" s="27">
        <v>39260</v>
      </c>
      <c r="M215" s="26">
        <v>25376</v>
      </c>
      <c r="N215" s="26">
        <v>7311</v>
      </c>
      <c r="O215" s="27">
        <v>32687</v>
      </c>
      <c r="P215" s="26">
        <v>20711</v>
      </c>
      <c r="Q215" s="26">
        <v>4993</v>
      </c>
      <c r="R215" s="27">
        <v>25704</v>
      </c>
      <c r="S215" s="26">
        <v>21486</v>
      </c>
      <c r="T215" s="26">
        <v>5578</v>
      </c>
      <c r="U215" s="27">
        <v>27064</v>
      </c>
      <c r="V215" s="26">
        <v>19432</v>
      </c>
      <c r="W215" s="26">
        <v>6075</v>
      </c>
      <c r="X215" s="31">
        <v>25507</v>
      </c>
      <c r="Y215" s="16">
        <v>22990</v>
      </c>
      <c r="Z215" s="16">
        <v>4599</v>
      </c>
      <c r="AA215" s="31">
        <v>27589</v>
      </c>
      <c r="AB215" s="32">
        <v>21972</v>
      </c>
      <c r="AC215" s="16">
        <v>4740</v>
      </c>
      <c r="AD215" s="31">
        <v>26712</v>
      </c>
      <c r="AE215" s="16">
        <v>20458</v>
      </c>
      <c r="AF215" s="16">
        <v>5357</v>
      </c>
      <c r="AG215" s="31">
        <v>25815</v>
      </c>
      <c r="AH215" s="16">
        <v>19617</v>
      </c>
      <c r="AI215" s="16">
        <v>5651</v>
      </c>
      <c r="AJ215" s="31">
        <v>25268</v>
      </c>
      <c r="AK215" s="16">
        <v>18703</v>
      </c>
      <c r="AL215" s="16">
        <v>6118</v>
      </c>
      <c r="AM215" s="31">
        <v>24821</v>
      </c>
      <c r="AN215" s="16">
        <v>18914</v>
      </c>
      <c r="AO215" s="16">
        <v>2435</v>
      </c>
      <c r="AP215" s="31">
        <v>21349</v>
      </c>
      <c r="AQ215" s="42"/>
      <c r="AR215" s="43"/>
      <c r="AS215" s="42"/>
      <c r="AT215" s="42"/>
    </row>
    <row r="216" spans="1:46" ht="12.9" customHeight="1" x14ac:dyDescent="0.25">
      <c r="A216" s="28" t="s">
        <v>463</v>
      </c>
      <c r="B216" s="29" t="s">
        <v>464</v>
      </c>
      <c r="C216" s="30" t="s">
        <v>20</v>
      </c>
      <c r="D216" s="40">
        <v>89859</v>
      </c>
      <c r="E216" s="26">
        <v>174369</v>
      </c>
      <c r="F216" s="26">
        <f t="shared" si="6"/>
        <v>264228</v>
      </c>
      <c r="G216" s="40">
        <v>93846</v>
      </c>
      <c r="H216" s="26">
        <v>192006</v>
      </c>
      <c r="I216" s="27">
        <f t="shared" si="7"/>
        <v>285852</v>
      </c>
      <c r="J216" s="40">
        <v>104148</v>
      </c>
      <c r="K216" s="26">
        <v>190052</v>
      </c>
      <c r="L216" s="27">
        <v>294200</v>
      </c>
      <c r="M216" s="26">
        <v>110829</v>
      </c>
      <c r="N216" s="26">
        <v>215293</v>
      </c>
      <c r="O216" s="27">
        <v>326122</v>
      </c>
      <c r="P216" s="26">
        <v>106660</v>
      </c>
      <c r="Q216" s="26">
        <v>125372</v>
      </c>
      <c r="R216" s="27">
        <v>232032</v>
      </c>
      <c r="S216" s="26">
        <v>97525</v>
      </c>
      <c r="T216" s="26">
        <v>157985</v>
      </c>
      <c r="U216" s="27">
        <v>255510</v>
      </c>
      <c r="V216" s="26">
        <v>90885</v>
      </c>
      <c r="W216" s="26">
        <v>149774</v>
      </c>
      <c r="X216" s="31">
        <v>240659</v>
      </c>
      <c r="Y216" s="16">
        <v>100943</v>
      </c>
      <c r="Z216" s="16">
        <v>163300</v>
      </c>
      <c r="AA216" s="31">
        <v>264243</v>
      </c>
      <c r="AB216" s="32">
        <v>89441</v>
      </c>
      <c r="AC216" s="16">
        <v>155135</v>
      </c>
      <c r="AD216" s="31">
        <v>244576</v>
      </c>
      <c r="AE216" s="16">
        <v>91526</v>
      </c>
      <c r="AF216" s="16">
        <v>160253</v>
      </c>
      <c r="AG216" s="31">
        <v>251779</v>
      </c>
      <c r="AH216" s="16">
        <v>90010</v>
      </c>
      <c r="AI216" s="16">
        <v>181949</v>
      </c>
      <c r="AJ216" s="31">
        <v>271959</v>
      </c>
      <c r="AK216" s="16">
        <v>89771</v>
      </c>
      <c r="AL216" s="16">
        <v>194346</v>
      </c>
      <c r="AM216" s="31">
        <v>284117</v>
      </c>
      <c r="AN216" s="16">
        <v>95119</v>
      </c>
      <c r="AO216" s="16">
        <v>209611</v>
      </c>
      <c r="AP216" s="31">
        <v>304730</v>
      </c>
      <c r="AQ216" s="42"/>
      <c r="AR216" s="43"/>
      <c r="AS216" s="42"/>
      <c r="AT216" s="42"/>
    </row>
    <row r="217" spans="1:46" ht="12.9" customHeight="1" x14ac:dyDescent="0.25">
      <c r="A217" s="28" t="s">
        <v>465</v>
      </c>
      <c r="B217" s="29" t="s">
        <v>466</v>
      </c>
      <c r="C217" s="30" t="s">
        <v>20</v>
      </c>
      <c r="D217" s="40">
        <v>62306</v>
      </c>
      <c r="E217" s="26">
        <v>35361</v>
      </c>
      <c r="F217" s="26">
        <f t="shared" si="6"/>
        <v>97667</v>
      </c>
      <c r="G217" s="40">
        <v>67296</v>
      </c>
      <c r="H217" s="26">
        <v>32014</v>
      </c>
      <c r="I217" s="27">
        <f t="shared" si="7"/>
        <v>99310</v>
      </c>
      <c r="J217" s="40">
        <v>78472</v>
      </c>
      <c r="K217" s="26">
        <v>37141</v>
      </c>
      <c r="L217" s="27">
        <v>115613</v>
      </c>
      <c r="M217" s="26">
        <v>76662</v>
      </c>
      <c r="N217" s="26">
        <v>34727</v>
      </c>
      <c r="O217" s="27">
        <v>111389</v>
      </c>
      <c r="P217" s="26">
        <v>76696</v>
      </c>
      <c r="Q217" s="26">
        <v>33028</v>
      </c>
      <c r="R217" s="27">
        <v>109724</v>
      </c>
      <c r="S217" s="26">
        <v>75587</v>
      </c>
      <c r="T217" s="26">
        <v>32312</v>
      </c>
      <c r="U217" s="27">
        <v>107899</v>
      </c>
      <c r="V217" s="26">
        <v>69028</v>
      </c>
      <c r="W217" s="26">
        <v>25573</v>
      </c>
      <c r="X217" s="31">
        <v>94601</v>
      </c>
      <c r="Y217" s="16">
        <v>78045</v>
      </c>
      <c r="Z217" s="16">
        <v>29231</v>
      </c>
      <c r="AA217" s="31">
        <v>107276</v>
      </c>
      <c r="AB217" s="32">
        <v>74911</v>
      </c>
      <c r="AC217" s="16">
        <v>29537</v>
      </c>
      <c r="AD217" s="31">
        <v>104448</v>
      </c>
      <c r="AE217" s="16">
        <v>78336</v>
      </c>
      <c r="AF217" s="16">
        <v>26828</v>
      </c>
      <c r="AG217" s="31">
        <v>105164</v>
      </c>
      <c r="AH217" s="16">
        <v>69967</v>
      </c>
      <c r="AI217" s="16">
        <v>29856</v>
      </c>
      <c r="AJ217" s="31">
        <v>99823</v>
      </c>
      <c r="AK217" s="16">
        <v>73681</v>
      </c>
      <c r="AL217" s="16">
        <v>30285</v>
      </c>
      <c r="AM217" s="31">
        <v>103966</v>
      </c>
      <c r="AN217" s="16">
        <v>86955</v>
      </c>
      <c r="AO217" s="16">
        <v>7155</v>
      </c>
      <c r="AP217" s="31">
        <v>94110</v>
      </c>
      <c r="AQ217" s="42"/>
      <c r="AR217" s="43"/>
      <c r="AS217" s="42"/>
      <c r="AT217" s="42"/>
    </row>
    <row r="218" spans="1:46" ht="12.9" customHeight="1" x14ac:dyDescent="0.25">
      <c r="A218" s="28" t="s">
        <v>467</v>
      </c>
      <c r="B218" s="29" t="s">
        <v>468</v>
      </c>
      <c r="C218" s="30" t="s">
        <v>215</v>
      </c>
      <c r="D218" s="40">
        <v>47784</v>
      </c>
      <c r="E218" s="26">
        <v>4675</v>
      </c>
      <c r="F218" s="26">
        <f t="shared" si="6"/>
        <v>52459</v>
      </c>
      <c r="G218" s="40">
        <v>48708</v>
      </c>
      <c r="H218" s="26">
        <v>4424</v>
      </c>
      <c r="I218" s="27">
        <f t="shared" si="7"/>
        <v>53132</v>
      </c>
      <c r="J218" s="40">
        <v>48906</v>
      </c>
      <c r="K218" s="26">
        <v>3499</v>
      </c>
      <c r="L218" s="27">
        <v>52405</v>
      </c>
      <c r="M218" s="26">
        <v>48576</v>
      </c>
      <c r="N218" s="26">
        <v>4045</v>
      </c>
      <c r="O218" s="27">
        <v>52621</v>
      </c>
      <c r="P218" s="26">
        <v>48246</v>
      </c>
      <c r="Q218" s="26">
        <v>4332</v>
      </c>
      <c r="R218" s="27">
        <v>52578</v>
      </c>
      <c r="S218" s="26">
        <v>47718</v>
      </c>
      <c r="T218" s="26">
        <v>5089</v>
      </c>
      <c r="U218" s="27">
        <v>52807</v>
      </c>
      <c r="V218" s="26">
        <v>44106</v>
      </c>
      <c r="W218" s="26">
        <v>3482</v>
      </c>
      <c r="X218" s="31">
        <v>47588</v>
      </c>
      <c r="Y218" s="16">
        <v>40986</v>
      </c>
      <c r="Z218" s="16">
        <v>2290</v>
      </c>
      <c r="AA218" s="31">
        <v>43276</v>
      </c>
      <c r="AB218" s="32">
        <v>39420</v>
      </c>
      <c r="AC218" s="16">
        <v>1275</v>
      </c>
      <c r="AD218" s="31">
        <v>40695</v>
      </c>
      <c r="AE218" s="16">
        <v>37152</v>
      </c>
      <c r="AF218" s="16">
        <v>2424</v>
      </c>
      <c r="AG218" s="31">
        <v>39576</v>
      </c>
      <c r="AH218" s="16">
        <v>38124</v>
      </c>
      <c r="AI218" s="16">
        <v>2424</v>
      </c>
      <c r="AJ218" s="31">
        <v>40548</v>
      </c>
      <c r="AK218" s="16">
        <v>38772</v>
      </c>
      <c r="AL218" s="16">
        <v>2316</v>
      </c>
      <c r="AM218" s="31">
        <v>41088</v>
      </c>
      <c r="AN218" s="16">
        <v>39852</v>
      </c>
      <c r="AO218" s="16">
        <v>2424</v>
      </c>
      <c r="AP218" s="31">
        <v>42276</v>
      </c>
      <c r="AQ218" s="42"/>
      <c r="AR218" s="43"/>
      <c r="AS218" s="42"/>
      <c r="AT218" s="42"/>
    </row>
    <row r="219" spans="1:46" ht="12.9" customHeight="1" x14ac:dyDescent="0.25">
      <c r="A219" s="28" t="s">
        <v>469</v>
      </c>
      <c r="B219" s="29" t="s">
        <v>470</v>
      </c>
      <c r="C219" s="30" t="s">
        <v>14</v>
      </c>
      <c r="D219" s="40">
        <v>23929</v>
      </c>
      <c r="E219" s="26">
        <v>48866</v>
      </c>
      <c r="F219" s="26">
        <f t="shared" si="6"/>
        <v>72795</v>
      </c>
      <c r="G219" s="40">
        <v>21900</v>
      </c>
      <c r="H219" s="26">
        <v>40793</v>
      </c>
      <c r="I219" s="27">
        <f t="shared" si="7"/>
        <v>62693</v>
      </c>
      <c r="J219" s="40">
        <v>22554</v>
      </c>
      <c r="K219" s="26">
        <v>44301</v>
      </c>
      <c r="L219" s="27">
        <v>66855</v>
      </c>
      <c r="M219" s="26">
        <v>25175</v>
      </c>
      <c r="N219" s="26">
        <v>47197</v>
      </c>
      <c r="O219" s="27">
        <v>72372</v>
      </c>
      <c r="P219" s="26">
        <v>11574</v>
      </c>
      <c r="Q219" s="26">
        <v>47524</v>
      </c>
      <c r="R219" s="27">
        <v>59098</v>
      </c>
      <c r="S219" s="26">
        <v>9643</v>
      </c>
      <c r="T219" s="26">
        <v>18348</v>
      </c>
      <c r="U219" s="27">
        <v>27991</v>
      </c>
      <c r="V219" s="26">
        <v>23355</v>
      </c>
      <c r="W219" s="26">
        <v>52818</v>
      </c>
      <c r="X219" s="31">
        <v>76173</v>
      </c>
      <c r="Y219" s="16">
        <v>21385</v>
      </c>
      <c r="Z219" s="16">
        <v>45755</v>
      </c>
      <c r="AA219" s="31">
        <v>67140</v>
      </c>
      <c r="AB219" s="32">
        <v>23529</v>
      </c>
      <c r="AC219" s="16">
        <v>4135</v>
      </c>
      <c r="AD219" s="31">
        <v>27664</v>
      </c>
      <c r="AE219" s="16">
        <v>22980</v>
      </c>
      <c r="AF219" s="16">
        <v>3697</v>
      </c>
      <c r="AG219" s="31">
        <v>26677</v>
      </c>
      <c r="AH219" s="16">
        <v>23687</v>
      </c>
      <c r="AI219" s="16">
        <v>3680</v>
      </c>
      <c r="AJ219" s="31">
        <v>27367</v>
      </c>
      <c r="AK219" s="16">
        <v>18308</v>
      </c>
      <c r="AL219" s="16">
        <v>2591</v>
      </c>
      <c r="AM219" s="31">
        <v>20899</v>
      </c>
      <c r="AN219" s="16">
        <v>27782.400000000001</v>
      </c>
      <c r="AO219" s="16">
        <v>5397</v>
      </c>
      <c r="AP219" s="31">
        <v>33179.4</v>
      </c>
      <c r="AQ219" s="42"/>
      <c r="AR219" s="43"/>
      <c r="AS219" s="42"/>
      <c r="AT219" s="42"/>
    </row>
    <row r="220" spans="1:46" ht="12.9" customHeight="1" x14ac:dyDescent="0.25">
      <c r="A220" s="28" t="s">
        <v>471</v>
      </c>
      <c r="B220" s="29" t="s">
        <v>472</v>
      </c>
      <c r="C220" s="30" t="s">
        <v>23</v>
      </c>
      <c r="D220" s="40">
        <v>908289</v>
      </c>
      <c r="E220" s="26">
        <v>399870</v>
      </c>
      <c r="F220" s="26">
        <f t="shared" si="6"/>
        <v>1308159</v>
      </c>
      <c r="G220" s="40">
        <v>1002040</v>
      </c>
      <c r="H220" s="26">
        <v>477906</v>
      </c>
      <c r="I220" s="27">
        <f t="shared" si="7"/>
        <v>1479946</v>
      </c>
      <c r="J220" s="40">
        <v>1067691</v>
      </c>
      <c r="K220" s="26">
        <v>503330</v>
      </c>
      <c r="L220" s="27">
        <v>1571021</v>
      </c>
      <c r="M220" s="26">
        <v>967745</v>
      </c>
      <c r="N220" s="26">
        <v>433653</v>
      </c>
      <c r="O220" s="27">
        <v>1401398</v>
      </c>
      <c r="P220" s="26">
        <v>882722</v>
      </c>
      <c r="Q220" s="26">
        <v>342892</v>
      </c>
      <c r="R220" s="27">
        <v>1225614</v>
      </c>
      <c r="S220" s="26">
        <v>957956</v>
      </c>
      <c r="T220" s="26">
        <v>501825</v>
      </c>
      <c r="U220" s="27">
        <v>1459781</v>
      </c>
      <c r="V220" s="26">
        <v>931223</v>
      </c>
      <c r="W220" s="26">
        <v>490873</v>
      </c>
      <c r="X220" s="31">
        <v>1422096</v>
      </c>
      <c r="Y220" s="16">
        <v>917092</v>
      </c>
      <c r="Z220" s="16">
        <v>441299</v>
      </c>
      <c r="AA220" s="31">
        <v>1358391</v>
      </c>
      <c r="AB220" s="32">
        <v>918558</v>
      </c>
      <c r="AC220" s="16">
        <v>409443</v>
      </c>
      <c r="AD220" s="31">
        <v>1328001</v>
      </c>
      <c r="AE220" s="16">
        <v>914672</v>
      </c>
      <c r="AF220" s="16">
        <v>420830</v>
      </c>
      <c r="AG220" s="31">
        <v>1335502</v>
      </c>
      <c r="AH220" s="16">
        <v>902595</v>
      </c>
      <c r="AI220" s="16">
        <v>381763</v>
      </c>
      <c r="AJ220" s="31">
        <v>1284358</v>
      </c>
      <c r="AK220" s="16">
        <v>950412</v>
      </c>
      <c r="AL220" s="16">
        <v>344714</v>
      </c>
      <c r="AM220" s="31">
        <v>1295126</v>
      </c>
      <c r="AN220" s="16">
        <v>975397</v>
      </c>
      <c r="AO220" s="16">
        <v>348887</v>
      </c>
      <c r="AP220" s="31">
        <v>1324284</v>
      </c>
      <c r="AQ220" s="42"/>
      <c r="AR220" s="43"/>
      <c r="AS220" s="42"/>
      <c r="AT220" s="42"/>
    </row>
    <row r="221" spans="1:46" ht="12.9" customHeight="1" x14ac:dyDescent="0.25">
      <c r="A221" s="28" t="s">
        <v>473</v>
      </c>
      <c r="B221" s="29" t="s">
        <v>474</v>
      </c>
      <c r="C221" s="30" t="s">
        <v>153</v>
      </c>
      <c r="D221" s="40">
        <v>20501</v>
      </c>
      <c r="E221" s="26">
        <v>14673</v>
      </c>
      <c r="F221" s="26">
        <f t="shared" si="6"/>
        <v>35174</v>
      </c>
      <c r="G221" s="40">
        <v>20097</v>
      </c>
      <c r="H221" s="26">
        <v>12296</v>
      </c>
      <c r="I221" s="27">
        <f t="shared" si="7"/>
        <v>32393</v>
      </c>
      <c r="J221" s="40">
        <v>21019</v>
      </c>
      <c r="K221" s="26">
        <v>11594</v>
      </c>
      <c r="L221" s="27">
        <v>32613</v>
      </c>
      <c r="M221" s="26">
        <v>22193</v>
      </c>
      <c r="N221" s="26">
        <v>12503</v>
      </c>
      <c r="O221" s="27">
        <v>34696</v>
      </c>
      <c r="P221" s="26">
        <v>20686</v>
      </c>
      <c r="Q221" s="26">
        <v>11507</v>
      </c>
      <c r="R221" s="27">
        <v>32193</v>
      </c>
      <c r="S221" s="26">
        <v>21296</v>
      </c>
      <c r="T221" s="26">
        <v>10967</v>
      </c>
      <c r="U221" s="27">
        <v>32263</v>
      </c>
      <c r="V221" s="26">
        <v>19881</v>
      </c>
      <c r="W221" s="26">
        <v>10499</v>
      </c>
      <c r="X221" s="31">
        <v>30380</v>
      </c>
      <c r="Y221" s="16">
        <v>19242</v>
      </c>
      <c r="Z221" s="16">
        <v>13281</v>
      </c>
      <c r="AA221" s="31">
        <v>32523</v>
      </c>
      <c r="AB221" s="32">
        <v>18390</v>
      </c>
      <c r="AC221" s="16">
        <v>16300</v>
      </c>
      <c r="AD221" s="31">
        <v>34690</v>
      </c>
      <c r="AE221" s="16">
        <v>18509</v>
      </c>
      <c r="AF221" s="16">
        <v>17149</v>
      </c>
      <c r="AG221" s="31">
        <v>35658</v>
      </c>
      <c r="AH221" s="16">
        <v>17378</v>
      </c>
      <c r="AI221" s="16">
        <v>14755</v>
      </c>
      <c r="AJ221" s="31">
        <v>32133</v>
      </c>
      <c r="AK221" s="16">
        <v>18767</v>
      </c>
      <c r="AL221" s="16">
        <v>17271</v>
      </c>
      <c r="AM221" s="31">
        <v>36038</v>
      </c>
      <c r="AN221" s="16">
        <v>18767</v>
      </c>
      <c r="AO221" s="16">
        <v>12263</v>
      </c>
      <c r="AP221" s="31">
        <v>31030</v>
      </c>
      <c r="AQ221" s="42"/>
      <c r="AR221" s="43"/>
      <c r="AS221" s="42"/>
      <c r="AT221" s="42"/>
    </row>
    <row r="222" spans="1:46" ht="15.6" customHeight="1" x14ac:dyDescent="0.25">
      <c r="A222" s="28" t="s">
        <v>475</v>
      </c>
      <c r="B222" s="29" t="s">
        <v>1948</v>
      </c>
      <c r="C222" s="30" t="s">
        <v>59</v>
      </c>
      <c r="D222" s="40">
        <v>1274720</v>
      </c>
      <c r="E222" s="26">
        <v>864314</v>
      </c>
      <c r="F222" s="26">
        <f t="shared" si="6"/>
        <v>2139034</v>
      </c>
      <c r="G222" s="40">
        <v>1424682</v>
      </c>
      <c r="H222" s="26">
        <v>951696</v>
      </c>
      <c r="I222" s="27">
        <f t="shared" si="7"/>
        <v>2376378</v>
      </c>
      <c r="J222" s="40">
        <v>1519948</v>
      </c>
      <c r="K222" s="26">
        <v>1062834</v>
      </c>
      <c r="L222" s="27">
        <v>2582782</v>
      </c>
      <c r="M222" s="26">
        <v>1420815</v>
      </c>
      <c r="N222" s="26">
        <v>961928</v>
      </c>
      <c r="O222" s="27">
        <v>2382743</v>
      </c>
      <c r="P222" s="26">
        <v>1356272</v>
      </c>
      <c r="Q222" s="26">
        <v>756753</v>
      </c>
      <c r="R222" s="27">
        <v>2113025</v>
      </c>
      <c r="S222" s="26">
        <v>1464612</v>
      </c>
      <c r="T222" s="26">
        <v>1102313</v>
      </c>
      <c r="U222" s="27">
        <v>2566925</v>
      </c>
      <c r="V222" s="26">
        <v>1345400</v>
      </c>
      <c r="W222" s="26">
        <v>987024</v>
      </c>
      <c r="X222" s="31">
        <v>2332424</v>
      </c>
      <c r="Y222" s="16">
        <v>1420722</v>
      </c>
      <c r="Z222" s="16">
        <v>1095310</v>
      </c>
      <c r="AA222" s="31">
        <v>2516032</v>
      </c>
      <c r="AB222" s="32">
        <v>1383057</v>
      </c>
      <c r="AC222" s="16">
        <v>1033729</v>
      </c>
      <c r="AD222" s="31">
        <v>2416786</v>
      </c>
      <c r="AE222" s="16">
        <v>1406368</v>
      </c>
      <c r="AF222" s="16">
        <v>1026006</v>
      </c>
      <c r="AG222" s="31">
        <v>2432374</v>
      </c>
      <c r="AH222" s="16">
        <v>1316469</v>
      </c>
      <c r="AI222" s="16">
        <v>908456</v>
      </c>
      <c r="AJ222" s="31">
        <v>2224925</v>
      </c>
      <c r="AK222" s="16">
        <v>1342697</v>
      </c>
      <c r="AL222" s="16">
        <v>960531</v>
      </c>
      <c r="AM222" s="31">
        <v>2303228</v>
      </c>
      <c r="AN222" s="16">
        <v>1471987</v>
      </c>
      <c r="AO222" s="16">
        <v>994613</v>
      </c>
      <c r="AP222" s="31">
        <v>2466600</v>
      </c>
      <c r="AQ222" s="42"/>
      <c r="AR222" s="43"/>
      <c r="AS222" s="42"/>
      <c r="AT222" s="42"/>
    </row>
    <row r="223" spans="1:46" ht="12.9" customHeight="1" x14ac:dyDescent="0.25">
      <c r="A223" s="28" t="s">
        <v>476</v>
      </c>
      <c r="B223" s="29" t="s">
        <v>477</v>
      </c>
      <c r="C223" s="30" t="s">
        <v>17</v>
      </c>
      <c r="D223" s="40">
        <v>41301</v>
      </c>
      <c r="E223" s="26">
        <v>6107</v>
      </c>
      <c r="F223" s="26">
        <f t="shared" si="6"/>
        <v>47408</v>
      </c>
      <c r="G223" s="40">
        <v>43961</v>
      </c>
      <c r="H223" s="26">
        <v>5159</v>
      </c>
      <c r="I223" s="27">
        <f t="shared" si="7"/>
        <v>49120</v>
      </c>
      <c r="J223" s="40">
        <v>47252</v>
      </c>
      <c r="K223" s="26">
        <v>4909</v>
      </c>
      <c r="L223" s="27">
        <v>52161</v>
      </c>
      <c r="M223" s="26">
        <v>48959</v>
      </c>
      <c r="N223" s="26">
        <v>5262</v>
      </c>
      <c r="O223" s="27">
        <v>54221</v>
      </c>
      <c r="P223" s="26">
        <v>36171</v>
      </c>
      <c r="Q223" s="26">
        <v>5535</v>
      </c>
      <c r="R223" s="27">
        <v>41706</v>
      </c>
      <c r="S223" s="26">
        <v>48088</v>
      </c>
      <c r="T223" s="26">
        <v>3920</v>
      </c>
      <c r="U223" s="27">
        <v>52008</v>
      </c>
      <c r="V223" s="26">
        <v>50329</v>
      </c>
      <c r="W223" s="26">
        <v>3488</v>
      </c>
      <c r="X223" s="31">
        <v>53817</v>
      </c>
      <c r="Y223" s="16">
        <v>49935</v>
      </c>
      <c r="Z223" s="16">
        <v>3815</v>
      </c>
      <c r="AA223" s="31">
        <v>53750</v>
      </c>
      <c r="AB223" s="32">
        <v>17062</v>
      </c>
      <c r="AC223" s="16">
        <v>3815</v>
      </c>
      <c r="AD223" s="31">
        <v>20877</v>
      </c>
      <c r="AE223" s="16">
        <v>16682</v>
      </c>
      <c r="AF223" s="16">
        <v>3861</v>
      </c>
      <c r="AG223" s="31">
        <v>20543</v>
      </c>
      <c r="AH223" s="16">
        <v>15926</v>
      </c>
      <c r="AI223" s="16">
        <v>3702</v>
      </c>
      <c r="AJ223" s="31">
        <v>19628</v>
      </c>
      <c r="AK223" s="16">
        <v>48014</v>
      </c>
      <c r="AL223" s="16">
        <v>2304</v>
      </c>
      <c r="AM223" s="31">
        <v>50318</v>
      </c>
      <c r="AN223" s="16">
        <v>48014</v>
      </c>
      <c r="AO223" s="16">
        <v>2304</v>
      </c>
      <c r="AP223" s="31">
        <v>50318</v>
      </c>
      <c r="AQ223" s="42"/>
      <c r="AR223" s="43"/>
      <c r="AS223" s="42"/>
      <c r="AT223" s="42"/>
    </row>
    <row r="224" spans="1:46" ht="12.9" customHeight="1" x14ac:dyDescent="0.25">
      <c r="A224" s="28" t="s">
        <v>478</v>
      </c>
      <c r="B224" s="29" t="s">
        <v>479</v>
      </c>
      <c r="C224" s="30" t="s">
        <v>357</v>
      </c>
      <c r="D224" s="40">
        <v>106509</v>
      </c>
      <c r="E224" s="26">
        <v>96198</v>
      </c>
      <c r="F224" s="26">
        <f t="shared" si="6"/>
        <v>202707</v>
      </c>
      <c r="G224" s="40">
        <v>109532</v>
      </c>
      <c r="H224" s="26">
        <v>113997</v>
      </c>
      <c r="I224" s="27">
        <f t="shared" si="7"/>
        <v>223529</v>
      </c>
      <c r="J224" s="40">
        <v>117768</v>
      </c>
      <c r="K224" s="26">
        <v>167606</v>
      </c>
      <c r="L224" s="27">
        <v>285374</v>
      </c>
      <c r="M224" s="26">
        <v>127088</v>
      </c>
      <c r="N224" s="26">
        <v>184243</v>
      </c>
      <c r="O224" s="27">
        <v>311331</v>
      </c>
      <c r="P224" s="26">
        <v>122209</v>
      </c>
      <c r="Q224" s="26">
        <v>158518</v>
      </c>
      <c r="R224" s="27">
        <v>280727</v>
      </c>
      <c r="S224" s="26">
        <v>120471</v>
      </c>
      <c r="T224" s="26">
        <v>142699</v>
      </c>
      <c r="U224" s="27">
        <v>263170</v>
      </c>
      <c r="V224" s="26">
        <v>108664</v>
      </c>
      <c r="W224" s="26">
        <v>139073</v>
      </c>
      <c r="X224" s="31">
        <v>247737</v>
      </c>
      <c r="Y224" s="16">
        <v>110296</v>
      </c>
      <c r="Z224" s="16">
        <v>152577</v>
      </c>
      <c r="AA224" s="31">
        <v>262873</v>
      </c>
      <c r="AB224" s="32">
        <v>106045</v>
      </c>
      <c r="AC224" s="16">
        <v>137641</v>
      </c>
      <c r="AD224" s="31">
        <v>243686</v>
      </c>
      <c r="AE224" s="16">
        <v>105271</v>
      </c>
      <c r="AF224" s="16">
        <v>112726</v>
      </c>
      <c r="AG224" s="31">
        <v>217997</v>
      </c>
      <c r="AH224" s="16">
        <v>98581</v>
      </c>
      <c r="AI224" s="16">
        <v>98868</v>
      </c>
      <c r="AJ224" s="31">
        <v>197449</v>
      </c>
      <c r="AK224" s="16">
        <v>97914</v>
      </c>
      <c r="AL224" s="16">
        <v>97159</v>
      </c>
      <c r="AM224" s="31">
        <v>195073</v>
      </c>
      <c r="AN224" s="16">
        <v>111432</v>
      </c>
      <c r="AO224" s="16">
        <v>95241</v>
      </c>
      <c r="AP224" s="31">
        <v>206673</v>
      </c>
      <c r="AQ224" s="42"/>
      <c r="AR224" s="43"/>
      <c r="AS224" s="42"/>
      <c r="AT224" s="42"/>
    </row>
    <row r="225" spans="1:46" ht="12.9" customHeight="1" x14ac:dyDescent="0.25">
      <c r="A225" s="28" t="s">
        <v>480</v>
      </c>
      <c r="B225" s="29" t="s">
        <v>481</v>
      </c>
      <c r="C225" s="30" t="s">
        <v>56</v>
      </c>
      <c r="D225" s="40">
        <v>131420</v>
      </c>
      <c r="E225" s="26">
        <v>17164</v>
      </c>
      <c r="F225" s="26">
        <f t="shared" si="6"/>
        <v>148584</v>
      </c>
      <c r="G225" s="40">
        <v>140054</v>
      </c>
      <c r="H225" s="26">
        <v>19106</v>
      </c>
      <c r="I225" s="27">
        <f t="shared" si="7"/>
        <v>159160</v>
      </c>
      <c r="J225" s="40">
        <v>149989</v>
      </c>
      <c r="K225" s="26">
        <v>24873</v>
      </c>
      <c r="L225" s="27">
        <v>174862</v>
      </c>
      <c r="M225" s="26">
        <v>140512</v>
      </c>
      <c r="N225" s="26">
        <v>15155</v>
      </c>
      <c r="O225" s="27">
        <v>155667</v>
      </c>
      <c r="P225" s="26">
        <v>152655</v>
      </c>
      <c r="Q225" s="26">
        <v>14429</v>
      </c>
      <c r="R225" s="27">
        <v>167084</v>
      </c>
      <c r="S225" s="26">
        <v>153646</v>
      </c>
      <c r="T225" s="26">
        <v>17778</v>
      </c>
      <c r="U225" s="27">
        <v>171424</v>
      </c>
      <c r="V225" s="26">
        <v>130828</v>
      </c>
      <c r="W225" s="26">
        <v>18026</v>
      </c>
      <c r="X225" s="31">
        <v>148854</v>
      </c>
      <c r="Y225" s="16">
        <v>132986</v>
      </c>
      <c r="Z225" s="16">
        <v>18827</v>
      </c>
      <c r="AA225" s="31">
        <v>151813</v>
      </c>
      <c r="AB225" s="32">
        <v>132405</v>
      </c>
      <c r="AC225" s="16">
        <v>17237</v>
      </c>
      <c r="AD225" s="31">
        <v>149642</v>
      </c>
      <c r="AE225" s="16">
        <v>140149</v>
      </c>
      <c r="AF225" s="16">
        <v>14587</v>
      </c>
      <c r="AG225" s="31">
        <v>154736</v>
      </c>
      <c r="AH225" s="16">
        <v>125071</v>
      </c>
      <c r="AI225" s="16">
        <v>13413</v>
      </c>
      <c r="AJ225" s="31">
        <v>138484</v>
      </c>
      <c r="AK225" s="16">
        <v>129569</v>
      </c>
      <c r="AL225" s="16">
        <v>15373</v>
      </c>
      <c r="AM225" s="31">
        <v>144942</v>
      </c>
      <c r="AN225" s="16">
        <v>156600</v>
      </c>
      <c r="AO225" s="16">
        <v>9116</v>
      </c>
      <c r="AP225" s="31">
        <v>165716</v>
      </c>
      <c r="AQ225" s="42"/>
      <c r="AR225" s="43"/>
      <c r="AS225" s="42"/>
      <c r="AT225" s="42"/>
    </row>
    <row r="226" spans="1:46" ht="12.9" customHeight="1" x14ac:dyDescent="0.25">
      <c r="A226" s="28" t="s">
        <v>482</v>
      </c>
      <c r="B226" s="29" t="s">
        <v>483</v>
      </c>
      <c r="C226" s="30" t="s">
        <v>191</v>
      </c>
      <c r="D226" s="40">
        <v>61014</v>
      </c>
      <c r="E226" s="26">
        <v>25197</v>
      </c>
      <c r="F226" s="26">
        <f t="shared" si="6"/>
        <v>86211</v>
      </c>
      <c r="G226" s="40">
        <v>62454</v>
      </c>
      <c r="H226" s="26">
        <v>25675</v>
      </c>
      <c r="I226" s="27">
        <f t="shared" si="7"/>
        <v>88129</v>
      </c>
      <c r="J226" s="40">
        <v>61764</v>
      </c>
      <c r="K226" s="26">
        <v>23816</v>
      </c>
      <c r="L226" s="27">
        <v>85580</v>
      </c>
      <c r="M226" s="26">
        <v>62455</v>
      </c>
      <c r="N226" s="26">
        <v>21314</v>
      </c>
      <c r="O226" s="27">
        <v>83769</v>
      </c>
      <c r="P226" s="26">
        <v>64221</v>
      </c>
      <c r="Q226" s="26">
        <v>20666</v>
      </c>
      <c r="R226" s="27">
        <v>84887</v>
      </c>
      <c r="S226" s="26">
        <v>57506</v>
      </c>
      <c r="T226" s="26">
        <v>19116</v>
      </c>
      <c r="U226" s="27">
        <v>76622</v>
      </c>
      <c r="V226" s="26">
        <v>56227</v>
      </c>
      <c r="W226" s="26">
        <v>20448</v>
      </c>
      <c r="X226" s="31">
        <v>76675</v>
      </c>
      <c r="Y226" s="16">
        <v>55560</v>
      </c>
      <c r="Z226" s="16">
        <v>23119</v>
      </c>
      <c r="AA226" s="31">
        <v>78679</v>
      </c>
      <c r="AB226" s="32">
        <v>54092</v>
      </c>
      <c r="AC226" s="16">
        <v>21680</v>
      </c>
      <c r="AD226" s="31">
        <v>75772</v>
      </c>
      <c r="AE226" s="16">
        <v>54584</v>
      </c>
      <c r="AF226" s="16">
        <v>22376</v>
      </c>
      <c r="AG226" s="31">
        <v>76960</v>
      </c>
      <c r="AH226" s="16">
        <v>52024</v>
      </c>
      <c r="AI226" s="16">
        <v>32527</v>
      </c>
      <c r="AJ226" s="31">
        <v>84551</v>
      </c>
      <c r="AK226" s="16">
        <v>51494.580559254326</v>
      </c>
      <c r="AL226" s="16">
        <v>25050.792243767311</v>
      </c>
      <c r="AM226" s="31">
        <v>76545.37280302163</v>
      </c>
      <c r="AN226" s="16">
        <v>48475</v>
      </c>
      <c r="AO226" s="16">
        <v>19864</v>
      </c>
      <c r="AP226" s="31">
        <v>68339</v>
      </c>
      <c r="AQ226" s="42"/>
      <c r="AR226" s="43"/>
      <c r="AS226" s="42"/>
      <c r="AT226" s="42"/>
    </row>
    <row r="227" spans="1:46" ht="12.9" customHeight="1" x14ac:dyDescent="0.25">
      <c r="A227" s="28" t="s">
        <v>484</v>
      </c>
      <c r="B227" s="29" t="s">
        <v>485</v>
      </c>
      <c r="C227" s="30" t="s">
        <v>11</v>
      </c>
      <c r="D227" s="40">
        <v>87698</v>
      </c>
      <c r="E227" s="26">
        <v>55224</v>
      </c>
      <c r="F227" s="26">
        <f t="shared" si="6"/>
        <v>142922</v>
      </c>
      <c r="G227" s="40">
        <v>93357</v>
      </c>
      <c r="H227" s="26">
        <v>64819</v>
      </c>
      <c r="I227" s="27">
        <f t="shared" si="7"/>
        <v>158176</v>
      </c>
      <c r="J227" s="40">
        <v>98939</v>
      </c>
      <c r="K227" s="26">
        <v>60815</v>
      </c>
      <c r="L227" s="27">
        <v>159754</v>
      </c>
      <c r="M227" s="26">
        <v>99732</v>
      </c>
      <c r="N227" s="26">
        <v>20808</v>
      </c>
      <c r="O227" s="27">
        <v>120540</v>
      </c>
      <c r="P227" s="26">
        <v>96395</v>
      </c>
      <c r="Q227" s="26">
        <v>54131</v>
      </c>
      <c r="R227" s="27">
        <v>150526</v>
      </c>
      <c r="S227" s="26">
        <v>119865</v>
      </c>
      <c r="T227" s="26">
        <v>69989</v>
      </c>
      <c r="U227" s="27">
        <v>189854</v>
      </c>
      <c r="V227" s="26">
        <v>110580</v>
      </c>
      <c r="W227" s="26">
        <v>75203</v>
      </c>
      <c r="X227" s="31">
        <v>185783</v>
      </c>
      <c r="Y227" s="16">
        <v>92105</v>
      </c>
      <c r="Z227" s="16">
        <v>74100</v>
      </c>
      <c r="AA227" s="31">
        <v>166205</v>
      </c>
      <c r="AB227" s="32">
        <v>91587</v>
      </c>
      <c r="AC227" s="16">
        <v>80823</v>
      </c>
      <c r="AD227" s="31">
        <v>172410</v>
      </c>
      <c r="AE227" s="16">
        <v>98375</v>
      </c>
      <c r="AF227" s="16">
        <v>74680</v>
      </c>
      <c r="AG227" s="31">
        <v>173055</v>
      </c>
      <c r="AH227" s="16">
        <v>89113</v>
      </c>
      <c r="AI227" s="16">
        <v>74359</v>
      </c>
      <c r="AJ227" s="31">
        <v>163472</v>
      </c>
      <c r="AK227" s="16">
        <v>87274</v>
      </c>
      <c r="AL227" s="16">
        <v>80649</v>
      </c>
      <c r="AM227" s="31">
        <v>167923</v>
      </c>
      <c r="AN227" s="16">
        <v>101372</v>
      </c>
      <c r="AO227" s="16">
        <v>136321</v>
      </c>
      <c r="AP227" s="31">
        <v>237693</v>
      </c>
      <c r="AQ227" s="42"/>
      <c r="AR227" s="43"/>
      <c r="AS227" s="42"/>
      <c r="AT227" s="42"/>
    </row>
    <row r="228" spans="1:46" ht="12.9" customHeight="1" x14ac:dyDescent="0.25">
      <c r="A228" s="28" t="s">
        <v>486</v>
      </c>
      <c r="B228" s="29" t="s">
        <v>487</v>
      </c>
      <c r="C228" s="30" t="s">
        <v>120</v>
      </c>
      <c r="D228" s="40">
        <v>259329</v>
      </c>
      <c r="E228" s="26">
        <v>138314</v>
      </c>
      <c r="F228" s="26">
        <f t="shared" si="6"/>
        <v>397643</v>
      </c>
      <c r="G228" s="40">
        <v>291624</v>
      </c>
      <c r="H228" s="26">
        <v>133873</v>
      </c>
      <c r="I228" s="27">
        <f t="shared" si="7"/>
        <v>425497</v>
      </c>
      <c r="J228" s="40">
        <v>285588</v>
      </c>
      <c r="K228" s="26">
        <v>153351</v>
      </c>
      <c r="L228" s="27">
        <v>438939</v>
      </c>
      <c r="M228" s="26">
        <v>296436</v>
      </c>
      <c r="N228" s="26">
        <v>120686</v>
      </c>
      <c r="O228" s="27">
        <v>417122</v>
      </c>
      <c r="P228" s="26">
        <v>317408</v>
      </c>
      <c r="Q228" s="26">
        <v>121946</v>
      </c>
      <c r="R228" s="27">
        <v>439354</v>
      </c>
      <c r="S228" s="26">
        <v>283044</v>
      </c>
      <c r="T228" s="26">
        <v>117328</v>
      </c>
      <c r="U228" s="27">
        <v>400372</v>
      </c>
      <c r="V228" s="26">
        <v>298846</v>
      </c>
      <c r="W228" s="26">
        <v>90230</v>
      </c>
      <c r="X228" s="31">
        <v>389076</v>
      </c>
      <c r="Y228" s="16">
        <v>294437</v>
      </c>
      <c r="Z228" s="16">
        <v>74705</v>
      </c>
      <c r="AA228" s="31">
        <v>369142</v>
      </c>
      <c r="AB228" s="32">
        <v>246882</v>
      </c>
      <c r="AC228" s="16">
        <v>41585</v>
      </c>
      <c r="AD228" s="31">
        <v>288467</v>
      </c>
      <c r="AE228" s="16">
        <v>252394</v>
      </c>
      <c r="AF228" s="16">
        <v>6446</v>
      </c>
      <c r="AG228" s="31">
        <v>258840</v>
      </c>
      <c r="AH228" s="16">
        <v>257386</v>
      </c>
      <c r="AI228" s="16">
        <v>7331</v>
      </c>
      <c r="AJ228" s="31">
        <v>264717</v>
      </c>
      <c r="AK228" s="16">
        <v>288219.42099999997</v>
      </c>
      <c r="AL228" s="16">
        <v>9355</v>
      </c>
      <c r="AM228" s="31">
        <v>297574.42099999997</v>
      </c>
      <c r="AN228" s="16">
        <v>290307.42099999997</v>
      </c>
      <c r="AO228" s="16">
        <v>16319</v>
      </c>
      <c r="AP228" s="31">
        <v>306626.42099999997</v>
      </c>
      <c r="AQ228" s="42"/>
      <c r="AR228" s="43"/>
      <c r="AS228" s="42"/>
      <c r="AT228" s="42"/>
    </row>
    <row r="229" spans="1:46" ht="12.9" customHeight="1" x14ac:dyDescent="0.25">
      <c r="A229" s="28" t="s">
        <v>488</v>
      </c>
      <c r="B229" s="29" t="s">
        <v>489</v>
      </c>
      <c r="C229" s="30" t="s">
        <v>39</v>
      </c>
      <c r="D229" s="40">
        <v>7626</v>
      </c>
      <c r="E229" s="26">
        <v>696</v>
      </c>
      <c r="F229" s="26">
        <f t="shared" si="6"/>
        <v>8322</v>
      </c>
      <c r="G229" s="40">
        <v>7380</v>
      </c>
      <c r="H229" s="26">
        <v>504</v>
      </c>
      <c r="I229" s="27">
        <f t="shared" si="7"/>
        <v>7884</v>
      </c>
      <c r="J229" s="40">
        <v>8118</v>
      </c>
      <c r="K229" s="26">
        <v>504</v>
      </c>
      <c r="L229" s="27">
        <v>8622</v>
      </c>
      <c r="M229" s="26">
        <v>7462</v>
      </c>
      <c r="N229" s="26">
        <v>504</v>
      </c>
      <c r="O229" s="27">
        <v>7966</v>
      </c>
      <c r="P229" s="26">
        <v>7462</v>
      </c>
      <c r="Q229" s="26">
        <v>732</v>
      </c>
      <c r="R229" s="27">
        <v>8194</v>
      </c>
      <c r="S229" s="26">
        <v>7544</v>
      </c>
      <c r="T229" s="26">
        <v>732</v>
      </c>
      <c r="U229" s="27">
        <v>8276</v>
      </c>
      <c r="V229" s="26">
        <v>7544</v>
      </c>
      <c r="W229" s="26">
        <v>732</v>
      </c>
      <c r="X229" s="31">
        <v>8276</v>
      </c>
      <c r="Y229" s="16">
        <v>8400</v>
      </c>
      <c r="Z229" s="16">
        <v>144</v>
      </c>
      <c r="AA229" s="31">
        <v>8544</v>
      </c>
      <c r="AB229" s="32">
        <v>8400</v>
      </c>
      <c r="AC229" s="16">
        <v>144</v>
      </c>
      <c r="AD229" s="31">
        <v>8544</v>
      </c>
      <c r="AE229" s="16">
        <v>8400</v>
      </c>
      <c r="AF229" s="16">
        <v>144</v>
      </c>
      <c r="AG229" s="31">
        <v>8544</v>
      </c>
      <c r="AH229" s="16">
        <v>8400</v>
      </c>
      <c r="AI229" s="16">
        <v>144</v>
      </c>
      <c r="AJ229" s="31">
        <v>8544</v>
      </c>
      <c r="AK229" s="16">
        <v>8400</v>
      </c>
      <c r="AL229" s="16">
        <v>144</v>
      </c>
      <c r="AM229" s="31">
        <v>8544</v>
      </c>
      <c r="AN229" s="16">
        <v>8400</v>
      </c>
      <c r="AO229" s="16">
        <v>144</v>
      </c>
      <c r="AP229" s="31">
        <v>8544</v>
      </c>
      <c r="AQ229" s="42"/>
      <c r="AR229" s="43"/>
      <c r="AS229" s="42"/>
      <c r="AT229" s="42"/>
    </row>
    <row r="230" spans="1:46" ht="12.9" customHeight="1" x14ac:dyDescent="0.25">
      <c r="A230" s="28" t="s">
        <v>490</v>
      </c>
      <c r="B230" s="29" t="s">
        <v>491</v>
      </c>
      <c r="C230" s="30" t="s">
        <v>123</v>
      </c>
      <c r="D230" s="40">
        <v>56381</v>
      </c>
      <c r="E230" s="26">
        <v>35541</v>
      </c>
      <c r="F230" s="26">
        <f t="shared" si="6"/>
        <v>91922</v>
      </c>
      <c r="G230" s="40">
        <v>63728</v>
      </c>
      <c r="H230" s="26">
        <v>33936</v>
      </c>
      <c r="I230" s="27">
        <f t="shared" si="7"/>
        <v>97664</v>
      </c>
      <c r="J230" s="40">
        <v>61874</v>
      </c>
      <c r="K230" s="26">
        <v>37404</v>
      </c>
      <c r="L230" s="27">
        <v>99278</v>
      </c>
      <c r="M230" s="26">
        <v>64650</v>
      </c>
      <c r="N230" s="26">
        <v>16088</v>
      </c>
      <c r="O230" s="27">
        <v>80738</v>
      </c>
      <c r="P230" s="26">
        <v>65178</v>
      </c>
      <c r="Q230" s="26">
        <v>16754</v>
      </c>
      <c r="R230" s="27">
        <v>81932</v>
      </c>
      <c r="S230" s="26">
        <v>64199</v>
      </c>
      <c r="T230" s="26">
        <v>24440</v>
      </c>
      <c r="U230" s="27">
        <v>88639</v>
      </c>
      <c r="V230" s="26">
        <v>75172</v>
      </c>
      <c r="W230" s="26">
        <v>20466</v>
      </c>
      <c r="X230" s="31">
        <v>95638</v>
      </c>
      <c r="Y230" s="16">
        <v>50935</v>
      </c>
      <c r="Z230" s="16">
        <v>13363</v>
      </c>
      <c r="AA230" s="31">
        <v>64298</v>
      </c>
      <c r="AB230" s="32">
        <v>66004</v>
      </c>
      <c r="AC230" s="16">
        <v>26345</v>
      </c>
      <c r="AD230" s="31">
        <v>92349</v>
      </c>
      <c r="AE230" s="16">
        <v>67376</v>
      </c>
      <c r="AF230" s="16">
        <v>22708</v>
      </c>
      <c r="AG230" s="31">
        <v>90084</v>
      </c>
      <c r="AH230" s="16">
        <v>63735</v>
      </c>
      <c r="AI230" s="16">
        <v>23340</v>
      </c>
      <c r="AJ230" s="31">
        <v>87075</v>
      </c>
      <c r="AK230" s="16">
        <v>65474</v>
      </c>
      <c r="AL230" s="16">
        <v>25300</v>
      </c>
      <c r="AM230" s="31">
        <v>90774</v>
      </c>
      <c r="AN230" s="16">
        <v>55104</v>
      </c>
      <c r="AO230" s="16">
        <v>22816</v>
      </c>
      <c r="AP230" s="31">
        <v>77920</v>
      </c>
      <c r="AQ230" s="42"/>
      <c r="AR230" s="43"/>
      <c r="AS230" s="42"/>
      <c r="AT230" s="42"/>
    </row>
    <row r="231" spans="1:46" ht="12.9" customHeight="1" x14ac:dyDescent="0.25">
      <c r="A231" s="28" t="s">
        <v>492</v>
      </c>
      <c r="B231" s="29" t="s">
        <v>493</v>
      </c>
      <c r="C231" s="30" t="s">
        <v>274</v>
      </c>
      <c r="D231" s="40">
        <v>234730</v>
      </c>
      <c r="E231" s="26">
        <v>632856</v>
      </c>
      <c r="F231" s="26">
        <f t="shared" si="6"/>
        <v>867586</v>
      </c>
      <c r="G231" s="40">
        <v>207553</v>
      </c>
      <c r="H231" s="26">
        <v>702675</v>
      </c>
      <c r="I231" s="27">
        <f t="shared" si="7"/>
        <v>910228</v>
      </c>
      <c r="J231" s="40">
        <v>266154</v>
      </c>
      <c r="K231" s="26">
        <v>693059</v>
      </c>
      <c r="L231" s="27">
        <v>959213</v>
      </c>
      <c r="M231" s="26">
        <v>218167</v>
      </c>
      <c r="N231" s="26">
        <v>672359</v>
      </c>
      <c r="O231" s="27">
        <v>890526</v>
      </c>
      <c r="P231" s="26">
        <v>219275</v>
      </c>
      <c r="Q231" s="26">
        <v>633080</v>
      </c>
      <c r="R231" s="27">
        <v>852355</v>
      </c>
      <c r="S231" s="26">
        <v>208709</v>
      </c>
      <c r="T231" s="26">
        <v>636971</v>
      </c>
      <c r="U231" s="27">
        <v>845680</v>
      </c>
      <c r="V231" s="26">
        <v>195807</v>
      </c>
      <c r="W231" s="26">
        <v>626628</v>
      </c>
      <c r="X231" s="31">
        <v>822435</v>
      </c>
      <c r="Y231" s="16">
        <v>209418</v>
      </c>
      <c r="Z231" s="16">
        <v>628996</v>
      </c>
      <c r="AA231" s="31">
        <v>838414</v>
      </c>
      <c r="AB231" s="32">
        <v>199177</v>
      </c>
      <c r="AC231" s="16">
        <v>591448</v>
      </c>
      <c r="AD231" s="31">
        <v>790625</v>
      </c>
      <c r="AE231" s="16">
        <v>196363</v>
      </c>
      <c r="AF231" s="16">
        <v>565752</v>
      </c>
      <c r="AG231" s="31">
        <v>762115</v>
      </c>
      <c r="AH231" s="16">
        <v>191121</v>
      </c>
      <c r="AI231" s="16">
        <v>487746</v>
      </c>
      <c r="AJ231" s="31">
        <v>678867</v>
      </c>
      <c r="AK231" s="16">
        <v>190230</v>
      </c>
      <c r="AL231" s="16">
        <v>474283</v>
      </c>
      <c r="AM231" s="31">
        <v>664513</v>
      </c>
      <c r="AN231" s="16">
        <v>204751</v>
      </c>
      <c r="AO231" s="16">
        <v>472583</v>
      </c>
      <c r="AP231" s="31">
        <v>677334</v>
      </c>
      <c r="AQ231" s="42"/>
      <c r="AR231" s="43"/>
      <c r="AS231" s="42"/>
      <c r="AT231" s="42"/>
    </row>
    <row r="232" spans="1:46" ht="12.9" customHeight="1" x14ac:dyDescent="0.25">
      <c r="A232" s="28" t="s">
        <v>494</v>
      </c>
      <c r="B232" s="29" t="s">
        <v>495</v>
      </c>
      <c r="C232" s="30" t="s">
        <v>113</v>
      </c>
      <c r="D232" s="40">
        <v>276879</v>
      </c>
      <c r="E232" s="26">
        <v>218647</v>
      </c>
      <c r="F232" s="26">
        <f t="shared" si="6"/>
        <v>495526</v>
      </c>
      <c r="G232" s="40">
        <v>282341</v>
      </c>
      <c r="H232" s="26">
        <v>211528</v>
      </c>
      <c r="I232" s="27">
        <f t="shared" si="7"/>
        <v>493869</v>
      </c>
      <c r="J232" s="40">
        <v>294775</v>
      </c>
      <c r="K232" s="26">
        <v>255925</v>
      </c>
      <c r="L232" s="27">
        <v>550700</v>
      </c>
      <c r="M232" s="26">
        <v>308932</v>
      </c>
      <c r="N232" s="26">
        <v>263092</v>
      </c>
      <c r="O232" s="27">
        <v>572024</v>
      </c>
      <c r="P232" s="26">
        <v>309838</v>
      </c>
      <c r="Q232" s="26">
        <v>261989</v>
      </c>
      <c r="R232" s="27">
        <v>571827</v>
      </c>
      <c r="S232" s="26">
        <v>286312</v>
      </c>
      <c r="T232" s="26">
        <v>297157</v>
      </c>
      <c r="U232" s="27">
        <v>583469</v>
      </c>
      <c r="V232" s="26">
        <v>278805</v>
      </c>
      <c r="W232" s="26">
        <v>307638</v>
      </c>
      <c r="X232" s="31">
        <v>586443</v>
      </c>
      <c r="Y232" s="16">
        <v>279146</v>
      </c>
      <c r="Z232" s="16">
        <v>285562</v>
      </c>
      <c r="AA232" s="31">
        <v>564708</v>
      </c>
      <c r="AB232" s="32">
        <v>273991</v>
      </c>
      <c r="AC232" s="16">
        <v>278884</v>
      </c>
      <c r="AD232" s="31">
        <v>552875</v>
      </c>
      <c r="AE232" s="16">
        <v>273043</v>
      </c>
      <c r="AF232" s="16">
        <v>260416</v>
      </c>
      <c r="AG232" s="31">
        <v>533459</v>
      </c>
      <c r="AH232" s="16">
        <v>257398</v>
      </c>
      <c r="AI232" s="16">
        <v>252709</v>
      </c>
      <c r="AJ232" s="31">
        <v>510107</v>
      </c>
      <c r="AK232" s="16">
        <v>253515</v>
      </c>
      <c r="AL232" s="16">
        <v>235663</v>
      </c>
      <c r="AM232" s="31">
        <v>489178</v>
      </c>
      <c r="AN232" s="16">
        <v>259324</v>
      </c>
      <c r="AO232" s="16">
        <v>241925</v>
      </c>
      <c r="AP232" s="31">
        <v>501249</v>
      </c>
      <c r="AQ232" s="42"/>
      <c r="AR232" s="43"/>
      <c r="AS232" s="42"/>
      <c r="AT232" s="42"/>
    </row>
    <row r="233" spans="1:46" ht="12.9" customHeight="1" x14ac:dyDescent="0.25">
      <c r="A233" s="28" t="s">
        <v>496</v>
      </c>
      <c r="B233" s="29" t="s">
        <v>497</v>
      </c>
      <c r="C233" s="30" t="s">
        <v>184</v>
      </c>
      <c r="D233" s="40">
        <v>48944</v>
      </c>
      <c r="E233" s="26">
        <v>16492</v>
      </c>
      <c r="F233" s="26">
        <f t="shared" si="6"/>
        <v>65436</v>
      </c>
      <c r="G233" s="40">
        <v>45323</v>
      </c>
      <c r="H233" s="26">
        <v>19798</v>
      </c>
      <c r="I233" s="27">
        <f t="shared" si="7"/>
        <v>65121</v>
      </c>
      <c r="J233" s="40">
        <v>47574</v>
      </c>
      <c r="K233" s="26">
        <v>25389</v>
      </c>
      <c r="L233" s="27">
        <v>72963</v>
      </c>
      <c r="M233" s="26">
        <v>49686</v>
      </c>
      <c r="N233" s="26">
        <v>26787</v>
      </c>
      <c r="O233" s="27">
        <v>76473</v>
      </c>
      <c r="P233" s="26">
        <v>49456</v>
      </c>
      <c r="Q233" s="26">
        <v>20555</v>
      </c>
      <c r="R233" s="27">
        <v>70011</v>
      </c>
      <c r="S233" s="26">
        <v>48501</v>
      </c>
      <c r="T233" s="26">
        <v>29432</v>
      </c>
      <c r="U233" s="27">
        <v>77933</v>
      </c>
      <c r="V233" s="26">
        <v>47531</v>
      </c>
      <c r="W233" s="26">
        <v>23386</v>
      </c>
      <c r="X233" s="31">
        <v>70917</v>
      </c>
      <c r="Y233" s="16">
        <v>45227</v>
      </c>
      <c r="Z233" s="16">
        <v>31301</v>
      </c>
      <c r="AA233" s="31">
        <v>76528</v>
      </c>
      <c r="AB233" s="32">
        <v>46636</v>
      </c>
      <c r="AC233" s="16">
        <v>23049</v>
      </c>
      <c r="AD233" s="31">
        <v>69685</v>
      </c>
      <c r="AE233" s="16">
        <v>47943</v>
      </c>
      <c r="AF233" s="16">
        <v>26132</v>
      </c>
      <c r="AG233" s="31">
        <v>74075</v>
      </c>
      <c r="AH233" s="16">
        <v>45456</v>
      </c>
      <c r="AI233" s="16">
        <v>16509</v>
      </c>
      <c r="AJ233" s="31">
        <v>61965</v>
      </c>
      <c r="AK233" s="16">
        <v>43930</v>
      </c>
      <c r="AL233" s="16">
        <v>23395</v>
      </c>
      <c r="AM233" s="31">
        <v>67325</v>
      </c>
      <c r="AN233" s="16">
        <v>54184</v>
      </c>
      <c r="AO233" s="16">
        <v>18324</v>
      </c>
      <c r="AP233" s="31">
        <v>72508</v>
      </c>
      <c r="AQ233" s="42"/>
      <c r="AR233" s="43"/>
      <c r="AS233" s="42"/>
      <c r="AT233" s="42"/>
    </row>
    <row r="234" spans="1:46" ht="12.9" customHeight="1" x14ac:dyDescent="0.25">
      <c r="A234" s="28" t="s">
        <v>498</v>
      </c>
      <c r="B234" s="29" t="s">
        <v>499</v>
      </c>
      <c r="C234" s="30" t="s">
        <v>197</v>
      </c>
      <c r="D234" s="40">
        <v>2071820</v>
      </c>
      <c r="E234" s="26">
        <v>1088223</v>
      </c>
      <c r="F234" s="26">
        <f t="shared" si="6"/>
        <v>3160043</v>
      </c>
      <c r="G234" s="40">
        <v>2187003</v>
      </c>
      <c r="H234" s="26">
        <v>1262699</v>
      </c>
      <c r="I234" s="27">
        <f t="shared" si="7"/>
        <v>3449702</v>
      </c>
      <c r="J234" s="40">
        <v>2335087</v>
      </c>
      <c r="K234" s="26">
        <v>1340379</v>
      </c>
      <c r="L234" s="27">
        <v>3675466</v>
      </c>
      <c r="M234" s="26">
        <v>2438329</v>
      </c>
      <c r="N234" s="26">
        <v>1376947</v>
      </c>
      <c r="O234" s="27">
        <v>3815276</v>
      </c>
      <c r="P234" s="26">
        <v>2648284</v>
      </c>
      <c r="Q234" s="26">
        <v>1245820</v>
      </c>
      <c r="R234" s="27">
        <v>3894104</v>
      </c>
      <c r="S234" s="26">
        <v>2319659</v>
      </c>
      <c r="T234" s="26">
        <v>1365853</v>
      </c>
      <c r="U234" s="27">
        <v>3685512</v>
      </c>
      <c r="V234" s="26">
        <v>2327483</v>
      </c>
      <c r="W234" s="26">
        <v>1393011</v>
      </c>
      <c r="X234" s="31">
        <v>3720494</v>
      </c>
      <c r="Y234" s="16">
        <v>2309826</v>
      </c>
      <c r="Z234" s="16">
        <v>1351728</v>
      </c>
      <c r="AA234" s="31">
        <v>3661554</v>
      </c>
      <c r="AB234" s="32">
        <v>2330813</v>
      </c>
      <c r="AC234" s="16">
        <v>1295622</v>
      </c>
      <c r="AD234" s="31">
        <v>3626435</v>
      </c>
      <c r="AE234" s="16">
        <v>2294216</v>
      </c>
      <c r="AF234" s="16">
        <v>1305301</v>
      </c>
      <c r="AG234" s="31">
        <v>3599517</v>
      </c>
      <c r="AH234" s="16">
        <v>2250197</v>
      </c>
      <c r="AI234" s="16">
        <v>1193264</v>
      </c>
      <c r="AJ234" s="31">
        <v>3443461</v>
      </c>
      <c r="AK234" s="16">
        <v>2293673</v>
      </c>
      <c r="AL234" s="16">
        <v>1180957</v>
      </c>
      <c r="AM234" s="31">
        <v>3474630</v>
      </c>
      <c r="AN234" s="16">
        <v>2424462</v>
      </c>
      <c r="AO234" s="16">
        <v>1179803</v>
      </c>
      <c r="AP234" s="31">
        <v>3604265</v>
      </c>
      <c r="AQ234" s="42"/>
      <c r="AR234" s="43"/>
      <c r="AS234" s="42"/>
      <c r="AT234" s="42"/>
    </row>
    <row r="235" spans="1:46" ht="12.9" customHeight="1" x14ac:dyDescent="0.25">
      <c r="A235" s="28" t="s">
        <v>500</v>
      </c>
      <c r="B235" s="29" t="s">
        <v>501</v>
      </c>
      <c r="C235" s="30" t="s">
        <v>11</v>
      </c>
      <c r="D235" s="40">
        <v>415471</v>
      </c>
      <c r="E235" s="26">
        <v>82439</v>
      </c>
      <c r="F235" s="26">
        <f t="shared" si="6"/>
        <v>497910</v>
      </c>
      <c r="G235" s="40">
        <v>441436</v>
      </c>
      <c r="H235" s="26">
        <v>74964</v>
      </c>
      <c r="I235" s="27">
        <f t="shared" si="7"/>
        <v>516400</v>
      </c>
      <c r="J235" s="40">
        <v>468145</v>
      </c>
      <c r="K235" s="26">
        <v>81007</v>
      </c>
      <c r="L235" s="27">
        <v>549152</v>
      </c>
      <c r="M235" s="26">
        <v>474280</v>
      </c>
      <c r="N235" s="26">
        <v>78150</v>
      </c>
      <c r="O235" s="27">
        <v>552430</v>
      </c>
      <c r="P235" s="26">
        <v>498936</v>
      </c>
      <c r="Q235" s="26">
        <v>77456</v>
      </c>
      <c r="R235" s="27">
        <v>576392</v>
      </c>
      <c r="S235" s="26">
        <v>441220</v>
      </c>
      <c r="T235" s="26">
        <v>85767</v>
      </c>
      <c r="U235" s="27">
        <v>526987</v>
      </c>
      <c r="V235" s="26">
        <v>441387</v>
      </c>
      <c r="W235" s="26">
        <v>83311</v>
      </c>
      <c r="X235" s="31">
        <v>524698</v>
      </c>
      <c r="Y235" s="16">
        <v>443401</v>
      </c>
      <c r="Z235" s="16">
        <v>86950</v>
      </c>
      <c r="AA235" s="31">
        <v>530351</v>
      </c>
      <c r="AB235" s="32">
        <v>453405.46495726495</v>
      </c>
      <c r="AC235" s="16">
        <v>92143</v>
      </c>
      <c r="AD235" s="31">
        <v>545548.46495726495</v>
      </c>
      <c r="AE235" s="16">
        <v>388889</v>
      </c>
      <c r="AF235" s="16">
        <v>82681</v>
      </c>
      <c r="AG235" s="31">
        <v>471570</v>
      </c>
      <c r="AH235" s="16">
        <v>442654</v>
      </c>
      <c r="AI235" s="16">
        <v>91991</v>
      </c>
      <c r="AJ235" s="31">
        <v>534645</v>
      </c>
      <c r="AK235" s="16">
        <v>435547.00122127234</v>
      </c>
      <c r="AL235" s="16">
        <v>108049</v>
      </c>
      <c r="AM235" s="31">
        <v>543596.0012212724</v>
      </c>
      <c r="AN235" s="16">
        <v>467769</v>
      </c>
      <c r="AO235" s="16">
        <v>112725</v>
      </c>
      <c r="AP235" s="31">
        <v>580494</v>
      </c>
      <c r="AQ235" s="42"/>
      <c r="AR235" s="43"/>
      <c r="AS235" s="42"/>
      <c r="AT235" s="42"/>
    </row>
    <row r="236" spans="1:46" ht="12.9" customHeight="1" x14ac:dyDescent="0.25">
      <c r="A236" s="28" t="s">
        <v>502</v>
      </c>
      <c r="B236" s="29" t="s">
        <v>503</v>
      </c>
      <c r="C236" s="30" t="s">
        <v>281</v>
      </c>
      <c r="D236" s="40">
        <v>333006</v>
      </c>
      <c r="E236" s="26">
        <v>180152</v>
      </c>
      <c r="F236" s="26">
        <f t="shared" si="6"/>
        <v>513158</v>
      </c>
      <c r="G236" s="40">
        <v>334305</v>
      </c>
      <c r="H236" s="26">
        <v>181167</v>
      </c>
      <c r="I236" s="27">
        <f t="shared" si="7"/>
        <v>515472</v>
      </c>
      <c r="J236" s="40">
        <v>385145</v>
      </c>
      <c r="K236" s="26">
        <v>213562</v>
      </c>
      <c r="L236" s="27">
        <v>598707</v>
      </c>
      <c r="M236" s="26">
        <v>325093</v>
      </c>
      <c r="N236" s="26">
        <v>167629</v>
      </c>
      <c r="O236" s="27">
        <v>492722</v>
      </c>
      <c r="P236" s="26">
        <v>368145</v>
      </c>
      <c r="Q236" s="26">
        <v>156085</v>
      </c>
      <c r="R236" s="27">
        <v>524230</v>
      </c>
      <c r="S236" s="26">
        <v>339191</v>
      </c>
      <c r="T236" s="26">
        <v>172533</v>
      </c>
      <c r="U236" s="27">
        <v>511724</v>
      </c>
      <c r="V236" s="26">
        <v>313076</v>
      </c>
      <c r="W236" s="26">
        <v>179797</v>
      </c>
      <c r="X236" s="31">
        <v>492873</v>
      </c>
      <c r="Y236" s="16">
        <v>350248</v>
      </c>
      <c r="Z236" s="16">
        <v>172212</v>
      </c>
      <c r="AA236" s="31">
        <v>522460</v>
      </c>
      <c r="AB236" s="32">
        <v>289533</v>
      </c>
      <c r="AC236" s="16">
        <v>148077</v>
      </c>
      <c r="AD236" s="31">
        <v>437610</v>
      </c>
      <c r="AE236" s="16">
        <v>297568</v>
      </c>
      <c r="AF236" s="16">
        <v>221336</v>
      </c>
      <c r="AG236" s="31">
        <v>518904</v>
      </c>
      <c r="AH236" s="16">
        <v>297568</v>
      </c>
      <c r="AI236" s="16">
        <v>173904</v>
      </c>
      <c r="AJ236" s="31">
        <v>471472</v>
      </c>
      <c r="AK236" s="16">
        <v>292415</v>
      </c>
      <c r="AL236" s="16">
        <v>156721</v>
      </c>
      <c r="AM236" s="31">
        <v>449136</v>
      </c>
      <c r="AN236" s="16">
        <v>309662</v>
      </c>
      <c r="AO236" s="16">
        <v>168630</v>
      </c>
      <c r="AP236" s="31">
        <v>478292</v>
      </c>
      <c r="AQ236" s="42"/>
      <c r="AR236" s="43"/>
      <c r="AS236" s="42"/>
      <c r="AT236" s="42"/>
    </row>
    <row r="237" spans="1:46" ht="12.9" customHeight="1" x14ac:dyDescent="0.25">
      <c r="A237" s="28" t="s">
        <v>504</v>
      </c>
      <c r="B237" s="29" t="s">
        <v>505</v>
      </c>
      <c r="C237" s="30" t="s">
        <v>42</v>
      </c>
      <c r="D237" s="40">
        <v>25386</v>
      </c>
      <c r="E237" s="26">
        <v>1121</v>
      </c>
      <c r="F237" s="26">
        <f t="shared" si="6"/>
        <v>26507</v>
      </c>
      <c r="G237" s="40">
        <v>24590</v>
      </c>
      <c r="H237" s="26">
        <v>1038</v>
      </c>
      <c r="I237" s="27">
        <f t="shared" si="7"/>
        <v>25628</v>
      </c>
      <c r="J237" s="40">
        <v>26176</v>
      </c>
      <c r="K237" s="26">
        <v>1530</v>
      </c>
      <c r="L237" s="27">
        <v>27706</v>
      </c>
      <c r="M237" s="26">
        <v>27643</v>
      </c>
      <c r="N237" s="26">
        <v>2048</v>
      </c>
      <c r="O237" s="27">
        <v>29691</v>
      </c>
      <c r="P237" s="26">
        <v>26156</v>
      </c>
      <c r="Q237" s="26">
        <v>1137</v>
      </c>
      <c r="R237" s="27">
        <v>27293</v>
      </c>
      <c r="S237" s="26">
        <v>26156</v>
      </c>
      <c r="T237" s="26">
        <v>1137</v>
      </c>
      <c r="U237" s="27">
        <v>27293</v>
      </c>
      <c r="V237" s="26">
        <v>24530</v>
      </c>
      <c r="W237" s="26">
        <v>1235</v>
      </c>
      <c r="X237" s="31">
        <v>25765</v>
      </c>
      <c r="Y237" s="16">
        <v>25633</v>
      </c>
      <c r="Z237" s="16">
        <v>1492</v>
      </c>
      <c r="AA237" s="31">
        <v>27125</v>
      </c>
      <c r="AB237" s="32">
        <v>25959</v>
      </c>
      <c r="AC237" s="16">
        <v>1438</v>
      </c>
      <c r="AD237" s="31">
        <v>27397</v>
      </c>
      <c r="AE237" s="16">
        <v>24748</v>
      </c>
      <c r="AF237" s="16">
        <v>2105</v>
      </c>
      <c r="AG237" s="31">
        <v>26853</v>
      </c>
      <c r="AH237" s="16">
        <v>24995</v>
      </c>
      <c r="AI237" s="16">
        <v>3495</v>
      </c>
      <c r="AJ237" s="31">
        <v>28490</v>
      </c>
      <c r="AK237" s="16">
        <v>25761</v>
      </c>
      <c r="AL237" s="16">
        <v>1821</v>
      </c>
      <c r="AM237" s="31">
        <v>27582</v>
      </c>
      <c r="AN237" s="16">
        <v>28754</v>
      </c>
      <c r="AO237" s="16">
        <v>1081</v>
      </c>
      <c r="AP237" s="31">
        <v>29835</v>
      </c>
      <c r="AQ237" s="42"/>
      <c r="AR237" s="43"/>
      <c r="AS237" s="42"/>
      <c r="AT237" s="42"/>
    </row>
    <row r="238" spans="1:46" ht="12.9" customHeight="1" x14ac:dyDescent="0.25">
      <c r="A238" s="28" t="s">
        <v>506</v>
      </c>
      <c r="B238" s="29" t="s">
        <v>507</v>
      </c>
      <c r="C238" s="30" t="s">
        <v>274</v>
      </c>
      <c r="D238" s="40">
        <v>46874</v>
      </c>
      <c r="E238" s="26">
        <v>400101</v>
      </c>
      <c r="F238" s="26">
        <f t="shared" si="6"/>
        <v>446975</v>
      </c>
      <c r="G238" s="40">
        <v>41307</v>
      </c>
      <c r="H238" s="26">
        <v>410505</v>
      </c>
      <c r="I238" s="27">
        <f t="shared" si="7"/>
        <v>451812</v>
      </c>
      <c r="J238" s="40">
        <v>48593</v>
      </c>
      <c r="K238" s="26">
        <v>453193</v>
      </c>
      <c r="L238" s="27">
        <v>501786</v>
      </c>
      <c r="M238" s="26">
        <v>48391</v>
      </c>
      <c r="N238" s="26">
        <v>476306</v>
      </c>
      <c r="O238" s="27">
        <v>524697</v>
      </c>
      <c r="P238" s="26">
        <v>60678</v>
      </c>
      <c r="Q238" s="26">
        <v>408033</v>
      </c>
      <c r="R238" s="27">
        <v>468711</v>
      </c>
      <c r="S238" s="26">
        <v>47701</v>
      </c>
      <c r="T238" s="26">
        <v>397260</v>
      </c>
      <c r="U238" s="27">
        <v>444961</v>
      </c>
      <c r="V238" s="26">
        <v>44598</v>
      </c>
      <c r="W238" s="26">
        <v>392917</v>
      </c>
      <c r="X238" s="31">
        <v>437515</v>
      </c>
      <c r="Y238" s="16">
        <v>50260</v>
      </c>
      <c r="Z238" s="16">
        <v>325112</v>
      </c>
      <c r="AA238" s="31">
        <v>375372</v>
      </c>
      <c r="AB238" s="32">
        <v>46730</v>
      </c>
      <c r="AC238" s="16">
        <v>310586</v>
      </c>
      <c r="AD238" s="31">
        <v>357316</v>
      </c>
      <c r="AE238" s="16">
        <v>47891</v>
      </c>
      <c r="AF238" s="16">
        <v>248230</v>
      </c>
      <c r="AG238" s="31">
        <v>296121</v>
      </c>
      <c r="AH238" s="16">
        <v>43191</v>
      </c>
      <c r="AI238" s="16">
        <v>226596</v>
      </c>
      <c r="AJ238" s="31">
        <v>269787</v>
      </c>
      <c r="AK238" s="16">
        <v>37794</v>
      </c>
      <c r="AL238" s="16">
        <v>290539</v>
      </c>
      <c r="AM238" s="31">
        <v>328333</v>
      </c>
      <c r="AN238" s="16">
        <v>26786</v>
      </c>
      <c r="AO238" s="16">
        <v>263978</v>
      </c>
      <c r="AP238" s="31">
        <v>290764</v>
      </c>
      <c r="AQ238" s="42"/>
      <c r="AR238" s="43"/>
      <c r="AS238" s="42"/>
      <c r="AT238" s="42"/>
    </row>
    <row r="239" spans="1:46" ht="12.9" customHeight="1" x14ac:dyDescent="0.25">
      <c r="A239" s="28" t="s">
        <v>508</v>
      </c>
      <c r="B239" s="29" t="s">
        <v>509</v>
      </c>
      <c r="C239" s="30" t="s">
        <v>23</v>
      </c>
      <c r="D239" s="40">
        <v>12346</v>
      </c>
      <c r="E239" s="26">
        <v>23700</v>
      </c>
      <c r="F239" s="26">
        <f t="shared" si="6"/>
        <v>36046</v>
      </c>
      <c r="G239" s="40">
        <v>11616</v>
      </c>
      <c r="H239" s="26">
        <v>33071</v>
      </c>
      <c r="I239" s="27">
        <f t="shared" si="7"/>
        <v>44687</v>
      </c>
      <c r="J239" s="40">
        <v>16731</v>
      </c>
      <c r="K239" s="26">
        <v>30411</v>
      </c>
      <c r="L239" s="27">
        <v>47142</v>
      </c>
      <c r="M239" s="26">
        <v>15956</v>
      </c>
      <c r="N239" s="26">
        <v>28811</v>
      </c>
      <c r="O239" s="27">
        <v>44767</v>
      </c>
      <c r="P239" s="26">
        <v>13784</v>
      </c>
      <c r="Q239" s="26">
        <v>17735</v>
      </c>
      <c r="R239" s="27">
        <v>31519</v>
      </c>
      <c r="S239" s="26">
        <v>16274</v>
      </c>
      <c r="T239" s="26">
        <v>13699</v>
      </c>
      <c r="U239" s="27">
        <v>29973</v>
      </c>
      <c r="V239" s="26">
        <v>11760</v>
      </c>
      <c r="W239" s="26">
        <v>19890</v>
      </c>
      <c r="X239" s="31">
        <v>31650</v>
      </c>
      <c r="Y239" s="16">
        <v>13366</v>
      </c>
      <c r="Z239" s="16">
        <v>17877</v>
      </c>
      <c r="AA239" s="31">
        <v>31243</v>
      </c>
      <c r="AB239" s="32">
        <v>12795</v>
      </c>
      <c r="AC239" s="16">
        <v>16420</v>
      </c>
      <c r="AD239" s="31">
        <v>29215</v>
      </c>
      <c r="AE239" s="16">
        <v>12789</v>
      </c>
      <c r="AF239" s="16">
        <v>16281</v>
      </c>
      <c r="AG239" s="31">
        <v>29070</v>
      </c>
      <c r="AH239" s="16">
        <v>13831</v>
      </c>
      <c r="AI239" s="16">
        <v>1691</v>
      </c>
      <c r="AJ239" s="31">
        <v>15522</v>
      </c>
      <c r="AK239" s="16">
        <v>14041</v>
      </c>
      <c r="AL239" s="16">
        <v>12404</v>
      </c>
      <c r="AM239" s="31">
        <v>26445</v>
      </c>
      <c r="AN239" s="16">
        <v>17487</v>
      </c>
      <c r="AO239" s="16">
        <v>415</v>
      </c>
      <c r="AP239" s="31">
        <v>17902</v>
      </c>
      <c r="AQ239" s="42"/>
      <c r="AR239" s="43"/>
      <c r="AS239" s="42"/>
      <c r="AT239" s="42"/>
    </row>
    <row r="240" spans="1:46" ht="12.9" customHeight="1" x14ac:dyDescent="0.25">
      <c r="A240" s="28" t="s">
        <v>510</v>
      </c>
      <c r="B240" s="29" t="s">
        <v>511</v>
      </c>
      <c r="C240" s="30" t="s">
        <v>17</v>
      </c>
      <c r="D240" s="40">
        <v>6745</v>
      </c>
      <c r="E240" s="26">
        <v>8425</v>
      </c>
      <c r="F240" s="26">
        <f t="shared" si="6"/>
        <v>15170</v>
      </c>
      <c r="G240" s="40">
        <v>7441</v>
      </c>
      <c r="H240" s="26">
        <v>8427</v>
      </c>
      <c r="I240" s="27">
        <f t="shared" si="7"/>
        <v>15868</v>
      </c>
      <c r="J240" s="40">
        <v>8098</v>
      </c>
      <c r="K240" s="26">
        <v>7578</v>
      </c>
      <c r="L240" s="27">
        <v>15676</v>
      </c>
      <c r="M240" s="26">
        <v>7826</v>
      </c>
      <c r="N240" s="26">
        <v>9848</v>
      </c>
      <c r="O240" s="27">
        <v>17674</v>
      </c>
      <c r="P240" s="26">
        <v>7445</v>
      </c>
      <c r="Q240" s="26">
        <v>9853</v>
      </c>
      <c r="R240" s="27">
        <v>17298</v>
      </c>
      <c r="S240" s="26">
        <v>7224</v>
      </c>
      <c r="T240" s="26">
        <v>11077</v>
      </c>
      <c r="U240" s="27">
        <v>18301</v>
      </c>
      <c r="V240" s="26">
        <v>7666</v>
      </c>
      <c r="W240" s="26">
        <v>1066</v>
      </c>
      <c r="X240" s="31">
        <v>8732</v>
      </c>
      <c r="Y240" s="16">
        <v>8032</v>
      </c>
      <c r="Z240" s="16">
        <v>1083</v>
      </c>
      <c r="AA240" s="31">
        <v>9115</v>
      </c>
      <c r="AB240" s="32">
        <v>8782.6666666666661</v>
      </c>
      <c r="AC240" s="16">
        <v>1369</v>
      </c>
      <c r="AD240" s="31">
        <v>10151.666666666666</v>
      </c>
      <c r="AE240" s="16">
        <v>8109</v>
      </c>
      <c r="AF240" s="16">
        <v>1696</v>
      </c>
      <c r="AG240" s="31">
        <v>9805</v>
      </c>
      <c r="AH240" s="16">
        <v>7726</v>
      </c>
      <c r="AI240" s="16">
        <v>7400</v>
      </c>
      <c r="AJ240" s="31">
        <v>15126</v>
      </c>
      <c r="AK240" s="16">
        <v>13942</v>
      </c>
      <c r="AL240" s="16">
        <v>20235</v>
      </c>
      <c r="AM240" s="31">
        <v>34177</v>
      </c>
      <c r="AN240" s="16">
        <v>13942</v>
      </c>
      <c r="AO240" s="16">
        <v>20235</v>
      </c>
      <c r="AP240" s="31">
        <v>34177</v>
      </c>
      <c r="AQ240" s="42"/>
      <c r="AR240" s="43"/>
      <c r="AS240" s="42"/>
      <c r="AT240" s="42"/>
    </row>
    <row r="241" spans="1:46" ht="12.9" customHeight="1" x14ac:dyDescent="0.25">
      <c r="A241" s="28" t="s">
        <v>512</v>
      </c>
      <c r="B241" s="29" t="s">
        <v>513</v>
      </c>
      <c r="C241" s="30" t="s">
        <v>438</v>
      </c>
      <c r="D241" s="40">
        <v>2660</v>
      </c>
      <c r="E241" s="26">
        <v>19969</v>
      </c>
      <c r="F241" s="26">
        <f t="shared" si="6"/>
        <v>22629</v>
      </c>
      <c r="G241" s="40">
        <v>2794</v>
      </c>
      <c r="H241" s="26">
        <v>22476</v>
      </c>
      <c r="I241" s="27">
        <f t="shared" si="7"/>
        <v>25270</v>
      </c>
      <c r="J241" s="40">
        <v>2794</v>
      </c>
      <c r="K241" s="26">
        <v>21947</v>
      </c>
      <c r="L241" s="27">
        <v>24741</v>
      </c>
      <c r="M241" s="26">
        <v>2530</v>
      </c>
      <c r="N241" s="26">
        <v>32794</v>
      </c>
      <c r="O241" s="27">
        <v>35324</v>
      </c>
      <c r="P241" s="26">
        <v>2530</v>
      </c>
      <c r="Q241" s="26">
        <v>15335</v>
      </c>
      <c r="R241" s="27">
        <v>17865</v>
      </c>
      <c r="S241" s="26">
        <v>2530</v>
      </c>
      <c r="T241" s="26">
        <v>30192</v>
      </c>
      <c r="U241" s="27">
        <v>32722</v>
      </c>
      <c r="V241" s="26">
        <v>2518</v>
      </c>
      <c r="W241" s="26">
        <v>32534</v>
      </c>
      <c r="X241" s="31">
        <v>35052</v>
      </c>
      <c r="Y241" s="16">
        <v>2411</v>
      </c>
      <c r="Z241" s="16">
        <v>29788</v>
      </c>
      <c r="AA241" s="31">
        <v>32199</v>
      </c>
      <c r="AB241" s="32">
        <v>2498</v>
      </c>
      <c r="AC241" s="16">
        <v>37695</v>
      </c>
      <c r="AD241" s="31">
        <v>40193</v>
      </c>
      <c r="AE241" s="16">
        <v>2498</v>
      </c>
      <c r="AF241" s="16">
        <v>34987</v>
      </c>
      <c r="AG241" s="31">
        <v>37485</v>
      </c>
      <c r="AH241" s="16">
        <v>2532</v>
      </c>
      <c r="AI241" s="16">
        <v>59084</v>
      </c>
      <c r="AJ241" s="31">
        <v>61616</v>
      </c>
      <c r="AK241" s="16">
        <v>2519</v>
      </c>
      <c r="AL241" s="16">
        <v>39747</v>
      </c>
      <c r="AM241" s="31">
        <v>42266</v>
      </c>
      <c r="AN241" s="16">
        <v>2677</v>
      </c>
      <c r="AO241" s="16">
        <v>26741</v>
      </c>
      <c r="AP241" s="31">
        <v>29418</v>
      </c>
      <c r="AQ241" s="42"/>
      <c r="AR241" s="43"/>
      <c r="AS241" s="42"/>
      <c r="AT241" s="42"/>
    </row>
    <row r="242" spans="1:46" ht="12.9" customHeight="1" x14ac:dyDescent="0.25">
      <c r="A242" s="28" t="s">
        <v>514</v>
      </c>
      <c r="B242" s="29" t="s">
        <v>515</v>
      </c>
      <c r="C242" s="30" t="s">
        <v>42</v>
      </c>
      <c r="D242" s="40">
        <v>6231</v>
      </c>
      <c r="E242" s="26">
        <v>4914</v>
      </c>
      <c r="F242" s="26">
        <f t="shared" si="6"/>
        <v>11145</v>
      </c>
      <c r="G242" s="40">
        <v>5240</v>
      </c>
      <c r="H242" s="26">
        <v>3591.333333333333</v>
      </c>
      <c r="I242" s="27">
        <f t="shared" si="7"/>
        <v>8831.3333333333321</v>
      </c>
      <c r="J242" s="40">
        <v>5735</v>
      </c>
      <c r="K242" s="26">
        <v>4315</v>
      </c>
      <c r="L242" s="27">
        <v>10050</v>
      </c>
      <c r="M242" s="26">
        <v>5235</v>
      </c>
      <c r="N242" s="26">
        <v>4812</v>
      </c>
      <c r="O242" s="27">
        <v>10047</v>
      </c>
      <c r="P242" s="26">
        <v>5899</v>
      </c>
      <c r="Q242" s="26">
        <v>4881</v>
      </c>
      <c r="R242" s="27">
        <v>10780</v>
      </c>
      <c r="S242" s="26">
        <v>6818</v>
      </c>
      <c r="T242" s="26">
        <v>3691</v>
      </c>
      <c r="U242" s="27">
        <v>10509</v>
      </c>
      <c r="V242" s="26">
        <v>7211</v>
      </c>
      <c r="W242" s="26">
        <v>4720</v>
      </c>
      <c r="X242" s="31">
        <v>11931</v>
      </c>
      <c r="Y242" s="16">
        <v>7737</v>
      </c>
      <c r="Z242" s="16">
        <v>5591</v>
      </c>
      <c r="AA242" s="31">
        <v>13328</v>
      </c>
      <c r="AB242" s="32">
        <v>8249</v>
      </c>
      <c r="AC242" s="16">
        <v>5033</v>
      </c>
      <c r="AD242" s="31">
        <v>13282</v>
      </c>
      <c r="AE242" s="16">
        <v>8391</v>
      </c>
      <c r="AF242" s="16">
        <v>4572</v>
      </c>
      <c r="AG242" s="31">
        <v>12963</v>
      </c>
      <c r="AH242" s="16">
        <v>8046</v>
      </c>
      <c r="AI242" s="16">
        <v>7296</v>
      </c>
      <c r="AJ242" s="31">
        <v>15342</v>
      </c>
      <c r="AK242" s="16">
        <v>7274</v>
      </c>
      <c r="AL242" s="16">
        <v>1707</v>
      </c>
      <c r="AM242" s="31">
        <v>8981</v>
      </c>
      <c r="AN242" s="16">
        <v>7675</v>
      </c>
      <c r="AO242" s="16">
        <v>6279</v>
      </c>
      <c r="AP242" s="31">
        <v>13954</v>
      </c>
      <c r="AQ242" s="42"/>
      <c r="AR242" s="43"/>
      <c r="AS242" s="42"/>
      <c r="AT242" s="42"/>
    </row>
    <row r="243" spans="1:46" ht="12.9" customHeight="1" x14ac:dyDescent="0.25">
      <c r="A243" s="28" t="s">
        <v>516</v>
      </c>
      <c r="B243" s="29" t="s">
        <v>517</v>
      </c>
      <c r="C243" s="30" t="s">
        <v>23</v>
      </c>
      <c r="D243" s="40">
        <v>41846</v>
      </c>
      <c r="E243" s="26">
        <v>8653</v>
      </c>
      <c r="F243" s="26">
        <f t="shared" si="6"/>
        <v>50499</v>
      </c>
      <c r="G243" s="40">
        <v>44553</v>
      </c>
      <c r="H243" s="26">
        <v>11051</v>
      </c>
      <c r="I243" s="27">
        <f t="shared" si="7"/>
        <v>55604</v>
      </c>
      <c r="J243" s="40">
        <v>46071</v>
      </c>
      <c r="K243" s="26">
        <v>20864</v>
      </c>
      <c r="L243" s="27">
        <v>66935</v>
      </c>
      <c r="M243" s="26">
        <v>50681</v>
      </c>
      <c r="N243" s="26">
        <v>7655</v>
      </c>
      <c r="O243" s="27">
        <v>58336</v>
      </c>
      <c r="P243" s="26">
        <v>52316</v>
      </c>
      <c r="Q243" s="26">
        <v>8225</v>
      </c>
      <c r="R243" s="27">
        <v>60541</v>
      </c>
      <c r="S243" s="26">
        <v>44251</v>
      </c>
      <c r="T243" s="26">
        <v>9621</v>
      </c>
      <c r="U243" s="27">
        <v>53872</v>
      </c>
      <c r="V243" s="26">
        <v>43113</v>
      </c>
      <c r="W243" s="26">
        <v>10734</v>
      </c>
      <c r="X243" s="31">
        <v>53847</v>
      </c>
      <c r="Y243" s="16">
        <v>47564</v>
      </c>
      <c r="Z243" s="16">
        <v>7935</v>
      </c>
      <c r="AA243" s="31">
        <v>55499</v>
      </c>
      <c r="AB243" s="32">
        <v>45995</v>
      </c>
      <c r="AC243" s="16">
        <v>18758</v>
      </c>
      <c r="AD243" s="31">
        <v>64753</v>
      </c>
      <c r="AE243" s="16">
        <v>47081</v>
      </c>
      <c r="AF243" s="16">
        <v>12633</v>
      </c>
      <c r="AG243" s="31">
        <v>59714</v>
      </c>
      <c r="AH243" s="16">
        <v>46821</v>
      </c>
      <c r="AI243" s="16">
        <v>7993</v>
      </c>
      <c r="AJ243" s="31">
        <v>54814</v>
      </c>
      <c r="AK243" s="16">
        <v>48608</v>
      </c>
      <c r="AL243" s="16">
        <v>11781</v>
      </c>
      <c r="AM243" s="31">
        <v>60389</v>
      </c>
      <c r="AN243" s="16">
        <v>48278</v>
      </c>
      <c r="AO243" s="16">
        <v>8161</v>
      </c>
      <c r="AP243" s="31">
        <v>56439</v>
      </c>
      <c r="AQ243" s="42"/>
      <c r="AR243" s="43"/>
      <c r="AS243" s="42"/>
      <c r="AT243" s="42"/>
    </row>
    <row r="244" spans="1:46" ht="12.9" customHeight="1" x14ac:dyDescent="0.25">
      <c r="A244" s="28" t="s">
        <v>518</v>
      </c>
      <c r="B244" s="29" t="s">
        <v>519</v>
      </c>
      <c r="C244" s="30" t="s">
        <v>39</v>
      </c>
      <c r="D244" s="40">
        <v>21197</v>
      </c>
      <c r="E244" s="26">
        <v>4006</v>
      </c>
      <c r="F244" s="26">
        <f t="shared" si="6"/>
        <v>25203</v>
      </c>
      <c r="G244" s="40">
        <v>26732</v>
      </c>
      <c r="H244" s="26">
        <v>5038</v>
      </c>
      <c r="I244" s="27">
        <f t="shared" si="7"/>
        <v>31770</v>
      </c>
      <c r="J244" s="40">
        <v>24885</v>
      </c>
      <c r="K244" s="26">
        <v>4825</v>
      </c>
      <c r="L244" s="27">
        <v>29710</v>
      </c>
      <c r="M244" s="26">
        <v>23844</v>
      </c>
      <c r="N244" s="26">
        <v>5433</v>
      </c>
      <c r="O244" s="27">
        <v>29277</v>
      </c>
      <c r="P244" s="26">
        <v>19925</v>
      </c>
      <c r="Q244" s="26">
        <v>5568</v>
      </c>
      <c r="R244" s="27">
        <v>25493</v>
      </c>
      <c r="S244" s="26">
        <v>23387</v>
      </c>
      <c r="T244" s="26">
        <v>6014</v>
      </c>
      <c r="U244" s="27">
        <v>29401</v>
      </c>
      <c r="V244" s="26">
        <v>20824</v>
      </c>
      <c r="W244" s="26">
        <v>4634</v>
      </c>
      <c r="X244" s="31">
        <v>25458</v>
      </c>
      <c r="Y244" s="16">
        <v>22999</v>
      </c>
      <c r="Z244" s="16">
        <v>4238</v>
      </c>
      <c r="AA244" s="31">
        <v>27237</v>
      </c>
      <c r="AB244" s="32">
        <v>22161</v>
      </c>
      <c r="AC244" s="16">
        <v>4900</v>
      </c>
      <c r="AD244" s="31">
        <v>27061</v>
      </c>
      <c r="AE244" s="16">
        <v>21226</v>
      </c>
      <c r="AF244" s="16">
        <v>5083</v>
      </c>
      <c r="AG244" s="31">
        <v>26309</v>
      </c>
      <c r="AH244" s="16">
        <v>24188</v>
      </c>
      <c r="AI244" s="16">
        <v>5825</v>
      </c>
      <c r="AJ244" s="31">
        <v>30013</v>
      </c>
      <c r="AK244" s="16">
        <v>26465</v>
      </c>
      <c r="AL244" s="16">
        <v>19363</v>
      </c>
      <c r="AM244" s="31">
        <v>45828</v>
      </c>
      <c r="AN244" s="16">
        <v>26465</v>
      </c>
      <c r="AO244" s="16">
        <v>19363</v>
      </c>
      <c r="AP244" s="31">
        <v>45828</v>
      </c>
      <c r="AQ244" s="42"/>
      <c r="AR244" s="43"/>
      <c r="AS244" s="42"/>
      <c r="AT244" s="42"/>
    </row>
    <row r="245" spans="1:46" ht="12.9" customHeight="1" x14ac:dyDescent="0.25">
      <c r="A245" s="28" t="s">
        <v>520</v>
      </c>
      <c r="B245" s="29" t="s">
        <v>521</v>
      </c>
      <c r="C245" s="30" t="s">
        <v>11</v>
      </c>
      <c r="D245" s="40">
        <v>214085</v>
      </c>
      <c r="E245" s="26">
        <v>36387</v>
      </c>
      <c r="F245" s="26">
        <f t="shared" si="6"/>
        <v>250472</v>
      </c>
      <c r="G245" s="40">
        <v>247426</v>
      </c>
      <c r="H245" s="26">
        <v>31090</v>
      </c>
      <c r="I245" s="27">
        <f t="shared" si="7"/>
        <v>278516</v>
      </c>
      <c r="J245" s="40">
        <v>260759</v>
      </c>
      <c r="K245" s="26">
        <v>38311</v>
      </c>
      <c r="L245" s="27">
        <v>299070</v>
      </c>
      <c r="M245" s="26">
        <v>288653</v>
      </c>
      <c r="N245" s="26">
        <v>33405</v>
      </c>
      <c r="O245" s="27">
        <v>322058</v>
      </c>
      <c r="P245" s="26">
        <v>264959</v>
      </c>
      <c r="Q245" s="26">
        <v>29285</v>
      </c>
      <c r="R245" s="27">
        <v>294244</v>
      </c>
      <c r="S245" s="26">
        <v>254968</v>
      </c>
      <c r="T245" s="26">
        <v>32603</v>
      </c>
      <c r="U245" s="27">
        <v>287571</v>
      </c>
      <c r="V245" s="26">
        <v>233725</v>
      </c>
      <c r="W245" s="26">
        <v>32811</v>
      </c>
      <c r="X245" s="31">
        <v>266536</v>
      </c>
      <c r="Y245" s="16">
        <v>220214</v>
      </c>
      <c r="Z245" s="16">
        <v>35575</v>
      </c>
      <c r="AA245" s="31">
        <v>255789</v>
      </c>
      <c r="AB245" s="32">
        <v>213232</v>
      </c>
      <c r="AC245" s="16">
        <v>40004</v>
      </c>
      <c r="AD245" s="31">
        <v>253236</v>
      </c>
      <c r="AE245" s="16">
        <v>248497</v>
      </c>
      <c r="AF245" s="16">
        <v>45926</v>
      </c>
      <c r="AG245" s="31">
        <v>294423</v>
      </c>
      <c r="AH245" s="16">
        <v>226203</v>
      </c>
      <c r="AI245" s="16">
        <v>37345</v>
      </c>
      <c r="AJ245" s="31">
        <v>263548</v>
      </c>
      <c r="AK245" s="16">
        <v>222164</v>
      </c>
      <c r="AL245" s="16">
        <v>37220</v>
      </c>
      <c r="AM245" s="31">
        <v>259384</v>
      </c>
      <c r="AN245" s="16">
        <v>242562</v>
      </c>
      <c r="AO245" s="16">
        <v>41795</v>
      </c>
      <c r="AP245" s="31">
        <v>284357</v>
      </c>
      <c r="AQ245" s="42"/>
      <c r="AR245" s="43"/>
      <c r="AS245" s="42"/>
      <c r="AT245" s="42"/>
    </row>
    <row r="246" spans="1:46" ht="12.9" customHeight="1" x14ac:dyDescent="0.25">
      <c r="A246" s="28" t="s">
        <v>522</v>
      </c>
      <c r="B246" s="29" t="s">
        <v>523</v>
      </c>
      <c r="C246" s="30" t="s">
        <v>56</v>
      </c>
      <c r="D246" s="40">
        <v>3687</v>
      </c>
      <c r="E246" s="26">
        <v>215</v>
      </c>
      <c r="F246" s="26">
        <f t="shared" si="6"/>
        <v>3902</v>
      </c>
      <c r="G246" s="40">
        <v>4020</v>
      </c>
      <c r="H246" s="26">
        <v>288</v>
      </c>
      <c r="I246" s="27">
        <f t="shared" si="7"/>
        <v>4308</v>
      </c>
      <c r="J246" s="40">
        <v>4485</v>
      </c>
      <c r="K246" s="26">
        <v>257</v>
      </c>
      <c r="L246" s="27">
        <v>4742</v>
      </c>
      <c r="M246" s="26">
        <v>4360</v>
      </c>
      <c r="N246" s="26">
        <v>204</v>
      </c>
      <c r="O246" s="27">
        <v>4564</v>
      </c>
      <c r="P246" s="26">
        <v>4588</v>
      </c>
      <c r="Q246" s="26">
        <v>234</v>
      </c>
      <c r="R246" s="27">
        <v>4822</v>
      </c>
      <c r="S246" s="26">
        <v>4309</v>
      </c>
      <c r="T246" s="26">
        <v>87</v>
      </c>
      <c r="U246" s="27">
        <v>4396</v>
      </c>
      <c r="V246" s="26">
        <v>4289</v>
      </c>
      <c r="W246" s="26">
        <v>737</v>
      </c>
      <c r="X246" s="31">
        <v>5026</v>
      </c>
      <c r="Y246" s="16">
        <v>4589</v>
      </c>
      <c r="Z246" s="16">
        <v>783</v>
      </c>
      <c r="AA246" s="31">
        <v>5372</v>
      </c>
      <c r="AB246" s="32">
        <v>5150</v>
      </c>
      <c r="AC246" s="16">
        <v>536</v>
      </c>
      <c r="AD246" s="31">
        <v>5686</v>
      </c>
      <c r="AE246" s="16">
        <v>4760</v>
      </c>
      <c r="AF246" s="16">
        <v>491</v>
      </c>
      <c r="AG246" s="31">
        <v>5251</v>
      </c>
      <c r="AH246" s="16">
        <v>4996</v>
      </c>
      <c r="AI246" s="16">
        <v>354</v>
      </c>
      <c r="AJ246" s="31">
        <v>5350</v>
      </c>
      <c r="AK246" s="16">
        <v>5753</v>
      </c>
      <c r="AL246" s="16">
        <v>452</v>
      </c>
      <c r="AM246" s="31">
        <v>6205</v>
      </c>
      <c r="AN246" s="16">
        <v>5753</v>
      </c>
      <c r="AO246" s="16">
        <v>452</v>
      </c>
      <c r="AP246" s="31">
        <v>6205</v>
      </c>
      <c r="AQ246" s="42"/>
      <c r="AR246" s="43"/>
      <c r="AS246" s="42"/>
      <c r="AT246" s="42"/>
    </row>
    <row r="247" spans="1:46" ht="12.9" customHeight="1" x14ac:dyDescent="0.25">
      <c r="A247" s="28" t="s">
        <v>524</v>
      </c>
      <c r="B247" s="29" t="s">
        <v>525</v>
      </c>
      <c r="C247" s="30" t="s">
        <v>357</v>
      </c>
      <c r="D247" s="40">
        <v>14431</v>
      </c>
      <c r="E247" s="26">
        <v>28693</v>
      </c>
      <c r="F247" s="26">
        <f t="shared" si="6"/>
        <v>43124</v>
      </c>
      <c r="G247" s="40">
        <v>15898</v>
      </c>
      <c r="H247" s="26">
        <v>36997</v>
      </c>
      <c r="I247" s="27">
        <f t="shared" si="7"/>
        <v>52895</v>
      </c>
      <c r="J247" s="40">
        <v>19809</v>
      </c>
      <c r="K247" s="26">
        <v>34452</v>
      </c>
      <c r="L247" s="27">
        <v>54261</v>
      </c>
      <c r="M247" s="26">
        <v>23335</v>
      </c>
      <c r="N247" s="26">
        <v>28954</v>
      </c>
      <c r="O247" s="27">
        <v>52289</v>
      </c>
      <c r="P247" s="26">
        <v>22451</v>
      </c>
      <c r="Q247" s="26">
        <v>27849</v>
      </c>
      <c r="R247" s="27">
        <v>50300</v>
      </c>
      <c r="S247" s="26">
        <v>19799</v>
      </c>
      <c r="T247" s="26">
        <v>29775</v>
      </c>
      <c r="U247" s="27">
        <v>49574</v>
      </c>
      <c r="V247" s="26">
        <v>18603</v>
      </c>
      <c r="W247" s="26">
        <v>26040</v>
      </c>
      <c r="X247" s="31">
        <v>44643</v>
      </c>
      <c r="Y247" s="16">
        <v>19449</v>
      </c>
      <c r="Z247" s="16">
        <v>29344</v>
      </c>
      <c r="AA247" s="31">
        <v>48793</v>
      </c>
      <c r="AB247" s="32">
        <v>20391</v>
      </c>
      <c r="AC247" s="16">
        <v>26922</v>
      </c>
      <c r="AD247" s="31">
        <v>47313</v>
      </c>
      <c r="AE247" s="16">
        <v>19333</v>
      </c>
      <c r="AF247" s="16">
        <v>33743</v>
      </c>
      <c r="AG247" s="31">
        <v>53076</v>
      </c>
      <c r="AH247" s="16">
        <v>15399</v>
      </c>
      <c r="AI247" s="16">
        <v>26031</v>
      </c>
      <c r="AJ247" s="31">
        <v>41430</v>
      </c>
      <c r="AK247" s="16">
        <v>15705</v>
      </c>
      <c r="AL247" s="16">
        <v>6923</v>
      </c>
      <c r="AM247" s="31">
        <v>22628</v>
      </c>
      <c r="AN247" s="16">
        <v>17799</v>
      </c>
      <c r="AO247" s="16">
        <v>24895</v>
      </c>
      <c r="AP247" s="31">
        <v>42694</v>
      </c>
      <c r="AQ247" s="42"/>
      <c r="AR247" s="43"/>
      <c r="AS247" s="42"/>
      <c r="AT247" s="42"/>
    </row>
    <row r="248" spans="1:46" ht="12.9" customHeight="1" x14ac:dyDescent="0.25">
      <c r="A248" s="28" t="s">
        <v>526</v>
      </c>
      <c r="B248" s="29" t="s">
        <v>527</v>
      </c>
      <c r="C248" s="30" t="s">
        <v>59</v>
      </c>
      <c r="D248" s="40">
        <v>10686</v>
      </c>
      <c r="E248" s="26">
        <v>2070</v>
      </c>
      <c r="F248" s="26">
        <f t="shared" si="6"/>
        <v>12756</v>
      </c>
      <c r="G248" s="40">
        <v>12109</v>
      </c>
      <c r="H248" s="26">
        <v>2671</v>
      </c>
      <c r="I248" s="27">
        <f t="shared" si="7"/>
        <v>14780</v>
      </c>
      <c r="J248" s="40">
        <v>14146</v>
      </c>
      <c r="K248" s="26">
        <v>3775</v>
      </c>
      <c r="L248" s="27">
        <v>17921</v>
      </c>
      <c r="M248" s="26">
        <v>14653</v>
      </c>
      <c r="N248" s="26">
        <v>1548</v>
      </c>
      <c r="O248" s="27">
        <v>16201</v>
      </c>
      <c r="P248" s="26">
        <v>13181</v>
      </c>
      <c r="Q248" s="26">
        <v>1763</v>
      </c>
      <c r="R248" s="27">
        <v>14944</v>
      </c>
      <c r="S248" s="26">
        <v>13198</v>
      </c>
      <c r="T248" s="26">
        <v>1937</v>
      </c>
      <c r="U248" s="27">
        <v>15135</v>
      </c>
      <c r="V248" s="26">
        <v>12953</v>
      </c>
      <c r="W248" s="26">
        <v>1392</v>
      </c>
      <c r="X248" s="31">
        <v>14345</v>
      </c>
      <c r="Y248" s="16">
        <v>13785</v>
      </c>
      <c r="Z248" s="16">
        <v>1478</v>
      </c>
      <c r="AA248" s="31">
        <v>15263</v>
      </c>
      <c r="AB248" s="32">
        <v>13330</v>
      </c>
      <c r="AC248" s="16">
        <v>2181</v>
      </c>
      <c r="AD248" s="31">
        <v>15511</v>
      </c>
      <c r="AE248" s="16">
        <v>13269</v>
      </c>
      <c r="AF248" s="16">
        <v>2402</v>
      </c>
      <c r="AG248" s="31">
        <v>15671</v>
      </c>
      <c r="AH248" s="16">
        <v>11760</v>
      </c>
      <c r="AI248" s="16">
        <v>1989</v>
      </c>
      <c r="AJ248" s="31">
        <v>13749</v>
      </c>
      <c r="AK248" s="16">
        <v>10922</v>
      </c>
      <c r="AL248" s="16">
        <v>1728</v>
      </c>
      <c r="AM248" s="31">
        <v>12650</v>
      </c>
      <c r="AN248" s="16">
        <v>12178</v>
      </c>
      <c r="AO248" s="16">
        <v>2558</v>
      </c>
      <c r="AP248" s="31">
        <v>14736</v>
      </c>
      <c r="AQ248" s="42"/>
      <c r="AR248" s="43"/>
      <c r="AS248" s="42"/>
      <c r="AT248" s="42"/>
    </row>
    <row r="249" spans="1:46" ht="12.9" customHeight="1" x14ac:dyDescent="0.25">
      <c r="A249" s="28" t="s">
        <v>528</v>
      </c>
      <c r="B249" s="29" t="s">
        <v>529</v>
      </c>
      <c r="C249" s="30" t="s">
        <v>438</v>
      </c>
      <c r="D249" s="40">
        <v>12572</v>
      </c>
      <c r="E249" s="26">
        <v>52952</v>
      </c>
      <c r="F249" s="26">
        <f t="shared" si="6"/>
        <v>65524</v>
      </c>
      <c r="G249" s="40">
        <v>16359</v>
      </c>
      <c r="H249" s="26">
        <v>64168</v>
      </c>
      <c r="I249" s="27">
        <f t="shared" si="7"/>
        <v>80527</v>
      </c>
      <c r="J249" s="40">
        <v>18715</v>
      </c>
      <c r="K249" s="26">
        <v>73303</v>
      </c>
      <c r="L249" s="27">
        <v>92018</v>
      </c>
      <c r="M249" s="26">
        <v>19676</v>
      </c>
      <c r="N249" s="26">
        <v>43913</v>
      </c>
      <c r="O249" s="27">
        <v>63589</v>
      </c>
      <c r="P249" s="26">
        <v>15876</v>
      </c>
      <c r="Q249" s="26">
        <v>57466</v>
      </c>
      <c r="R249" s="27">
        <v>73342</v>
      </c>
      <c r="S249" s="26">
        <v>15914</v>
      </c>
      <c r="T249" s="26">
        <v>36948</v>
      </c>
      <c r="U249" s="27">
        <v>52862</v>
      </c>
      <c r="V249" s="26">
        <v>15724</v>
      </c>
      <c r="W249" s="26">
        <v>55542</v>
      </c>
      <c r="X249" s="31">
        <v>71266</v>
      </c>
      <c r="Y249" s="16">
        <v>17505</v>
      </c>
      <c r="Z249" s="16">
        <v>59803</v>
      </c>
      <c r="AA249" s="31">
        <v>77308</v>
      </c>
      <c r="AB249" s="32">
        <v>16623</v>
      </c>
      <c r="AC249" s="16">
        <v>69394</v>
      </c>
      <c r="AD249" s="31">
        <v>86017</v>
      </c>
      <c r="AE249" s="16">
        <v>16585</v>
      </c>
      <c r="AF249" s="16">
        <v>40688</v>
      </c>
      <c r="AG249" s="31">
        <v>57273</v>
      </c>
      <c r="AH249" s="16">
        <v>26011</v>
      </c>
      <c r="AI249" s="16">
        <v>94863</v>
      </c>
      <c r="AJ249" s="31">
        <v>120874</v>
      </c>
      <c r="AK249" s="16">
        <v>30797</v>
      </c>
      <c r="AL249" s="16">
        <v>14856</v>
      </c>
      <c r="AM249" s="31">
        <v>45653</v>
      </c>
      <c r="AN249" s="16">
        <v>23823</v>
      </c>
      <c r="AO249" s="16">
        <v>48294</v>
      </c>
      <c r="AP249" s="31">
        <v>72117</v>
      </c>
      <c r="AQ249" s="42"/>
      <c r="AR249" s="43"/>
      <c r="AS249" s="42"/>
      <c r="AT249" s="42"/>
    </row>
    <row r="250" spans="1:46" ht="12.9" customHeight="1" x14ac:dyDescent="0.25">
      <c r="A250" s="28" t="s">
        <v>530</v>
      </c>
      <c r="B250" s="29" t="s">
        <v>531</v>
      </c>
      <c r="C250" s="30" t="s">
        <v>8</v>
      </c>
      <c r="D250" s="40">
        <v>47736</v>
      </c>
      <c r="E250" s="26">
        <v>988</v>
      </c>
      <c r="F250" s="26">
        <f t="shared" si="6"/>
        <v>48724</v>
      </c>
      <c r="G250" s="40">
        <v>47736</v>
      </c>
      <c r="H250" s="26">
        <v>1096</v>
      </c>
      <c r="I250" s="27">
        <f t="shared" si="7"/>
        <v>48832</v>
      </c>
      <c r="J250" s="40">
        <v>47988</v>
      </c>
      <c r="K250" s="26">
        <v>628</v>
      </c>
      <c r="L250" s="27">
        <v>48616</v>
      </c>
      <c r="M250" s="26">
        <v>47286</v>
      </c>
      <c r="N250" s="26">
        <v>1132</v>
      </c>
      <c r="O250" s="27">
        <v>48418</v>
      </c>
      <c r="P250" s="26">
        <v>47682</v>
      </c>
      <c r="Q250" s="26">
        <v>1132</v>
      </c>
      <c r="R250" s="27">
        <v>48814</v>
      </c>
      <c r="S250" s="26">
        <v>47556</v>
      </c>
      <c r="T250" s="26">
        <v>628</v>
      </c>
      <c r="U250" s="27">
        <v>48184</v>
      </c>
      <c r="V250" s="26">
        <v>47592</v>
      </c>
      <c r="W250" s="26">
        <v>628</v>
      </c>
      <c r="X250" s="31">
        <v>48220</v>
      </c>
      <c r="Y250" s="16">
        <v>31656</v>
      </c>
      <c r="Z250" s="16">
        <v>1132</v>
      </c>
      <c r="AA250" s="31">
        <v>32788</v>
      </c>
      <c r="AB250" s="32">
        <v>28296</v>
      </c>
      <c r="AC250" s="16">
        <v>131</v>
      </c>
      <c r="AD250" s="31">
        <v>28427</v>
      </c>
      <c r="AE250" s="16">
        <v>28296</v>
      </c>
      <c r="AF250" s="16">
        <v>131</v>
      </c>
      <c r="AG250" s="31">
        <v>28427</v>
      </c>
      <c r="AH250" s="16">
        <v>28296</v>
      </c>
      <c r="AI250" s="16">
        <v>131</v>
      </c>
      <c r="AJ250" s="31">
        <v>28427</v>
      </c>
      <c r="AK250" s="16">
        <v>28296</v>
      </c>
      <c r="AL250" s="16">
        <v>131</v>
      </c>
      <c r="AM250" s="31">
        <v>28427</v>
      </c>
      <c r="AN250" s="16">
        <v>26296.847999999998</v>
      </c>
      <c r="AO250" s="16">
        <v>448</v>
      </c>
      <c r="AP250" s="31">
        <v>26744.847999999998</v>
      </c>
      <c r="AQ250" s="42"/>
      <c r="AR250" s="43"/>
      <c r="AS250" s="42"/>
      <c r="AT250" s="42"/>
    </row>
    <row r="251" spans="1:46" ht="12.9" customHeight="1" x14ac:dyDescent="0.25">
      <c r="A251" s="28" t="s">
        <v>532</v>
      </c>
      <c r="B251" s="29" t="s">
        <v>533</v>
      </c>
      <c r="C251" s="30" t="s">
        <v>218</v>
      </c>
      <c r="D251" s="40">
        <v>5226</v>
      </c>
      <c r="E251" s="26">
        <v>5</v>
      </c>
      <c r="F251" s="26">
        <f t="shared" si="6"/>
        <v>5231</v>
      </c>
      <c r="G251" s="40">
        <v>5182</v>
      </c>
      <c r="H251" s="26">
        <v>5</v>
      </c>
      <c r="I251" s="27">
        <f t="shared" si="7"/>
        <v>5187</v>
      </c>
      <c r="J251" s="40">
        <v>4520</v>
      </c>
      <c r="K251" s="26">
        <v>7</v>
      </c>
      <c r="L251" s="27">
        <v>4527</v>
      </c>
      <c r="M251" s="26">
        <v>4612</v>
      </c>
      <c r="N251" s="26">
        <v>10</v>
      </c>
      <c r="O251" s="27">
        <v>4622</v>
      </c>
      <c r="P251" s="26">
        <v>3998</v>
      </c>
      <c r="Q251" s="26">
        <v>8</v>
      </c>
      <c r="R251" s="27">
        <v>4006</v>
      </c>
      <c r="S251" s="26">
        <v>4321</v>
      </c>
      <c r="T251" s="26">
        <v>10</v>
      </c>
      <c r="U251" s="27">
        <v>4331</v>
      </c>
      <c r="V251" s="26">
        <v>3729</v>
      </c>
      <c r="W251" s="26">
        <v>9</v>
      </c>
      <c r="X251" s="31">
        <v>3738</v>
      </c>
      <c r="Y251" s="16">
        <v>4479.4285714285716</v>
      </c>
      <c r="Z251" s="16">
        <v>19</v>
      </c>
      <c r="AA251" s="31">
        <v>4498.4285714285716</v>
      </c>
      <c r="AB251" s="32">
        <v>4209</v>
      </c>
      <c r="AC251" s="16">
        <v>19</v>
      </c>
      <c r="AD251" s="31">
        <v>4228</v>
      </c>
      <c r="AE251" s="16">
        <v>4405</v>
      </c>
      <c r="AF251" s="16">
        <v>7</v>
      </c>
      <c r="AG251" s="31">
        <v>4412</v>
      </c>
      <c r="AH251" s="16">
        <v>5124</v>
      </c>
      <c r="AI251" s="16">
        <v>4</v>
      </c>
      <c r="AJ251" s="31">
        <v>5128</v>
      </c>
      <c r="AK251" s="16">
        <v>5279</v>
      </c>
      <c r="AL251" s="16">
        <v>136</v>
      </c>
      <c r="AM251" s="31">
        <v>5415</v>
      </c>
      <c r="AN251" s="16">
        <v>5279</v>
      </c>
      <c r="AO251" s="16">
        <v>136</v>
      </c>
      <c r="AP251" s="31">
        <v>5415</v>
      </c>
      <c r="AQ251" s="42"/>
      <c r="AR251" s="43"/>
      <c r="AS251" s="42"/>
      <c r="AT251" s="42"/>
    </row>
    <row r="252" spans="1:46" ht="12.9" customHeight="1" x14ac:dyDescent="0.25">
      <c r="A252" s="28" t="s">
        <v>534</v>
      </c>
      <c r="B252" s="29" t="s">
        <v>535</v>
      </c>
      <c r="C252" s="30" t="s">
        <v>120</v>
      </c>
      <c r="D252" s="40">
        <v>244613</v>
      </c>
      <c r="E252" s="26">
        <v>295160</v>
      </c>
      <c r="F252" s="26">
        <f t="shared" si="6"/>
        <v>539773</v>
      </c>
      <c r="G252" s="40">
        <v>192974</v>
      </c>
      <c r="H252" s="26">
        <v>308004</v>
      </c>
      <c r="I252" s="27">
        <f t="shared" si="7"/>
        <v>500978</v>
      </c>
      <c r="J252" s="40">
        <v>253622</v>
      </c>
      <c r="K252" s="26">
        <v>355020</v>
      </c>
      <c r="L252" s="27">
        <v>608642</v>
      </c>
      <c r="M252" s="26">
        <v>222070</v>
      </c>
      <c r="N252" s="26">
        <v>407810</v>
      </c>
      <c r="O252" s="27">
        <v>629880</v>
      </c>
      <c r="P252" s="26">
        <v>222179</v>
      </c>
      <c r="Q252" s="26">
        <v>349157</v>
      </c>
      <c r="R252" s="27">
        <v>571336</v>
      </c>
      <c r="S252" s="26">
        <v>209310</v>
      </c>
      <c r="T252" s="26">
        <v>349348</v>
      </c>
      <c r="U252" s="27">
        <v>558658</v>
      </c>
      <c r="V252" s="26">
        <v>209190</v>
      </c>
      <c r="W252" s="26">
        <v>344626</v>
      </c>
      <c r="X252" s="31">
        <v>553816</v>
      </c>
      <c r="Y252" s="16">
        <v>208164</v>
      </c>
      <c r="Z252" s="16">
        <v>403135</v>
      </c>
      <c r="AA252" s="31">
        <v>611299</v>
      </c>
      <c r="AB252" s="32">
        <v>206660</v>
      </c>
      <c r="AC252" s="16">
        <v>325667</v>
      </c>
      <c r="AD252" s="31">
        <v>532327</v>
      </c>
      <c r="AE252" s="16">
        <v>204721</v>
      </c>
      <c r="AF252" s="16">
        <v>343132</v>
      </c>
      <c r="AG252" s="31">
        <v>547853</v>
      </c>
      <c r="AH252" s="16">
        <v>198620</v>
      </c>
      <c r="AI252" s="16">
        <v>271855</v>
      </c>
      <c r="AJ252" s="31">
        <v>470475</v>
      </c>
      <c r="AK252" s="16">
        <v>200127</v>
      </c>
      <c r="AL252" s="16">
        <v>329476</v>
      </c>
      <c r="AM252" s="31">
        <v>529603</v>
      </c>
      <c r="AN252" s="16">
        <v>203209</v>
      </c>
      <c r="AO252" s="16">
        <v>329113</v>
      </c>
      <c r="AP252" s="31">
        <v>532322</v>
      </c>
      <c r="AQ252" s="42"/>
      <c r="AR252" s="43"/>
      <c r="AS252" s="42"/>
      <c r="AT252" s="42"/>
    </row>
    <row r="253" spans="1:46" ht="12.9" customHeight="1" x14ac:dyDescent="0.25">
      <c r="A253" s="28" t="s">
        <v>536</v>
      </c>
      <c r="B253" s="29" t="s">
        <v>537</v>
      </c>
      <c r="C253" s="30" t="s">
        <v>153</v>
      </c>
      <c r="D253" s="40">
        <v>11859</v>
      </c>
      <c r="E253" s="26">
        <v>5791</v>
      </c>
      <c r="F253" s="26">
        <f t="shared" si="6"/>
        <v>17650</v>
      </c>
      <c r="G253" s="40">
        <v>12498</v>
      </c>
      <c r="H253" s="26">
        <v>6076</v>
      </c>
      <c r="I253" s="27">
        <f t="shared" si="7"/>
        <v>18574</v>
      </c>
      <c r="J253" s="40">
        <v>11833</v>
      </c>
      <c r="K253" s="26">
        <v>7928</v>
      </c>
      <c r="L253" s="27">
        <v>19761</v>
      </c>
      <c r="M253" s="26">
        <v>11585</v>
      </c>
      <c r="N253" s="26">
        <v>7691</v>
      </c>
      <c r="O253" s="27">
        <v>19276</v>
      </c>
      <c r="P253" s="26">
        <v>14435</v>
      </c>
      <c r="Q253" s="26">
        <v>8329</v>
      </c>
      <c r="R253" s="27">
        <v>22764</v>
      </c>
      <c r="S253" s="26">
        <v>11166</v>
      </c>
      <c r="T253" s="26">
        <v>10527</v>
      </c>
      <c r="U253" s="27">
        <v>21693</v>
      </c>
      <c r="V253" s="26">
        <v>10906</v>
      </c>
      <c r="W253" s="26">
        <v>8472</v>
      </c>
      <c r="X253" s="31">
        <v>19378</v>
      </c>
      <c r="Y253" s="16">
        <v>11720</v>
      </c>
      <c r="Z253" s="16">
        <v>6436</v>
      </c>
      <c r="AA253" s="31">
        <v>18156</v>
      </c>
      <c r="AB253" s="32">
        <v>11733</v>
      </c>
      <c r="AC253" s="16">
        <v>6450</v>
      </c>
      <c r="AD253" s="31">
        <v>18183</v>
      </c>
      <c r="AE253" s="16">
        <v>11627</v>
      </c>
      <c r="AF253" s="16">
        <v>6462</v>
      </c>
      <c r="AG253" s="31">
        <v>18089</v>
      </c>
      <c r="AH253" s="16">
        <v>7132</v>
      </c>
      <c r="AI253" s="16">
        <v>3515</v>
      </c>
      <c r="AJ253" s="31">
        <v>10647</v>
      </c>
      <c r="AK253" s="16">
        <v>9365</v>
      </c>
      <c r="AL253" s="16">
        <v>4168</v>
      </c>
      <c r="AM253" s="31">
        <v>13533</v>
      </c>
      <c r="AN253" s="16">
        <v>10199</v>
      </c>
      <c r="AO253" s="16">
        <v>5884</v>
      </c>
      <c r="AP253" s="31">
        <v>16083</v>
      </c>
      <c r="AQ253" s="42"/>
      <c r="AR253" s="43"/>
      <c r="AS253" s="42"/>
      <c r="AT253" s="42"/>
    </row>
    <row r="254" spans="1:46" ht="12.9" customHeight="1" x14ac:dyDescent="0.25">
      <c r="A254" s="28" t="s">
        <v>538</v>
      </c>
      <c r="B254" s="29" t="s">
        <v>539</v>
      </c>
      <c r="C254" s="30" t="s">
        <v>11</v>
      </c>
      <c r="D254" s="40">
        <v>631873</v>
      </c>
      <c r="E254" s="26">
        <v>76307</v>
      </c>
      <c r="F254" s="26">
        <f t="shared" si="6"/>
        <v>708180</v>
      </c>
      <c r="G254" s="40">
        <v>692862</v>
      </c>
      <c r="H254" s="26">
        <v>84304</v>
      </c>
      <c r="I254" s="27">
        <f t="shared" si="7"/>
        <v>777166</v>
      </c>
      <c r="J254" s="40">
        <v>714393</v>
      </c>
      <c r="K254" s="26">
        <v>95738</v>
      </c>
      <c r="L254" s="27">
        <v>810131</v>
      </c>
      <c r="M254" s="26">
        <v>709716</v>
      </c>
      <c r="N254" s="26">
        <v>86398</v>
      </c>
      <c r="O254" s="27">
        <v>796114</v>
      </c>
      <c r="P254" s="26">
        <v>758868</v>
      </c>
      <c r="Q254" s="26">
        <v>89576</v>
      </c>
      <c r="R254" s="27">
        <v>848444</v>
      </c>
      <c r="S254" s="26">
        <v>672201</v>
      </c>
      <c r="T254" s="26">
        <v>96444</v>
      </c>
      <c r="U254" s="27">
        <v>768645</v>
      </c>
      <c r="V254" s="26">
        <v>637282</v>
      </c>
      <c r="W254" s="26">
        <v>97140</v>
      </c>
      <c r="X254" s="31">
        <v>734422</v>
      </c>
      <c r="Y254" s="16">
        <v>679432</v>
      </c>
      <c r="Z254" s="16">
        <v>100823</v>
      </c>
      <c r="AA254" s="31">
        <v>780255</v>
      </c>
      <c r="AB254" s="32">
        <v>671442.30368487933</v>
      </c>
      <c r="AC254" s="16">
        <v>100523</v>
      </c>
      <c r="AD254" s="31">
        <v>771965.30368487933</v>
      </c>
      <c r="AE254" s="16">
        <v>657419</v>
      </c>
      <c r="AF254" s="16">
        <v>104215</v>
      </c>
      <c r="AG254" s="31">
        <v>761634</v>
      </c>
      <c r="AH254" s="16">
        <v>639681</v>
      </c>
      <c r="AI254" s="16">
        <v>94949</v>
      </c>
      <c r="AJ254" s="31">
        <v>734630</v>
      </c>
      <c r="AK254" s="16">
        <v>634589</v>
      </c>
      <c r="AL254" s="16">
        <v>114853</v>
      </c>
      <c r="AM254" s="31">
        <v>749442</v>
      </c>
      <c r="AN254" s="16">
        <v>727686</v>
      </c>
      <c r="AO254" s="16">
        <v>110433</v>
      </c>
      <c r="AP254" s="31">
        <v>838119</v>
      </c>
      <c r="AQ254" s="42"/>
      <c r="AR254" s="43"/>
      <c r="AS254" s="42"/>
      <c r="AT254" s="42"/>
    </row>
    <row r="255" spans="1:46" ht="12.9" customHeight="1" x14ac:dyDescent="0.25">
      <c r="A255" s="28" t="s">
        <v>540</v>
      </c>
      <c r="B255" s="29" t="s">
        <v>541</v>
      </c>
      <c r="C255" s="30" t="s">
        <v>163</v>
      </c>
      <c r="D255" s="40">
        <v>34042</v>
      </c>
      <c r="E255" s="26">
        <v>4805</v>
      </c>
      <c r="F255" s="26">
        <f t="shared" si="6"/>
        <v>38847</v>
      </c>
      <c r="G255" s="40">
        <v>33287</v>
      </c>
      <c r="H255" s="26">
        <v>4549</v>
      </c>
      <c r="I255" s="27">
        <f t="shared" si="7"/>
        <v>37836</v>
      </c>
      <c r="J255" s="40">
        <v>34207</v>
      </c>
      <c r="K255" s="26">
        <v>4398</v>
      </c>
      <c r="L255" s="27">
        <v>38605</v>
      </c>
      <c r="M255" s="26">
        <v>35952</v>
      </c>
      <c r="N255" s="26">
        <v>4568</v>
      </c>
      <c r="O255" s="27">
        <v>40520</v>
      </c>
      <c r="P255" s="26">
        <v>37230</v>
      </c>
      <c r="Q255" s="26">
        <v>4197</v>
      </c>
      <c r="R255" s="27">
        <v>41427</v>
      </c>
      <c r="S255" s="26">
        <v>34564</v>
      </c>
      <c r="T255" s="26">
        <v>5404</v>
      </c>
      <c r="U255" s="27">
        <v>39968</v>
      </c>
      <c r="V255" s="26">
        <v>36820</v>
      </c>
      <c r="W255" s="26">
        <v>6380</v>
      </c>
      <c r="X255" s="31">
        <v>43200</v>
      </c>
      <c r="Y255" s="16">
        <v>35824</v>
      </c>
      <c r="Z255" s="16">
        <v>4850</v>
      </c>
      <c r="AA255" s="31">
        <v>40674</v>
      </c>
      <c r="AB255" s="32">
        <v>36376</v>
      </c>
      <c r="AC255" s="16">
        <v>8724</v>
      </c>
      <c r="AD255" s="31">
        <v>45100</v>
      </c>
      <c r="AE255" s="16">
        <v>37393</v>
      </c>
      <c r="AF255" s="16">
        <v>7373</v>
      </c>
      <c r="AG255" s="31">
        <v>44766</v>
      </c>
      <c r="AH255" s="16">
        <v>38655</v>
      </c>
      <c r="AI255" s="16">
        <v>4937</v>
      </c>
      <c r="AJ255" s="31">
        <v>43592</v>
      </c>
      <c r="AK255" s="16">
        <v>36733</v>
      </c>
      <c r="AL255" s="16">
        <v>7129</v>
      </c>
      <c r="AM255" s="31">
        <v>43862</v>
      </c>
      <c r="AN255" s="16">
        <v>37673</v>
      </c>
      <c r="AO255" s="16">
        <v>4205</v>
      </c>
      <c r="AP255" s="31">
        <v>41878</v>
      </c>
      <c r="AQ255" s="42"/>
      <c r="AR255" s="43"/>
      <c r="AS255" s="42"/>
      <c r="AT255" s="42"/>
    </row>
    <row r="256" spans="1:46" ht="12.9" customHeight="1" x14ac:dyDescent="0.25">
      <c r="A256" s="28" t="s">
        <v>542</v>
      </c>
      <c r="B256" s="29" t="s">
        <v>543</v>
      </c>
      <c r="C256" s="30" t="s">
        <v>34</v>
      </c>
      <c r="D256" s="40">
        <v>56447</v>
      </c>
      <c r="E256" s="26">
        <v>19196</v>
      </c>
      <c r="F256" s="26">
        <f t="shared" si="6"/>
        <v>75643</v>
      </c>
      <c r="G256" s="40">
        <v>59632</v>
      </c>
      <c r="H256" s="26">
        <v>33357</v>
      </c>
      <c r="I256" s="27">
        <f t="shared" si="7"/>
        <v>92989</v>
      </c>
      <c r="J256" s="40">
        <v>59693</v>
      </c>
      <c r="K256" s="26">
        <v>23515</v>
      </c>
      <c r="L256" s="27">
        <v>83208</v>
      </c>
      <c r="M256" s="26">
        <v>65462</v>
      </c>
      <c r="N256" s="26">
        <v>24179</v>
      </c>
      <c r="O256" s="27">
        <v>89641</v>
      </c>
      <c r="P256" s="26">
        <v>75319</v>
      </c>
      <c r="Q256" s="26">
        <v>19397</v>
      </c>
      <c r="R256" s="27">
        <v>94716</v>
      </c>
      <c r="S256" s="26">
        <v>60601</v>
      </c>
      <c r="T256" s="26">
        <v>22044</v>
      </c>
      <c r="U256" s="27">
        <v>82645</v>
      </c>
      <c r="V256" s="26">
        <v>53802</v>
      </c>
      <c r="W256" s="26">
        <v>18693</v>
      </c>
      <c r="X256" s="31">
        <v>72495</v>
      </c>
      <c r="Y256" s="16">
        <v>54752</v>
      </c>
      <c r="Z256" s="16">
        <v>22311</v>
      </c>
      <c r="AA256" s="31">
        <v>77063</v>
      </c>
      <c r="AB256" s="32">
        <v>52283</v>
      </c>
      <c r="AC256" s="16">
        <v>23545</v>
      </c>
      <c r="AD256" s="31">
        <v>75828</v>
      </c>
      <c r="AE256" s="16">
        <v>47822</v>
      </c>
      <c r="AF256" s="16">
        <v>20343</v>
      </c>
      <c r="AG256" s="31">
        <v>68165</v>
      </c>
      <c r="AH256" s="16">
        <v>46773</v>
      </c>
      <c r="AI256" s="16">
        <v>15304</v>
      </c>
      <c r="AJ256" s="31">
        <v>62077</v>
      </c>
      <c r="AK256" s="16">
        <v>44190</v>
      </c>
      <c r="AL256" s="16">
        <v>15967</v>
      </c>
      <c r="AM256" s="31">
        <v>60157</v>
      </c>
      <c r="AN256" s="16">
        <v>47221</v>
      </c>
      <c r="AO256" s="16">
        <v>16055.5</v>
      </c>
      <c r="AP256" s="31">
        <v>63276.5</v>
      </c>
      <c r="AQ256" s="42"/>
      <c r="AR256" s="43"/>
      <c r="AS256" s="42"/>
      <c r="AT256" s="42"/>
    </row>
    <row r="257" spans="1:46" ht="12.9" customHeight="1" x14ac:dyDescent="0.25">
      <c r="A257" s="28" t="s">
        <v>544</v>
      </c>
      <c r="B257" s="29" t="s">
        <v>545</v>
      </c>
      <c r="C257" s="30" t="s">
        <v>59</v>
      </c>
      <c r="D257" s="40">
        <v>55523</v>
      </c>
      <c r="E257" s="26">
        <v>99285</v>
      </c>
      <c r="F257" s="26">
        <f t="shared" si="6"/>
        <v>154808</v>
      </c>
      <c r="G257" s="40">
        <v>60864</v>
      </c>
      <c r="H257" s="26">
        <v>103376</v>
      </c>
      <c r="I257" s="27">
        <f t="shared" si="7"/>
        <v>164240</v>
      </c>
      <c r="J257" s="40">
        <v>70896</v>
      </c>
      <c r="K257" s="26">
        <v>89639</v>
      </c>
      <c r="L257" s="27">
        <v>160535</v>
      </c>
      <c r="M257" s="26">
        <v>68426</v>
      </c>
      <c r="N257" s="26">
        <v>66772</v>
      </c>
      <c r="O257" s="27">
        <v>135198</v>
      </c>
      <c r="P257" s="26">
        <v>67289</v>
      </c>
      <c r="Q257" s="26">
        <v>52656</v>
      </c>
      <c r="R257" s="27">
        <v>119945</v>
      </c>
      <c r="S257" s="26">
        <v>67289</v>
      </c>
      <c r="T257" s="26">
        <v>102120</v>
      </c>
      <c r="U257" s="27">
        <v>169409</v>
      </c>
      <c r="V257" s="26">
        <v>64780</v>
      </c>
      <c r="W257" s="26">
        <v>97602</v>
      </c>
      <c r="X257" s="31">
        <v>162382</v>
      </c>
      <c r="Y257" s="16">
        <v>65035</v>
      </c>
      <c r="Z257" s="16">
        <v>100703</v>
      </c>
      <c r="AA257" s="31">
        <v>165738</v>
      </c>
      <c r="AB257" s="32">
        <v>65668</v>
      </c>
      <c r="AC257" s="16">
        <v>90095</v>
      </c>
      <c r="AD257" s="31">
        <v>155763</v>
      </c>
      <c r="AE257" s="16">
        <v>67290</v>
      </c>
      <c r="AF257" s="16">
        <v>71724</v>
      </c>
      <c r="AG257" s="31">
        <v>139014</v>
      </c>
      <c r="AH257" s="16">
        <v>61415</v>
      </c>
      <c r="AI257" s="16">
        <v>70982</v>
      </c>
      <c r="AJ257" s="31">
        <v>132397</v>
      </c>
      <c r="AK257" s="16">
        <v>61672</v>
      </c>
      <c r="AL257" s="16">
        <v>79969</v>
      </c>
      <c r="AM257" s="31">
        <v>141641</v>
      </c>
      <c r="AN257" s="16">
        <v>72278</v>
      </c>
      <c r="AO257" s="16">
        <v>33979</v>
      </c>
      <c r="AP257" s="31">
        <v>106257</v>
      </c>
      <c r="AQ257" s="42"/>
      <c r="AR257" s="43"/>
      <c r="AS257" s="42"/>
      <c r="AT257" s="42"/>
    </row>
    <row r="258" spans="1:46" ht="12.9" customHeight="1" x14ac:dyDescent="0.25">
      <c r="A258" s="28" t="s">
        <v>546</v>
      </c>
      <c r="B258" s="29" t="s">
        <v>547</v>
      </c>
      <c r="C258" s="30" t="s">
        <v>11</v>
      </c>
      <c r="D258" s="40">
        <v>3075039</v>
      </c>
      <c r="E258" s="26">
        <v>1188404</v>
      </c>
      <c r="F258" s="26">
        <f t="shared" si="6"/>
        <v>4263443</v>
      </c>
      <c r="G258" s="40">
        <v>3112772</v>
      </c>
      <c r="H258" s="26">
        <v>1315156</v>
      </c>
      <c r="I258" s="27">
        <f t="shared" si="7"/>
        <v>4427928</v>
      </c>
      <c r="J258" s="40">
        <v>3112877</v>
      </c>
      <c r="K258" s="26">
        <v>1375880</v>
      </c>
      <c r="L258" s="27">
        <v>4488757</v>
      </c>
      <c r="M258" s="26">
        <v>3235109</v>
      </c>
      <c r="N258" s="26">
        <v>1288012</v>
      </c>
      <c r="O258" s="27">
        <v>4523121</v>
      </c>
      <c r="P258" s="26">
        <v>3377692</v>
      </c>
      <c r="Q258" s="26">
        <v>1235508</v>
      </c>
      <c r="R258" s="27">
        <v>4613200</v>
      </c>
      <c r="S258" s="26">
        <v>3107303</v>
      </c>
      <c r="T258" s="26">
        <v>1474749</v>
      </c>
      <c r="U258" s="27">
        <v>4582052</v>
      </c>
      <c r="V258" s="26">
        <v>3083395</v>
      </c>
      <c r="W258" s="26">
        <v>1501434</v>
      </c>
      <c r="X258" s="31">
        <v>4584829</v>
      </c>
      <c r="Y258" s="16">
        <v>3040802</v>
      </c>
      <c r="Z258" s="16">
        <v>1373938</v>
      </c>
      <c r="AA258" s="31">
        <v>4414740</v>
      </c>
      <c r="AB258" s="32">
        <v>2983127</v>
      </c>
      <c r="AC258" s="16">
        <v>1370469</v>
      </c>
      <c r="AD258" s="31">
        <v>4353596</v>
      </c>
      <c r="AE258" s="16">
        <v>2921019</v>
      </c>
      <c r="AF258" s="16">
        <v>1235887</v>
      </c>
      <c r="AG258" s="31">
        <v>4156906</v>
      </c>
      <c r="AH258" s="16">
        <v>2855506</v>
      </c>
      <c r="AI258" s="16">
        <v>1204224</v>
      </c>
      <c r="AJ258" s="31">
        <v>4059730</v>
      </c>
      <c r="AK258" s="16">
        <v>2895512</v>
      </c>
      <c r="AL258" s="16">
        <v>1246060</v>
      </c>
      <c r="AM258" s="31">
        <v>4141572</v>
      </c>
      <c r="AN258" s="16">
        <v>2986097</v>
      </c>
      <c r="AO258" s="16">
        <v>1079639</v>
      </c>
      <c r="AP258" s="31">
        <v>4065736</v>
      </c>
      <c r="AQ258" s="42"/>
      <c r="AR258" s="43"/>
      <c r="AS258" s="42"/>
      <c r="AT258" s="42"/>
    </row>
    <row r="259" spans="1:46" ht="12.9" customHeight="1" x14ac:dyDescent="0.25">
      <c r="A259" s="28" t="s">
        <v>548</v>
      </c>
      <c r="B259" s="29" t="s">
        <v>549</v>
      </c>
      <c r="C259" s="30" t="s">
        <v>212</v>
      </c>
      <c r="D259" s="40">
        <v>79532</v>
      </c>
      <c r="E259" s="26">
        <v>177718</v>
      </c>
      <c r="F259" s="26">
        <f t="shared" si="6"/>
        <v>257250</v>
      </c>
      <c r="G259" s="40">
        <v>75825</v>
      </c>
      <c r="H259" s="26">
        <v>271221</v>
      </c>
      <c r="I259" s="27">
        <f t="shared" si="7"/>
        <v>347046</v>
      </c>
      <c r="J259" s="40">
        <v>81944</v>
      </c>
      <c r="K259" s="26">
        <v>291633</v>
      </c>
      <c r="L259" s="27">
        <v>373577</v>
      </c>
      <c r="M259" s="26">
        <v>79525</v>
      </c>
      <c r="N259" s="26">
        <v>290018</v>
      </c>
      <c r="O259" s="27">
        <v>369543</v>
      </c>
      <c r="P259" s="26">
        <v>81600</v>
      </c>
      <c r="Q259" s="26">
        <v>272193</v>
      </c>
      <c r="R259" s="27">
        <v>353793</v>
      </c>
      <c r="S259" s="26">
        <v>78690</v>
      </c>
      <c r="T259" s="26">
        <v>246863</v>
      </c>
      <c r="U259" s="27">
        <v>325553</v>
      </c>
      <c r="V259" s="26">
        <v>75548</v>
      </c>
      <c r="W259" s="26">
        <v>310320</v>
      </c>
      <c r="X259" s="31">
        <v>385868</v>
      </c>
      <c r="Y259" s="16">
        <v>74151</v>
      </c>
      <c r="Z259" s="16">
        <v>272802</v>
      </c>
      <c r="AA259" s="31">
        <v>346953</v>
      </c>
      <c r="AB259" s="32">
        <v>72942</v>
      </c>
      <c r="AC259" s="16">
        <v>253757</v>
      </c>
      <c r="AD259" s="31">
        <v>326699</v>
      </c>
      <c r="AE259" s="16">
        <v>75210</v>
      </c>
      <c r="AF259" s="16">
        <v>251995</v>
      </c>
      <c r="AG259" s="31">
        <v>327205</v>
      </c>
      <c r="AH259" s="16">
        <v>72471</v>
      </c>
      <c r="AI259" s="16">
        <v>205694</v>
      </c>
      <c r="AJ259" s="31">
        <v>278165</v>
      </c>
      <c r="AK259" s="16">
        <v>74208</v>
      </c>
      <c r="AL259" s="16">
        <v>238025</v>
      </c>
      <c r="AM259" s="31">
        <v>312233</v>
      </c>
      <c r="AN259" s="16">
        <v>79461</v>
      </c>
      <c r="AO259" s="16">
        <v>203580</v>
      </c>
      <c r="AP259" s="31">
        <v>283041</v>
      </c>
      <c r="AQ259" s="42"/>
      <c r="AR259" s="43"/>
      <c r="AS259" s="42"/>
      <c r="AT259" s="42"/>
    </row>
    <row r="260" spans="1:46" ht="12.9" customHeight="1" x14ac:dyDescent="0.25">
      <c r="A260" s="28" t="s">
        <v>550</v>
      </c>
      <c r="B260" s="29" t="s">
        <v>551</v>
      </c>
      <c r="C260" s="30" t="s">
        <v>249</v>
      </c>
      <c r="D260" s="40">
        <v>33185</v>
      </c>
      <c r="E260" s="26">
        <v>14911</v>
      </c>
      <c r="F260" s="26">
        <f t="shared" si="6"/>
        <v>48096</v>
      </c>
      <c r="G260" s="40">
        <v>31877</v>
      </c>
      <c r="H260" s="26">
        <v>12522</v>
      </c>
      <c r="I260" s="27">
        <f t="shared" si="7"/>
        <v>44399</v>
      </c>
      <c r="J260" s="40">
        <v>34628</v>
      </c>
      <c r="K260" s="26">
        <v>12285</v>
      </c>
      <c r="L260" s="27">
        <v>46913</v>
      </c>
      <c r="M260" s="26">
        <v>35727</v>
      </c>
      <c r="N260" s="26">
        <v>11338</v>
      </c>
      <c r="O260" s="27">
        <v>47065</v>
      </c>
      <c r="P260" s="26">
        <v>36837</v>
      </c>
      <c r="Q260" s="26">
        <v>10256</v>
      </c>
      <c r="R260" s="27">
        <v>47093</v>
      </c>
      <c r="S260" s="26">
        <v>37067</v>
      </c>
      <c r="T260" s="26">
        <v>10634</v>
      </c>
      <c r="U260" s="27">
        <v>47701</v>
      </c>
      <c r="V260" s="26">
        <v>33571</v>
      </c>
      <c r="W260" s="26">
        <v>10106</v>
      </c>
      <c r="X260" s="31">
        <v>43677</v>
      </c>
      <c r="Y260" s="16">
        <v>34401</v>
      </c>
      <c r="Z260" s="16">
        <v>9095</v>
      </c>
      <c r="AA260" s="31">
        <v>43496</v>
      </c>
      <c r="AB260" s="32">
        <v>35554</v>
      </c>
      <c r="AC260" s="16">
        <v>8766</v>
      </c>
      <c r="AD260" s="31">
        <v>44320</v>
      </c>
      <c r="AE260" s="16">
        <v>33095</v>
      </c>
      <c r="AF260" s="16">
        <v>9354</v>
      </c>
      <c r="AG260" s="31">
        <v>42449</v>
      </c>
      <c r="AH260" s="16">
        <v>34475</v>
      </c>
      <c r="AI260" s="16">
        <v>8334</v>
      </c>
      <c r="AJ260" s="31">
        <v>42809</v>
      </c>
      <c r="AK260" s="16">
        <v>36596</v>
      </c>
      <c r="AL260" s="16">
        <v>9400</v>
      </c>
      <c r="AM260" s="31">
        <v>45996</v>
      </c>
      <c r="AN260" s="16">
        <v>36596</v>
      </c>
      <c r="AO260" s="16">
        <v>9398</v>
      </c>
      <c r="AP260" s="31">
        <v>45994</v>
      </c>
      <c r="AQ260" s="42"/>
      <c r="AR260" s="43"/>
      <c r="AS260" s="42"/>
      <c r="AT260" s="42"/>
    </row>
    <row r="261" spans="1:46" ht="12.9" customHeight="1" x14ac:dyDescent="0.25">
      <c r="A261" s="28" t="s">
        <v>552</v>
      </c>
      <c r="B261" s="29" t="s">
        <v>553</v>
      </c>
      <c r="C261" s="30" t="s">
        <v>120</v>
      </c>
      <c r="D261" s="40">
        <v>303437</v>
      </c>
      <c r="E261" s="26">
        <v>126234</v>
      </c>
      <c r="F261" s="26">
        <f t="shared" si="6"/>
        <v>429671</v>
      </c>
      <c r="G261" s="40">
        <v>324654</v>
      </c>
      <c r="H261" s="26">
        <v>131979</v>
      </c>
      <c r="I261" s="27">
        <f t="shared" si="7"/>
        <v>456633</v>
      </c>
      <c r="J261" s="40">
        <v>326323</v>
      </c>
      <c r="K261" s="26">
        <v>121635</v>
      </c>
      <c r="L261" s="27">
        <v>447958</v>
      </c>
      <c r="M261" s="26">
        <v>309799</v>
      </c>
      <c r="N261" s="26">
        <v>121919</v>
      </c>
      <c r="O261" s="27">
        <v>431718</v>
      </c>
      <c r="P261" s="26">
        <v>313235</v>
      </c>
      <c r="Q261" s="26">
        <v>77131</v>
      </c>
      <c r="R261" s="27">
        <v>390366</v>
      </c>
      <c r="S261" s="26">
        <v>292013</v>
      </c>
      <c r="T261" s="26">
        <v>100612</v>
      </c>
      <c r="U261" s="27">
        <v>392625</v>
      </c>
      <c r="V261" s="26">
        <v>278411</v>
      </c>
      <c r="W261" s="26">
        <v>84163</v>
      </c>
      <c r="X261" s="31">
        <v>362574</v>
      </c>
      <c r="Y261" s="16">
        <v>292360</v>
      </c>
      <c r="Z261" s="16">
        <v>89679</v>
      </c>
      <c r="AA261" s="31">
        <v>382039</v>
      </c>
      <c r="AB261" s="32">
        <v>281937</v>
      </c>
      <c r="AC261" s="16">
        <v>79445</v>
      </c>
      <c r="AD261" s="31">
        <v>361382</v>
      </c>
      <c r="AE261" s="16">
        <v>285130</v>
      </c>
      <c r="AF261" s="16">
        <v>68476</v>
      </c>
      <c r="AG261" s="31">
        <v>353606</v>
      </c>
      <c r="AH261" s="16">
        <v>278237</v>
      </c>
      <c r="AI261" s="16">
        <v>66740</v>
      </c>
      <c r="AJ261" s="31">
        <v>344977</v>
      </c>
      <c r="AK261" s="16">
        <v>279642</v>
      </c>
      <c r="AL261" s="16">
        <v>71639</v>
      </c>
      <c r="AM261" s="31">
        <v>351281</v>
      </c>
      <c r="AN261" s="16">
        <v>312038</v>
      </c>
      <c r="AO261" s="16">
        <v>61082</v>
      </c>
      <c r="AP261" s="31">
        <v>373120</v>
      </c>
      <c r="AQ261" s="42"/>
      <c r="AR261" s="43"/>
      <c r="AS261" s="42"/>
      <c r="AT261" s="42"/>
    </row>
    <row r="262" spans="1:46" ht="12.9" customHeight="1" x14ac:dyDescent="0.25">
      <c r="A262" s="28" t="s">
        <v>554</v>
      </c>
      <c r="B262" s="29" t="s">
        <v>555</v>
      </c>
      <c r="C262" s="30" t="s">
        <v>212</v>
      </c>
      <c r="D262" s="40">
        <v>6203</v>
      </c>
      <c r="E262" s="26">
        <v>4532</v>
      </c>
      <c r="F262" s="26">
        <f t="shared" si="6"/>
        <v>10735</v>
      </c>
      <c r="G262" s="40">
        <v>7056</v>
      </c>
      <c r="H262" s="26">
        <v>5325</v>
      </c>
      <c r="I262" s="27">
        <f t="shared" si="7"/>
        <v>12381</v>
      </c>
      <c r="J262" s="40">
        <v>8395</v>
      </c>
      <c r="K262" s="26">
        <v>4249</v>
      </c>
      <c r="L262" s="27">
        <v>12644</v>
      </c>
      <c r="M262" s="26">
        <v>8673</v>
      </c>
      <c r="N262" s="26">
        <v>3742</v>
      </c>
      <c r="O262" s="27">
        <v>12415</v>
      </c>
      <c r="P262" s="26">
        <v>8231</v>
      </c>
      <c r="Q262" s="26">
        <v>3059</v>
      </c>
      <c r="R262" s="27">
        <v>11290</v>
      </c>
      <c r="S262" s="26">
        <v>8106</v>
      </c>
      <c r="T262" s="26">
        <v>3479</v>
      </c>
      <c r="U262" s="27">
        <v>11585</v>
      </c>
      <c r="V262" s="26">
        <v>8482</v>
      </c>
      <c r="W262" s="26">
        <v>4097</v>
      </c>
      <c r="X262" s="31">
        <v>12579</v>
      </c>
      <c r="Y262" s="16">
        <v>9165</v>
      </c>
      <c r="Z262" s="16">
        <v>3916</v>
      </c>
      <c r="AA262" s="31">
        <v>13081</v>
      </c>
      <c r="AB262" s="32">
        <v>8282</v>
      </c>
      <c r="AC262" s="16">
        <v>4213</v>
      </c>
      <c r="AD262" s="31">
        <v>12495</v>
      </c>
      <c r="AE262" s="16">
        <v>8418</v>
      </c>
      <c r="AF262" s="16">
        <v>3236</v>
      </c>
      <c r="AG262" s="31">
        <v>11654</v>
      </c>
      <c r="AH262" s="16">
        <v>8187</v>
      </c>
      <c r="AI262" s="16">
        <v>2892</v>
      </c>
      <c r="AJ262" s="31">
        <v>11079</v>
      </c>
      <c r="AK262" s="16">
        <v>9170</v>
      </c>
      <c r="AL262" s="16">
        <v>1687</v>
      </c>
      <c r="AM262" s="31">
        <v>10857</v>
      </c>
      <c r="AN262" s="16">
        <v>8344</v>
      </c>
      <c r="AO262" s="16">
        <v>932</v>
      </c>
      <c r="AP262" s="31">
        <v>9276</v>
      </c>
      <c r="AQ262" s="42"/>
      <c r="AR262" s="43"/>
      <c r="AS262" s="42"/>
      <c r="AT262" s="42"/>
    </row>
    <row r="263" spans="1:46" ht="12.9" customHeight="1" x14ac:dyDescent="0.25">
      <c r="A263" s="28" t="s">
        <v>556</v>
      </c>
      <c r="B263" s="29" t="s">
        <v>557</v>
      </c>
      <c r="C263" s="30" t="s">
        <v>59</v>
      </c>
      <c r="D263" s="40">
        <v>70062</v>
      </c>
      <c r="E263" s="26">
        <v>31136</v>
      </c>
      <c r="F263" s="26">
        <f t="shared" si="6"/>
        <v>101198</v>
      </c>
      <c r="G263" s="40">
        <v>70247</v>
      </c>
      <c r="H263" s="26">
        <v>29159</v>
      </c>
      <c r="I263" s="27">
        <f t="shared" si="7"/>
        <v>99406</v>
      </c>
      <c r="J263" s="40">
        <v>78312</v>
      </c>
      <c r="K263" s="26">
        <v>33552</v>
      </c>
      <c r="L263" s="27">
        <v>111864</v>
      </c>
      <c r="M263" s="26">
        <v>81189</v>
      </c>
      <c r="N263" s="26">
        <v>37352</v>
      </c>
      <c r="O263" s="27">
        <v>118541</v>
      </c>
      <c r="P263" s="26">
        <v>79448</v>
      </c>
      <c r="Q263" s="26">
        <v>44887</v>
      </c>
      <c r="R263" s="27">
        <v>124335</v>
      </c>
      <c r="S263" s="26">
        <v>79448</v>
      </c>
      <c r="T263" s="26">
        <v>45406</v>
      </c>
      <c r="U263" s="27">
        <v>124854</v>
      </c>
      <c r="V263" s="26">
        <v>74850</v>
      </c>
      <c r="W263" s="26">
        <v>52431</v>
      </c>
      <c r="X263" s="31">
        <v>127281</v>
      </c>
      <c r="Y263" s="16">
        <v>76285</v>
      </c>
      <c r="Z263" s="16">
        <v>46188</v>
      </c>
      <c r="AA263" s="31">
        <v>122473</v>
      </c>
      <c r="AB263" s="32">
        <v>77756</v>
      </c>
      <c r="AC263" s="16">
        <v>46803</v>
      </c>
      <c r="AD263" s="31">
        <v>124559</v>
      </c>
      <c r="AE263" s="16">
        <v>80054</v>
      </c>
      <c r="AF263" s="16">
        <v>42965</v>
      </c>
      <c r="AG263" s="31">
        <v>123019</v>
      </c>
      <c r="AH263" s="16">
        <v>74867</v>
      </c>
      <c r="AI263" s="16">
        <v>38802</v>
      </c>
      <c r="AJ263" s="31">
        <v>113669</v>
      </c>
      <c r="AK263" s="16">
        <v>70898</v>
      </c>
      <c r="AL263" s="16">
        <v>33014</v>
      </c>
      <c r="AM263" s="31">
        <v>103912</v>
      </c>
      <c r="AN263" s="16">
        <v>89119</v>
      </c>
      <c r="AO263" s="16">
        <v>34429</v>
      </c>
      <c r="AP263" s="31">
        <v>123548</v>
      </c>
      <c r="AQ263" s="42"/>
      <c r="AR263" s="43"/>
      <c r="AS263" s="42"/>
      <c r="AT263" s="42"/>
    </row>
    <row r="264" spans="1:46" ht="12.9" customHeight="1" x14ac:dyDescent="0.25">
      <c r="A264" s="28" t="s">
        <v>558</v>
      </c>
      <c r="B264" s="29" t="s">
        <v>559</v>
      </c>
      <c r="C264" s="30" t="s">
        <v>409</v>
      </c>
      <c r="D264" s="40">
        <v>880274.4</v>
      </c>
      <c r="E264" s="26">
        <v>126395.2</v>
      </c>
      <c r="F264" s="26">
        <f t="shared" si="6"/>
        <v>1006669.6</v>
      </c>
      <c r="G264" s="40">
        <v>935317</v>
      </c>
      <c r="H264" s="26">
        <v>139617</v>
      </c>
      <c r="I264" s="27">
        <f t="shared" si="7"/>
        <v>1074934</v>
      </c>
      <c r="J264" s="40">
        <v>963027</v>
      </c>
      <c r="K264" s="26">
        <v>174415</v>
      </c>
      <c r="L264" s="27">
        <v>1137442</v>
      </c>
      <c r="M264" s="26">
        <v>1005159</v>
      </c>
      <c r="N264" s="26">
        <v>179467</v>
      </c>
      <c r="O264" s="27">
        <v>1184626</v>
      </c>
      <c r="P264" s="26">
        <v>988712</v>
      </c>
      <c r="Q264" s="26">
        <v>145268</v>
      </c>
      <c r="R264" s="27">
        <v>1133980</v>
      </c>
      <c r="S264" s="26">
        <v>927379</v>
      </c>
      <c r="T264" s="26">
        <v>198713</v>
      </c>
      <c r="U264" s="27">
        <v>1126092</v>
      </c>
      <c r="V264" s="26">
        <v>925120</v>
      </c>
      <c r="W264" s="26">
        <v>208684</v>
      </c>
      <c r="X264" s="31">
        <v>1133804</v>
      </c>
      <c r="Y264" s="16">
        <v>933157</v>
      </c>
      <c r="Z264" s="16">
        <v>187427</v>
      </c>
      <c r="AA264" s="31">
        <v>1120584</v>
      </c>
      <c r="AB264" s="32">
        <v>928518</v>
      </c>
      <c r="AC264" s="16">
        <v>167036</v>
      </c>
      <c r="AD264" s="31">
        <v>1095554</v>
      </c>
      <c r="AE264" s="16">
        <v>898025</v>
      </c>
      <c r="AF264" s="16">
        <v>160878</v>
      </c>
      <c r="AG264" s="31">
        <v>1058903</v>
      </c>
      <c r="AH264" s="16">
        <v>914545</v>
      </c>
      <c r="AI264" s="16">
        <v>140437</v>
      </c>
      <c r="AJ264" s="31">
        <v>1054982</v>
      </c>
      <c r="AK264" s="16">
        <v>901289</v>
      </c>
      <c r="AL264" s="16">
        <v>145145</v>
      </c>
      <c r="AM264" s="31">
        <v>1046434</v>
      </c>
      <c r="AN264" s="16">
        <v>948348</v>
      </c>
      <c r="AO264" s="16">
        <v>118059</v>
      </c>
      <c r="AP264" s="31">
        <v>1066407</v>
      </c>
      <c r="AQ264" s="42"/>
      <c r="AR264" s="43"/>
      <c r="AS264" s="42"/>
      <c r="AT264" s="42"/>
    </row>
    <row r="265" spans="1:46" ht="12.9" customHeight="1" x14ac:dyDescent="0.25">
      <c r="A265" s="28" t="s">
        <v>560</v>
      </c>
      <c r="B265" s="29" t="s">
        <v>561</v>
      </c>
      <c r="C265" s="30" t="s">
        <v>14</v>
      </c>
      <c r="D265" s="40">
        <v>16309</v>
      </c>
      <c r="E265" s="26">
        <v>27384</v>
      </c>
      <c r="F265" s="26">
        <f t="shared" ref="F265:F328" si="8">+D265+E265</f>
        <v>43693</v>
      </c>
      <c r="G265" s="40">
        <v>17223</v>
      </c>
      <c r="H265" s="26">
        <v>17163</v>
      </c>
      <c r="I265" s="27">
        <f t="shared" si="7"/>
        <v>34386</v>
      </c>
      <c r="J265" s="40">
        <v>20571</v>
      </c>
      <c r="K265" s="26">
        <v>25193</v>
      </c>
      <c r="L265" s="27">
        <v>45764</v>
      </c>
      <c r="M265" s="26">
        <v>22879</v>
      </c>
      <c r="N265" s="26">
        <v>16738</v>
      </c>
      <c r="O265" s="27">
        <v>39617</v>
      </c>
      <c r="P265" s="26">
        <v>18278</v>
      </c>
      <c r="Q265" s="26">
        <v>14022</v>
      </c>
      <c r="R265" s="27">
        <v>32300</v>
      </c>
      <c r="S265" s="26">
        <v>18017</v>
      </c>
      <c r="T265" s="26">
        <v>22334</v>
      </c>
      <c r="U265" s="27">
        <v>40351</v>
      </c>
      <c r="V265" s="26">
        <v>16772</v>
      </c>
      <c r="W265" s="26">
        <v>18659</v>
      </c>
      <c r="X265" s="31">
        <v>35431</v>
      </c>
      <c r="Y265" s="16">
        <v>18282</v>
      </c>
      <c r="Z265" s="16">
        <v>24822</v>
      </c>
      <c r="AA265" s="31">
        <v>43104</v>
      </c>
      <c r="AB265" s="32">
        <v>16894</v>
      </c>
      <c r="AC265" s="16">
        <v>27558</v>
      </c>
      <c r="AD265" s="31">
        <v>44452</v>
      </c>
      <c r="AE265" s="16">
        <v>22724</v>
      </c>
      <c r="AF265" s="16">
        <v>32907</v>
      </c>
      <c r="AG265" s="31">
        <v>55631</v>
      </c>
      <c r="AH265" s="16">
        <v>18649</v>
      </c>
      <c r="AI265" s="16">
        <v>27756</v>
      </c>
      <c r="AJ265" s="31">
        <v>46405</v>
      </c>
      <c r="AK265" s="16">
        <v>17120</v>
      </c>
      <c r="AL265" s="16">
        <v>24246</v>
      </c>
      <c r="AM265" s="31">
        <v>41366</v>
      </c>
      <c r="AN265" s="16">
        <v>25688</v>
      </c>
      <c r="AO265" s="16">
        <v>21865</v>
      </c>
      <c r="AP265" s="31">
        <v>47553</v>
      </c>
      <c r="AQ265" s="42"/>
      <c r="AR265" s="43"/>
      <c r="AS265" s="42"/>
      <c r="AT265" s="42"/>
    </row>
    <row r="266" spans="1:46" ht="12.9" customHeight="1" x14ac:dyDescent="0.25">
      <c r="A266" s="28" t="s">
        <v>562</v>
      </c>
      <c r="B266" s="29" t="s">
        <v>563</v>
      </c>
      <c r="C266" s="30" t="s">
        <v>53</v>
      </c>
      <c r="D266" s="40">
        <v>1001531</v>
      </c>
      <c r="E266" s="26">
        <v>126176</v>
      </c>
      <c r="F266" s="26">
        <f t="shared" si="8"/>
        <v>1127707</v>
      </c>
      <c r="G266" s="40">
        <v>946533</v>
      </c>
      <c r="H266" s="26">
        <v>115260</v>
      </c>
      <c r="I266" s="27">
        <f t="shared" ref="I266:I329" si="9">+G266+H266</f>
        <v>1061793</v>
      </c>
      <c r="J266" s="40">
        <v>942820</v>
      </c>
      <c r="K266" s="26">
        <v>105146</v>
      </c>
      <c r="L266" s="27">
        <v>1047966</v>
      </c>
      <c r="M266" s="26">
        <v>972362</v>
      </c>
      <c r="N266" s="26">
        <v>104959</v>
      </c>
      <c r="O266" s="27">
        <v>1077321</v>
      </c>
      <c r="P266" s="26">
        <v>919493</v>
      </c>
      <c r="Q266" s="26">
        <v>112328</v>
      </c>
      <c r="R266" s="27">
        <v>1031821</v>
      </c>
      <c r="S266" s="26">
        <v>889963</v>
      </c>
      <c r="T266" s="26">
        <v>121059</v>
      </c>
      <c r="U266" s="27">
        <v>1011022</v>
      </c>
      <c r="V266" s="26">
        <v>863555</v>
      </c>
      <c r="W266" s="26">
        <v>105512</v>
      </c>
      <c r="X266" s="31">
        <v>969067</v>
      </c>
      <c r="Y266" s="16">
        <v>876404</v>
      </c>
      <c r="Z266" s="16">
        <v>111890</v>
      </c>
      <c r="AA266" s="31">
        <v>988294</v>
      </c>
      <c r="AB266" s="32">
        <v>866607</v>
      </c>
      <c r="AC266" s="16">
        <v>95125</v>
      </c>
      <c r="AD266" s="31">
        <v>961732</v>
      </c>
      <c r="AE266" s="16">
        <v>856804</v>
      </c>
      <c r="AF266" s="16">
        <v>95155</v>
      </c>
      <c r="AG266" s="31">
        <v>951959</v>
      </c>
      <c r="AH266" s="16">
        <v>860069</v>
      </c>
      <c r="AI266" s="16">
        <v>87717</v>
      </c>
      <c r="AJ266" s="31">
        <v>947786</v>
      </c>
      <c r="AK266" s="16">
        <v>870226</v>
      </c>
      <c r="AL266" s="16">
        <v>93357</v>
      </c>
      <c r="AM266" s="31">
        <v>963583</v>
      </c>
      <c r="AN266" s="16">
        <v>941492</v>
      </c>
      <c r="AO266" s="16">
        <v>118748</v>
      </c>
      <c r="AP266" s="31">
        <v>1060240</v>
      </c>
      <c r="AQ266" s="42"/>
      <c r="AR266" s="43"/>
      <c r="AS266" s="42"/>
      <c r="AT266" s="42"/>
    </row>
    <row r="267" spans="1:46" ht="12.9" customHeight="1" x14ac:dyDescent="0.25">
      <c r="A267" s="28" t="s">
        <v>564</v>
      </c>
      <c r="B267" s="29" t="s">
        <v>565</v>
      </c>
      <c r="C267" s="30" t="s">
        <v>23</v>
      </c>
      <c r="D267" s="40">
        <v>24326</v>
      </c>
      <c r="E267" s="26">
        <v>835</v>
      </c>
      <c r="F267" s="26">
        <f t="shared" si="8"/>
        <v>25161</v>
      </c>
      <c r="G267" s="40">
        <v>29769</v>
      </c>
      <c r="H267" s="26">
        <v>2000</v>
      </c>
      <c r="I267" s="27">
        <f t="shared" si="9"/>
        <v>31769</v>
      </c>
      <c r="J267" s="40">
        <v>32694</v>
      </c>
      <c r="K267" s="26">
        <v>1677</v>
      </c>
      <c r="L267" s="27">
        <v>34371</v>
      </c>
      <c r="M267" s="26">
        <v>32141</v>
      </c>
      <c r="N267" s="26">
        <v>2016</v>
      </c>
      <c r="O267" s="27">
        <v>34157</v>
      </c>
      <c r="P267" s="26">
        <v>29999</v>
      </c>
      <c r="Q267" s="26">
        <v>633</v>
      </c>
      <c r="R267" s="27">
        <v>30632</v>
      </c>
      <c r="S267" s="26">
        <v>36510</v>
      </c>
      <c r="T267" s="26">
        <v>838</v>
      </c>
      <c r="U267" s="27">
        <v>37348</v>
      </c>
      <c r="V267" s="26">
        <v>36540</v>
      </c>
      <c r="W267" s="26">
        <v>946</v>
      </c>
      <c r="X267" s="31">
        <v>37486</v>
      </c>
      <c r="Y267" s="16">
        <v>39023</v>
      </c>
      <c r="Z267" s="16">
        <v>3062</v>
      </c>
      <c r="AA267" s="31">
        <v>42085</v>
      </c>
      <c r="AB267" s="32">
        <v>39023</v>
      </c>
      <c r="AC267" s="16">
        <v>3195</v>
      </c>
      <c r="AD267" s="31">
        <v>42218</v>
      </c>
      <c r="AE267" s="16">
        <v>39023</v>
      </c>
      <c r="AF267" s="16">
        <v>3245</v>
      </c>
      <c r="AG267" s="31">
        <v>42268</v>
      </c>
      <c r="AH267" s="16">
        <v>39023</v>
      </c>
      <c r="AI267" s="16">
        <v>3054</v>
      </c>
      <c r="AJ267" s="31">
        <v>42077</v>
      </c>
      <c r="AK267" s="16">
        <v>39023</v>
      </c>
      <c r="AL267" s="16">
        <v>3072</v>
      </c>
      <c r="AM267" s="31">
        <v>42095</v>
      </c>
      <c r="AN267" s="16">
        <v>39023</v>
      </c>
      <c r="AO267" s="16">
        <v>2967</v>
      </c>
      <c r="AP267" s="31">
        <v>41990</v>
      </c>
      <c r="AQ267" s="42"/>
      <c r="AR267" s="43"/>
      <c r="AS267" s="42"/>
      <c r="AT267" s="42"/>
    </row>
    <row r="268" spans="1:46" ht="12.9" customHeight="1" x14ac:dyDescent="0.25">
      <c r="A268" s="28" t="s">
        <v>566</v>
      </c>
      <c r="B268" s="29" t="s">
        <v>567</v>
      </c>
      <c r="C268" s="30" t="s">
        <v>110</v>
      </c>
      <c r="D268" s="40">
        <v>13690</v>
      </c>
      <c r="E268" s="26">
        <v>74614</v>
      </c>
      <c r="F268" s="26">
        <f t="shared" si="8"/>
        <v>88304</v>
      </c>
      <c r="G268" s="40">
        <v>21441</v>
      </c>
      <c r="H268" s="26">
        <v>68786</v>
      </c>
      <c r="I268" s="27">
        <f t="shared" si="9"/>
        <v>90227</v>
      </c>
      <c r="J268" s="40">
        <v>23081</v>
      </c>
      <c r="K268" s="26">
        <v>82735</v>
      </c>
      <c r="L268" s="27">
        <v>105816</v>
      </c>
      <c r="M268" s="26">
        <v>25677</v>
      </c>
      <c r="N268" s="26">
        <v>69271</v>
      </c>
      <c r="O268" s="27">
        <v>94948</v>
      </c>
      <c r="P268" s="26">
        <v>18808</v>
      </c>
      <c r="Q268" s="26">
        <v>61881</v>
      </c>
      <c r="R268" s="27">
        <v>80689</v>
      </c>
      <c r="S268" s="26">
        <v>17254</v>
      </c>
      <c r="T268" s="26">
        <v>56741</v>
      </c>
      <c r="U268" s="27">
        <v>73995</v>
      </c>
      <c r="V268" s="26">
        <v>17557</v>
      </c>
      <c r="W268" s="26">
        <v>95685</v>
      </c>
      <c r="X268" s="31">
        <v>113242</v>
      </c>
      <c r="Y268" s="16">
        <v>17311</v>
      </c>
      <c r="Z268" s="16">
        <v>91435</v>
      </c>
      <c r="AA268" s="31">
        <v>108746</v>
      </c>
      <c r="AB268" s="32">
        <v>33219</v>
      </c>
      <c r="AC268" s="16">
        <v>23489</v>
      </c>
      <c r="AD268" s="31">
        <v>56708</v>
      </c>
      <c r="AE268" s="16">
        <v>20342</v>
      </c>
      <c r="AF268" s="16">
        <v>9847</v>
      </c>
      <c r="AG268" s="31">
        <v>30189</v>
      </c>
      <c r="AH268" s="16">
        <v>20342</v>
      </c>
      <c r="AI268" s="16">
        <v>18394</v>
      </c>
      <c r="AJ268" s="31">
        <v>38736</v>
      </c>
      <c r="AK268" s="16">
        <v>20219</v>
      </c>
      <c r="AL268" s="16">
        <v>19178</v>
      </c>
      <c r="AM268" s="31">
        <v>39397</v>
      </c>
      <c r="AN268" s="16">
        <v>20219</v>
      </c>
      <c r="AO268" s="16">
        <v>16039</v>
      </c>
      <c r="AP268" s="31">
        <v>36258</v>
      </c>
      <c r="AQ268" s="42"/>
      <c r="AR268" s="43"/>
      <c r="AS268" s="42"/>
      <c r="AT268" s="42"/>
    </row>
    <row r="269" spans="1:46" ht="12.9" customHeight="1" x14ac:dyDescent="0.25">
      <c r="A269" s="28" t="s">
        <v>568</v>
      </c>
      <c r="B269" s="29" t="s">
        <v>569</v>
      </c>
      <c r="C269" s="30" t="s">
        <v>73</v>
      </c>
      <c r="D269" s="40">
        <v>573581</v>
      </c>
      <c r="E269" s="26">
        <v>321887</v>
      </c>
      <c r="F269" s="26">
        <f t="shared" si="8"/>
        <v>895468</v>
      </c>
      <c r="G269" s="40">
        <v>556553</v>
      </c>
      <c r="H269" s="26">
        <v>273260</v>
      </c>
      <c r="I269" s="27">
        <f t="shared" si="9"/>
        <v>829813</v>
      </c>
      <c r="J269" s="40">
        <v>545355</v>
      </c>
      <c r="K269" s="26">
        <v>200911</v>
      </c>
      <c r="L269" s="27">
        <v>746266</v>
      </c>
      <c r="M269" s="26">
        <v>558164</v>
      </c>
      <c r="N269" s="26">
        <v>173842</v>
      </c>
      <c r="O269" s="27">
        <v>732006</v>
      </c>
      <c r="P269" s="26">
        <v>553287</v>
      </c>
      <c r="Q269" s="26">
        <v>176395</v>
      </c>
      <c r="R269" s="27">
        <v>729682</v>
      </c>
      <c r="S269" s="26">
        <v>532388</v>
      </c>
      <c r="T269" s="26">
        <v>205260</v>
      </c>
      <c r="U269" s="27">
        <v>737648</v>
      </c>
      <c r="V269" s="26">
        <v>522370</v>
      </c>
      <c r="W269" s="26">
        <v>195819</v>
      </c>
      <c r="X269" s="31">
        <v>718189</v>
      </c>
      <c r="Y269" s="16">
        <v>530472</v>
      </c>
      <c r="Z269" s="16">
        <v>167689</v>
      </c>
      <c r="AA269" s="31">
        <v>698161</v>
      </c>
      <c r="AB269" s="32">
        <v>531017</v>
      </c>
      <c r="AC269" s="16">
        <v>161394</v>
      </c>
      <c r="AD269" s="31">
        <v>692411</v>
      </c>
      <c r="AE269" s="16">
        <v>572260</v>
      </c>
      <c r="AF269" s="16">
        <v>143814</v>
      </c>
      <c r="AG269" s="31">
        <v>716074</v>
      </c>
      <c r="AH269" s="16">
        <v>528250</v>
      </c>
      <c r="AI269" s="16">
        <v>136792</v>
      </c>
      <c r="AJ269" s="31">
        <v>665042</v>
      </c>
      <c r="AK269" s="16">
        <v>535618</v>
      </c>
      <c r="AL269" s="16">
        <v>122080</v>
      </c>
      <c r="AM269" s="31">
        <v>657698</v>
      </c>
      <c r="AN269" s="16">
        <v>595678</v>
      </c>
      <c r="AO269" s="16">
        <v>158619</v>
      </c>
      <c r="AP269" s="31">
        <v>754297</v>
      </c>
      <c r="AQ269" s="42"/>
      <c r="AR269" s="43"/>
      <c r="AS269" s="42"/>
      <c r="AT269" s="42"/>
    </row>
    <row r="270" spans="1:46" ht="12.9" customHeight="1" x14ac:dyDescent="0.25">
      <c r="A270" s="28" t="s">
        <v>570</v>
      </c>
      <c r="B270" s="29" t="s">
        <v>571</v>
      </c>
      <c r="C270" s="30" t="s">
        <v>80</v>
      </c>
      <c r="D270" s="40">
        <v>262452</v>
      </c>
      <c r="E270" s="26">
        <v>110638</v>
      </c>
      <c r="F270" s="26">
        <f t="shared" si="8"/>
        <v>373090</v>
      </c>
      <c r="G270" s="40">
        <v>280315</v>
      </c>
      <c r="H270" s="26">
        <v>149730</v>
      </c>
      <c r="I270" s="27">
        <f t="shared" si="9"/>
        <v>430045</v>
      </c>
      <c r="J270" s="40">
        <v>295939</v>
      </c>
      <c r="K270" s="26">
        <v>152244</v>
      </c>
      <c r="L270" s="27">
        <v>448183</v>
      </c>
      <c r="M270" s="26">
        <v>272085.69863013702</v>
      </c>
      <c r="N270" s="26">
        <v>142149</v>
      </c>
      <c r="O270" s="27">
        <v>414234.69863013702</v>
      </c>
      <c r="P270" s="26">
        <v>295898</v>
      </c>
      <c r="Q270" s="26">
        <v>137398</v>
      </c>
      <c r="R270" s="27">
        <v>433296</v>
      </c>
      <c r="S270" s="26">
        <v>284554</v>
      </c>
      <c r="T270" s="26">
        <v>189193</v>
      </c>
      <c r="U270" s="27">
        <v>473747</v>
      </c>
      <c r="V270" s="26">
        <v>264091</v>
      </c>
      <c r="W270" s="26">
        <v>159746</v>
      </c>
      <c r="X270" s="31">
        <v>423837</v>
      </c>
      <c r="Y270" s="16">
        <v>231950</v>
      </c>
      <c r="Z270" s="16">
        <v>211170</v>
      </c>
      <c r="AA270" s="31">
        <v>443120</v>
      </c>
      <c r="AB270" s="32">
        <v>268038</v>
      </c>
      <c r="AC270" s="16">
        <v>224732</v>
      </c>
      <c r="AD270" s="31">
        <v>492770</v>
      </c>
      <c r="AE270" s="16">
        <v>259817</v>
      </c>
      <c r="AF270" s="16">
        <v>211330</v>
      </c>
      <c r="AG270" s="31">
        <v>471147</v>
      </c>
      <c r="AH270" s="16">
        <v>243450</v>
      </c>
      <c r="AI270" s="16">
        <v>205490</v>
      </c>
      <c r="AJ270" s="31">
        <v>448940</v>
      </c>
      <c r="AK270" s="16">
        <v>267039</v>
      </c>
      <c r="AL270" s="16">
        <v>225294</v>
      </c>
      <c r="AM270" s="31">
        <v>492333</v>
      </c>
      <c r="AN270" s="16">
        <v>304521</v>
      </c>
      <c r="AO270" s="16">
        <v>212530</v>
      </c>
      <c r="AP270" s="31">
        <v>517051</v>
      </c>
      <c r="AQ270" s="42"/>
      <c r="AR270" s="43"/>
      <c r="AS270" s="42"/>
      <c r="AT270" s="42"/>
    </row>
    <row r="271" spans="1:46" ht="12.9" customHeight="1" x14ac:dyDescent="0.25">
      <c r="A271" s="28" t="s">
        <v>572</v>
      </c>
      <c r="B271" s="29" t="s">
        <v>573</v>
      </c>
      <c r="C271" s="30" t="s">
        <v>56</v>
      </c>
      <c r="D271" s="40">
        <v>7264</v>
      </c>
      <c r="E271" s="26">
        <v>797</v>
      </c>
      <c r="F271" s="26">
        <f t="shared" si="8"/>
        <v>8061</v>
      </c>
      <c r="G271" s="40">
        <v>7631</v>
      </c>
      <c r="H271" s="26">
        <v>1325</v>
      </c>
      <c r="I271" s="27">
        <f t="shared" si="9"/>
        <v>8956</v>
      </c>
      <c r="J271" s="40">
        <v>8867</v>
      </c>
      <c r="K271" s="26">
        <v>1300</v>
      </c>
      <c r="L271" s="27">
        <v>10167</v>
      </c>
      <c r="M271" s="26">
        <v>8657</v>
      </c>
      <c r="N271" s="26">
        <v>1975</v>
      </c>
      <c r="O271" s="27">
        <v>10632</v>
      </c>
      <c r="P271" s="26">
        <v>8851</v>
      </c>
      <c r="Q271" s="26">
        <v>914</v>
      </c>
      <c r="R271" s="27">
        <v>9765</v>
      </c>
      <c r="S271" s="26">
        <v>8278</v>
      </c>
      <c r="T271" s="26">
        <v>1830</v>
      </c>
      <c r="U271" s="27">
        <v>10108</v>
      </c>
      <c r="V271" s="26">
        <v>7461</v>
      </c>
      <c r="W271" s="26">
        <v>2168</v>
      </c>
      <c r="X271" s="31">
        <v>9629</v>
      </c>
      <c r="Y271" s="16">
        <v>9148</v>
      </c>
      <c r="Z271" s="16">
        <v>1317</v>
      </c>
      <c r="AA271" s="31">
        <v>10465</v>
      </c>
      <c r="AB271" s="32">
        <v>10447</v>
      </c>
      <c r="AC271" s="16">
        <v>958</v>
      </c>
      <c r="AD271" s="31">
        <v>11405</v>
      </c>
      <c r="AE271" s="16">
        <v>11492</v>
      </c>
      <c r="AF271" s="16">
        <v>998</v>
      </c>
      <c r="AG271" s="31">
        <v>12490</v>
      </c>
      <c r="AH271" s="16">
        <v>10629</v>
      </c>
      <c r="AI271" s="16">
        <v>1447</v>
      </c>
      <c r="AJ271" s="31">
        <v>12076</v>
      </c>
      <c r="AK271" s="16">
        <v>9741</v>
      </c>
      <c r="AL271" s="16">
        <v>889</v>
      </c>
      <c r="AM271" s="31">
        <v>10630</v>
      </c>
      <c r="AN271" s="16">
        <v>9741</v>
      </c>
      <c r="AO271" s="16">
        <v>889</v>
      </c>
      <c r="AP271" s="31">
        <v>10630</v>
      </c>
      <c r="AQ271" s="42"/>
      <c r="AR271" s="43"/>
      <c r="AS271" s="42"/>
      <c r="AT271" s="42"/>
    </row>
    <row r="272" spans="1:46" ht="12.9" customHeight="1" x14ac:dyDescent="0.25">
      <c r="A272" s="28" t="s">
        <v>574</v>
      </c>
      <c r="B272" s="29" t="s">
        <v>575</v>
      </c>
      <c r="C272" s="30" t="s">
        <v>23</v>
      </c>
      <c r="D272" s="40">
        <v>899356</v>
      </c>
      <c r="E272" s="26">
        <v>334253</v>
      </c>
      <c r="F272" s="26">
        <f t="shared" si="8"/>
        <v>1233609</v>
      </c>
      <c r="G272" s="40">
        <v>947929</v>
      </c>
      <c r="H272" s="26">
        <v>323665</v>
      </c>
      <c r="I272" s="27">
        <f t="shared" si="9"/>
        <v>1271594</v>
      </c>
      <c r="J272" s="40">
        <v>1024899</v>
      </c>
      <c r="K272" s="26">
        <v>371862</v>
      </c>
      <c r="L272" s="27">
        <v>1396761</v>
      </c>
      <c r="M272" s="26">
        <v>994686</v>
      </c>
      <c r="N272" s="26">
        <v>323513</v>
      </c>
      <c r="O272" s="27">
        <v>1318199</v>
      </c>
      <c r="P272" s="26">
        <v>934329</v>
      </c>
      <c r="Q272" s="26">
        <v>287090</v>
      </c>
      <c r="R272" s="27">
        <v>1221419</v>
      </c>
      <c r="S272" s="26">
        <v>1016364</v>
      </c>
      <c r="T272" s="26">
        <v>386695</v>
      </c>
      <c r="U272" s="27">
        <v>1403059</v>
      </c>
      <c r="V272" s="26">
        <v>992732</v>
      </c>
      <c r="W272" s="26">
        <v>390897</v>
      </c>
      <c r="X272" s="31">
        <v>1383629</v>
      </c>
      <c r="Y272" s="16">
        <v>1027707</v>
      </c>
      <c r="Z272" s="16">
        <v>356683</v>
      </c>
      <c r="AA272" s="31">
        <v>1384390</v>
      </c>
      <c r="AB272" s="32">
        <v>1033933</v>
      </c>
      <c r="AC272" s="16">
        <v>336214</v>
      </c>
      <c r="AD272" s="31">
        <v>1370147</v>
      </c>
      <c r="AE272" s="16">
        <v>1041914</v>
      </c>
      <c r="AF272" s="16">
        <v>364483</v>
      </c>
      <c r="AG272" s="31">
        <v>1406397</v>
      </c>
      <c r="AH272" s="16">
        <v>983781</v>
      </c>
      <c r="AI272" s="16">
        <v>353788</v>
      </c>
      <c r="AJ272" s="31">
        <v>1337569</v>
      </c>
      <c r="AK272" s="16">
        <v>1022460</v>
      </c>
      <c r="AL272" s="16">
        <v>349380</v>
      </c>
      <c r="AM272" s="31">
        <v>1371840</v>
      </c>
      <c r="AN272" s="16">
        <v>1047099</v>
      </c>
      <c r="AO272" s="16">
        <v>346152</v>
      </c>
      <c r="AP272" s="31">
        <v>1393251</v>
      </c>
      <c r="AQ272" s="42"/>
      <c r="AR272" s="43"/>
      <c r="AS272" s="42"/>
      <c r="AT272" s="42"/>
    </row>
    <row r="273" spans="1:46" ht="12.9" customHeight="1" x14ac:dyDescent="0.25">
      <c r="A273" s="28" t="s">
        <v>576</v>
      </c>
      <c r="B273" s="29" t="s">
        <v>577</v>
      </c>
      <c r="C273" s="30" t="s">
        <v>11</v>
      </c>
      <c r="D273" s="40">
        <v>791943</v>
      </c>
      <c r="E273" s="26">
        <v>272202</v>
      </c>
      <c r="F273" s="26">
        <f t="shared" si="8"/>
        <v>1064145</v>
      </c>
      <c r="G273" s="40">
        <v>843193</v>
      </c>
      <c r="H273" s="26">
        <v>281258</v>
      </c>
      <c r="I273" s="27">
        <f t="shared" si="9"/>
        <v>1124451</v>
      </c>
      <c r="J273" s="40">
        <v>912694</v>
      </c>
      <c r="K273" s="26">
        <v>304260</v>
      </c>
      <c r="L273" s="27">
        <v>1216954</v>
      </c>
      <c r="M273" s="26">
        <v>921392</v>
      </c>
      <c r="N273" s="26">
        <v>306878</v>
      </c>
      <c r="O273" s="27">
        <v>1228270</v>
      </c>
      <c r="P273" s="26">
        <v>939850</v>
      </c>
      <c r="Q273" s="26">
        <v>273556</v>
      </c>
      <c r="R273" s="27">
        <v>1213406</v>
      </c>
      <c r="S273" s="26">
        <v>881547</v>
      </c>
      <c r="T273" s="26">
        <v>340944</v>
      </c>
      <c r="U273" s="27">
        <v>1222491</v>
      </c>
      <c r="V273" s="26">
        <v>836285</v>
      </c>
      <c r="W273" s="26">
        <v>328952</v>
      </c>
      <c r="X273" s="31">
        <v>1165237</v>
      </c>
      <c r="Y273" s="16">
        <v>849480</v>
      </c>
      <c r="Z273" s="16">
        <v>358209</v>
      </c>
      <c r="AA273" s="31">
        <v>1207689</v>
      </c>
      <c r="AB273" s="32">
        <v>873975</v>
      </c>
      <c r="AC273" s="16">
        <v>362476</v>
      </c>
      <c r="AD273" s="31">
        <v>1236451</v>
      </c>
      <c r="AE273" s="16">
        <v>892331</v>
      </c>
      <c r="AF273" s="16">
        <v>361293</v>
      </c>
      <c r="AG273" s="31">
        <v>1253624</v>
      </c>
      <c r="AH273" s="16">
        <v>851924</v>
      </c>
      <c r="AI273" s="16">
        <v>399570</v>
      </c>
      <c r="AJ273" s="31">
        <v>1251494</v>
      </c>
      <c r="AK273" s="16">
        <v>865551</v>
      </c>
      <c r="AL273" s="16">
        <v>404811</v>
      </c>
      <c r="AM273" s="31">
        <v>1270362</v>
      </c>
      <c r="AN273" s="16">
        <v>902324</v>
      </c>
      <c r="AO273" s="16">
        <v>351391</v>
      </c>
      <c r="AP273" s="31">
        <v>1253715</v>
      </c>
      <c r="AQ273" s="42"/>
      <c r="AR273" s="43"/>
      <c r="AS273" s="42"/>
      <c r="AT273" s="42"/>
    </row>
    <row r="274" spans="1:46" ht="12.9" customHeight="1" x14ac:dyDescent="0.25">
      <c r="A274" s="28" t="s">
        <v>578</v>
      </c>
      <c r="B274" s="29" t="s">
        <v>579</v>
      </c>
      <c r="C274" s="30" t="s">
        <v>113</v>
      </c>
      <c r="D274" s="40">
        <v>10187</v>
      </c>
      <c r="E274" s="26">
        <v>71377</v>
      </c>
      <c r="F274" s="26">
        <f t="shared" si="8"/>
        <v>81564</v>
      </c>
      <c r="G274" s="40">
        <v>10252</v>
      </c>
      <c r="H274" s="26">
        <v>67596</v>
      </c>
      <c r="I274" s="27">
        <f t="shared" si="9"/>
        <v>77848</v>
      </c>
      <c r="J274" s="40">
        <v>12656</v>
      </c>
      <c r="K274" s="26">
        <v>51721</v>
      </c>
      <c r="L274" s="27">
        <v>64377</v>
      </c>
      <c r="M274" s="26">
        <v>11797</v>
      </c>
      <c r="N274" s="26">
        <v>2350</v>
      </c>
      <c r="O274" s="27">
        <v>14147</v>
      </c>
      <c r="P274" s="26">
        <v>8548</v>
      </c>
      <c r="Q274" s="26">
        <v>23093</v>
      </c>
      <c r="R274" s="27">
        <v>31641</v>
      </c>
      <c r="S274" s="26">
        <v>10169</v>
      </c>
      <c r="T274" s="26">
        <v>33475</v>
      </c>
      <c r="U274" s="27">
        <v>43644</v>
      </c>
      <c r="V274" s="26">
        <v>9714</v>
      </c>
      <c r="W274" s="26">
        <v>148349</v>
      </c>
      <c r="X274" s="31">
        <v>158063</v>
      </c>
      <c r="Y274" s="16">
        <v>9551</v>
      </c>
      <c r="Z274" s="16">
        <v>139917</v>
      </c>
      <c r="AA274" s="31">
        <v>149468</v>
      </c>
      <c r="AB274" s="32">
        <v>9405</v>
      </c>
      <c r="AC274" s="16">
        <v>137003</v>
      </c>
      <c r="AD274" s="31">
        <v>146408</v>
      </c>
      <c r="AE274" s="16">
        <v>9986</v>
      </c>
      <c r="AF274" s="16">
        <v>129255</v>
      </c>
      <c r="AG274" s="31">
        <v>139241</v>
      </c>
      <c r="AH274" s="16">
        <v>9674</v>
      </c>
      <c r="AI274" s="16">
        <v>100904</v>
      </c>
      <c r="AJ274" s="31">
        <v>110578</v>
      </c>
      <c r="AK274" s="16">
        <v>15958</v>
      </c>
      <c r="AL274" s="16">
        <v>101151</v>
      </c>
      <c r="AM274" s="31">
        <v>117109</v>
      </c>
      <c r="AN274" s="16">
        <v>15958</v>
      </c>
      <c r="AO274" s="16">
        <v>104303</v>
      </c>
      <c r="AP274" s="31">
        <v>120261</v>
      </c>
      <c r="AQ274" s="42"/>
      <c r="AR274" s="43"/>
      <c r="AS274" s="42"/>
      <c r="AT274" s="42"/>
    </row>
    <row r="275" spans="1:46" ht="12.9" customHeight="1" x14ac:dyDescent="0.25">
      <c r="A275" s="28" t="s">
        <v>580</v>
      </c>
      <c r="B275" s="29" t="s">
        <v>581</v>
      </c>
      <c r="C275" s="30" t="s">
        <v>42</v>
      </c>
      <c r="D275" s="40">
        <v>12302</v>
      </c>
      <c r="E275" s="26">
        <v>2395</v>
      </c>
      <c r="F275" s="26">
        <f t="shared" si="8"/>
        <v>14697</v>
      </c>
      <c r="G275" s="40">
        <v>12604</v>
      </c>
      <c r="H275" s="26">
        <v>1346</v>
      </c>
      <c r="I275" s="27">
        <f t="shared" si="9"/>
        <v>13950</v>
      </c>
      <c r="J275" s="40">
        <v>13296</v>
      </c>
      <c r="K275" s="26">
        <v>1967</v>
      </c>
      <c r="L275" s="27">
        <v>15263</v>
      </c>
      <c r="M275" s="26">
        <v>13525</v>
      </c>
      <c r="N275" s="26">
        <v>2232</v>
      </c>
      <c r="O275" s="27">
        <v>15757</v>
      </c>
      <c r="P275" s="26">
        <v>13207</v>
      </c>
      <c r="Q275" s="26">
        <v>3471</v>
      </c>
      <c r="R275" s="27">
        <v>16678</v>
      </c>
      <c r="S275" s="26">
        <v>12890</v>
      </c>
      <c r="T275" s="26">
        <v>3897</v>
      </c>
      <c r="U275" s="27">
        <v>16787</v>
      </c>
      <c r="V275" s="26">
        <v>12330</v>
      </c>
      <c r="W275" s="26">
        <v>3484</v>
      </c>
      <c r="X275" s="31">
        <v>15814</v>
      </c>
      <c r="Y275" s="16">
        <v>13625</v>
      </c>
      <c r="Z275" s="16">
        <v>3971</v>
      </c>
      <c r="AA275" s="31">
        <v>17596</v>
      </c>
      <c r="AB275" s="32">
        <v>12771</v>
      </c>
      <c r="AC275" s="16">
        <v>3862</v>
      </c>
      <c r="AD275" s="31">
        <v>16633</v>
      </c>
      <c r="AE275" s="16">
        <v>13478</v>
      </c>
      <c r="AF275" s="16">
        <v>3180</v>
      </c>
      <c r="AG275" s="31">
        <v>16658</v>
      </c>
      <c r="AH275" s="16">
        <v>14134</v>
      </c>
      <c r="AI275" s="16">
        <v>3818</v>
      </c>
      <c r="AJ275" s="31">
        <v>17952</v>
      </c>
      <c r="AK275" s="16">
        <v>10626</v>
      </c>
      <c r="AL275" s="16">
        <v>5746</v>
      </c>
      <c r="AM275" s="31">
        <v>16372</v>
      </c>
      <c r="AN275" s="16">
        <v>10626</v>
      </c>
      <c r="AO275" s="16">
        <v>5773</v>
      </c>
      <c r="AP275" s="31">
        <v>16399</v>
      </c>
      <c r="AQ275" s="42"/>
      <c r="AR275" s="43"/>
      <c r="AS275" s="42"/>
      <c r="AT275" s="42"/>
    </row>
    <row r="276" spans="1:46" ht="12.9" customHeight="1" x14ac:dyDescent="0.25">
      <c r="A276" s="28" t="s">
        <v>582</v>
      </c>
      <c r="B276" s="29" t="s">
        <v>583</v>
      </c>
      <c r="C276" s="30" t="s">
        <v>218</v>
      </c>
      <c r="D276" s="40">
        <v>135772</v>
      </c>
      <c r="E276" s="26">
        <v>61637</v>
      </c>
      <c r="F276" s="26">
        <f t="shared" si="8"/>
        <v>197409</v>
      </c>
      <c r="G276" s="40">
        <v>124872</v>
      </c>
      <c r="H276" s="26">
        <v>61427</v>
      </c>
      <c r="I276" s="27">
        <f t="shared" si="9"/>
        <v>186299</v>
      </c>
      <c r="J276" s="40">
        <v>141497</v>
      </c>
      <c r="K276" s="26">
        <v>81321</v>
      </c>
      <c r="L276" s="27">
        <v>222818</v>
      </c>
      <c r="M276" s="26">
        <v>148083</v>
      </c>
      <c r="N276" s="26">
        <v>139621</v>
      </c>
      <c r="O276" s="27">
        <v>287704</v>
      </c>
      <c r="P276" s="26">
        <v>158101</v>
      </c>
      <c r="Q276" s="26">
        <v>72524</v>
      </c>
      <c r="R276" s="27">
        <v>230625</v>
      </c>
      <c r="S276" s="26">
        <v>141955</v>
      </c>
      <c r="T276" s="26">
        <v>67995</v>
      </c>
      <c r="U276" s="27">
        <v>209950</v>
      </c>
      <c r="V276" s="26">
        <v>143247</v>
      </c>
      <c r="W276" s="26">
        <v>85790</v>
      </c>
      <c r="X276" s="31">
        <v>229037</v>
      </c>
      <c r="Y276" s="16">
        <v>150973</v>
      </c>
      <c r="Z276" s="16">
        <v>61479</v>
      </c>
      <c r="AA276" s="31">
        <v>212452</v>
      </c>
      <c r="AB276" s="32">
        <v>144227</v>
      </c>
      <c r="AC276" s="16">
        <v>60414</v>
      </c>
      <c r="AD276" s="31">
        <v>204641</v>
      </c>
      <c r="AE276" s="16">
        <v>148843</v>
      </c>
      <c r="AF276" s="16">
        <v>71304</v>
      </c>
      <c r="AG276" s="31">
        <v>220147</v>
      </c>
      <c r="AH276" s="16">
        <v>151286</v>
      </c>
      <c r="AI276" s="16">
        <v>62781</v>
      </c>
      <c r="AJ276" s="31">
        <v>214067</v>
      </c>
      <c r="AK276" s="16">
        <v>159901</v>
      </c>
      <c r="AL276" s="16">
        <v>75558</v>
      </c>
      <c r="AM276" s="31">
        <v>235459</v>
      </c>
      <c r="AN276" s="16">
        <v>159901</v>
      </c>
      <c r="AO276" s="16">
        <v>72607</v>
      </c>
      <c r="AP276" s="31">
        <v>232508</v>
      </c>
      <c r="AQ276" s="42"/>
      <c r="AR276" s="43"/>
      <c r="AS276" s="42"/>
      <c r="AT276" s="42"/>
    </row>
    <row r="277" spans="1:46" ht="12.9" customHeight="1" x14ac:dyDescent="0.25">
      <c r="A277" s="28" t="s">
        <v>584</v>
      </c>
      <c r="B277" s="29" t="s">
        <v>585</v>
      </c>
      <c r="C277" s="30" t="s">
        <v>11</v>
      </c>
      <c r="D277" s="40">
        <v>1690598</v>
      </c>
      <c r="E277" s="26">
        <v>676024</v>
      </c>
      <c r="F277" s="26">
        <f t="shared" si="8"/>
        <v>2366622</v>
      </c>
      <c r="G277" s="40">
        <v>1743415</v>
      </c>
      <c r="H277" s="26">
        <v>732002</v>
      </c>
      <c r="I277" s="27">
        <f t="shared" si="9"/>
        <v>2475417</v>
      </c>
      <c r="J277" s="40">
        <v>1737345</v>
      </c>
      <c r="K277" s="26">
        <v>845197</v>
      </c>
      <c r="L277" s="27">
        <v>2582542</v>
      </c>
      <c r="M277" s="26">
        <v>1840552</v>
      </c>
      <c r="N277" s="26">
        <v>783815</v>
      </c>
      <c r="O277" s="27">
        <v>2624367</v>
      </c>
      <c r="P277" s="26">
        <v>1897485</v>
      </c>
      <c r="Q277" s="26">
        <v>718334</v>
      </c>
      <c r="R277" s="27">
        <v>2615819</v>
      </c>
      <c r="S277" s="26">
        <v>1784298</v>
      </c>
      <c r="T277" s="26">
        <v>893592</v>
      </c>
      <c r="U277" s="27">
        <v>2677890</v>
      </c>
      <c r="V277" s="26">
        <v>1783583</v>
      </c>
      <c r="W277" s="26">
        <v>778514</v>
      </c>
      <c r="X277" s="31">
        <v>2562097</v>
      </c>
      <c r="Y277" s="16">
        <v>1783010</v>
      </c>
      <c r="Z277" s="16">
        <v>793538</v>
      </c>
      <c r="AA277" s="31">
        <v>2576548</v>
      </c>
      <c r="AB277" s="32">
        <v>1766972</v>
      </c>
      <c r="AC277" s="16">
        <v>791791</v>
      </c>
      <c r="AD277" s="31">
        <v>2558763</v>
      </c>
      <c r="AE277" s="16">
        <v>1742175</v>
      </c>
      <c r="AF277" s="16">
        <v>724276</v>
      </c>
      <c r="AG277" s="31">
        <v>2466451</v>
      </c>
      <c r="AH277" s="16">
        <v>1726857</v>
      </c>
      <c r="AI277" s="16">
        <v>701448</v>
      </c>
      <c r="AJ277" s="31">
        <v>2428305</v>
      </c>
      <c r="AK277" s="16">
        <v>1795583</v>
      </c>
      <c r="AL277" s="16">
        <v>724249</v>
      </c>
      <c r="AM277" s="31">
        <v>2519832</v>
      </c>
      <c r="AN277" s="16">
        <v>1813090</v>
      </c>
      <c r="AO277" s="16">
        <v>597517</v>
      </c>
      <c r="AP277" s="31">
        <v>2410607</v>
      </c>
      <c r="AQ277" s="42"/>
      <c r="AR277" s="43"/>
      <c r="AS277" s="42"/>
      <c r="AT277" s="42"/>
    </row>
    <row r="278" spans="1:46" ht="12.9" customHeight="1" x14ac:dyDescent="0.25">
      <c r="A278" s="28" t="s">
        <v>586</v>
      </c>
      <c r="B278" s="29" t="s">
        <v>587</v>
      </c>
      <c r="C278" s="30" t="s">
        <v>23</v>
      </c>
      <c r="D278" s="40">
        <v>18447</v>
      </c>
      <c r="E278" s="26">
        <v>3437</v>
      </c>
      <c r="F278" s="26">
        <f t="shared" si="8"/>
        <v>21884</v>
      </c>
      <c r="G278" s="40">
        <v>17349</v>
      </c>
      <c r="H278" s="26">
        <v>3985</v>
      </c>
      <c r="I278" s="27">
        <f t="shared" si="9"/>
        <v>21334</v>
      </c>
      <c r="J278" s="40">
        <v>20092</v>
      </c>
      <c r="K278" s="26">
        <v>3015</v>
      </c>
      <c r="L278" s="27">
        <v>23107</v>
      </c>
      <c r="M278" s="26">
        <v>21559</v>
      </c>
      <c r="N278" s="26">
        <v>3786</v>
      </c>
      <c r="O278" s="27">
        <v>25345</v>
      </c>
      <c r="P278" s="26">
        <v>22253</v>
      </c>
      <c r="Q278" s="26">
        <v>7375</v>
      </c>
      <c r="R278" s="27">
        <v>29628</v>
      </c>
      <c r="S278" s="26">
        <v>23164</v>
      </c>
      <c r="T278" s="26">
        <v>6250</v>
      </c>
      <c r="U278" s="27">
        <v>29414</v>
      </c>
      <c r="V278" s="26">
        <v>23173</v>
      </c>
      <c r="W278" s="26">
        <v>5353</v>
      </c>
      <c r="X278" s="31">
        <v>28526</v>
      </c>
      <c r="Y278" s="16">
        <v>24292</v>
      </c>
      <c r="Z278" s="16">
        <v>4406</v>
      </c>
      <c r="AA278" s="31">
        <v>28698</v>
      </c>
      <c r="AB278" s="32">
        <v>21399</v>
      </c>
      <c r="AC278" s="16">
        <v>4664</v>
      </c>
      <c r="AD278" s="31">
        <v>26063</v>
      </c>
      <c r="AE278" s="16">
        <v>21875</v>
      </c>
      <c r="AF278" s="16">
        <v>4936</v>
      </c>
      <c r="AG278" s="31">
        <v>26811</v>
      </c>
      <c r="AH278" s="16">
        <v>21875</v>
      </c>
      <c r="AI278" s="16">
        <v>4936</v>
      </c>
      <c r="AJ278" s="31">
        <v>26811</v>
      </c>
      <c r="AK278" s="16">
        <v>21749</v>
      </c>
      <c r="AL278" s="16">
        <v>3462</v>
      </c>
      <c r="AM278" s="31">
        <v>25211</v>
      </c>
      <c r="AN278" s="16">
        <v>25070</v>
      </c>
      <c r="AO278" s="16">
        <v>2624</v>
      </c>
      <c r="AP278" s="31">
        <v>27694</v>
      </c>
      <c r="AQ278" s="42"/>
      <c r="AR278" s="43"/>
      <c r="AS278" s="42"/>
      <c r="AT278" s="42"/>
    </row>
    <row r="279" spans="1:46" ht="12.9" customHeight="1" x14ac:dyDescent="0.25">
      <c r="A279" s="28" t="s">
        <v>588</v>
      </c>
      <c r="B279" s="29" t="s">
        <v>589</v>
      </c>
      <c r="C279" s="30" t="s">
        <v>212</v>
      </c>
      <c r="D279" s="40">
        <v>20174</v>
      </c>
      <c r="E279" s="26">
        <v>25389</v>
      </c>
      <c r="F279" s="26">
        <f t="shared" si="8"/>
        <v>45563</v>
      </c>
      <c r="G279" s="40">
        <v>26768</v>
      </c>
      <c r="H279" s="26">
        <v>21241</v>
      </c>
      <c r="I279" s="27">
        <f t="shared" si="9"/>
        <v>48009</v>
      </c>
      <c r="J279" s="40">
        <v>29366</v>
      </c>
      <c r="K279" s="26">
        <v>26237</v>
      </c>
      <c r="L279" s="27">
        <v>55603</v>
      </c>
      <c r="M279" s="26">
        <v>26235</v>
      </c>
      <c r="N279" s="26">
        <v>24713</v>
      </c>
      <c r="O279" s="27">
        <v>50948</v>
      </c>
      <c r="P279" s="26">
        <v>24462</v>
      </c>
      <c r="Q279" s="26">
        <v>19887</v>
      </c>
      <c r="R279" s="27">
        <v>44349</v>
      </c>
      <c r="S279" s="26">
        <v>25963</v>
      </c>
      <c r="T279" s="26">
        <v>21138</v>
      </c>
      <c r="U279" s="27">
        <v>47101</v>
      </c>
      <c r="V279" s="26">
        <v>22653</v>
      </c>
      <c r="W279" s="26">
        <v>25259</v>
      </c>
      <c r="X279" s="31">
        <v>47912</v>
      </c>
      <c r="Y279" s="16">
        <v>22029</v>
      </c>
      <c r="Z279" s="16">
        <v>19414</v>
      </c>
      <c r="AA279" s="31">
        <v>41443</v>
      </c>
      <c r="AB279" s="32">
        <v>20990</v>
      </c>
      <c r="AC279" s="16">
        <v>20456</v>
      </c>
      <c r="AD279" s="31">
        <v>41446</v>
      </c>
      <c r="AE279" s="16">
        <v>19693</v>
      </c>
      <c r="AF279" s="16">
        <v>18394</v>
      </c>
      <c r="AG279" s="31">
        <v>38087</v>
      </c>
      <c r="AH279" s="16">
        <v>17594</v>
      </c>
      <c r="AI279" s="16">
        <v>17666</v>
      </c>
      <c r="AJ279" s="31">
        <v>35260</v>
      </c>
      <c r="AK279" s="16">
        <v>18494</v>
      </c>
      <c r="AL279" s="16">
        <v>19241</v>
      </c>
      <c r="AM279" s="31">
        <v>37735</v>
      </c>
      <c r="AN279" s="16">
        <v>25437</v>
      </c>
      <c r="AO279" s="16">
        <v>22803</v>
      </c>
      <c r="AP279" s="31">
        <v>48240</v>
      </c>
      <c r="AQ279" s="42"/>
      <c r="AR279" s="43"/>
      <c r="AS279" s="42"/>
      <c r="AT279" s="42"/>
    </row>
    <row r="280" spans="1:46" ht="12.9" customHeight="1" x14ac:dyDescent="0.25">
      <c r="A280" s="28" t="s">
        <v>590</v>
      </c>
      <c r="B280" s="29" t="s">
        <v>591</v>
      </c>
      <c r="C280" s="30" t="s">
        <v>95</v>
      </c>
      <c r="D280" s="40">
        <v>37107</v>
      </c>
      <c r="E280" s="26">
        <v>266109</v>
      </c>
      <c r="F280" s="26">
        <f t="shared" si="8"/>
        <v>303216</v>
      </c>
      <c r="G280" s="40">
        <v>30456</v>
      </c>
      <c r="H280" s="26">
        <v>179583</v>
      </c>
      <c r="I280" s="27">
        <f t="shared" si="9"/>
        <v>210039</v>
      </c>
      <c r="J280" s="40">
        <v>38124</v>
      </c>
      <c r="K280" s="26">
        <v>199686</v>
      </c>
      <c r="L280" s="27">
        <v>237810</v>
      </c>
      <c r="M280" s="26">
        <v>48510</v>
      </c>
      <c r="N280" s="26">
        <v>141880</v>
      </c>
      <c r="O280" s="27">
        <v>190390</v>
      </c>
      <c r="P280" s="26">
        <v>48168</v>
      </c>
      <c r="Q280" s="26">
        <v>182305</v>
      </c>
      <c r="R280" s="27">
        <v>230473</v>
      </c>
      <c r="S280" s="26">
        <v>47412</v>
      </c>
      <c r="T280" s="26">
        <v>191321</v>
      </c>
      <c r="U280" s="27">
        <v>238733</v>
      </c>
      <c r="V280" s="26">
        <v>45877</v>
      </c>
      <c r="W280" s="26">
        <v>208458</v>
      </c>
      <c r="X280" s="31">
        <v>254335</v>
      </c>
      <c r="Y280" s="16">
        <v>47304</v>
      </c>
      <c r="Z280" s="16">
        <v>194106</v>
      </c>
      <c r="AA280" s="31">
        <v>241410</v>
      </c>
      <c r="AB280" s="32">
        <v>47268</v>
      </c>
      <c r="AC280" s="16">
        <v>194381</v>
      </c>
      <c r="AD280" s="31">
        <v>241649</v>
      </c>
      <c r="AE280" s="16">
        <v>47196</v>
      </c>
      <c r="AF280" s="16">
        <v>246501</v>
      </c>
      <c r="AG280" s="31">
        <v>293697</v>
      </c>
      <c r="AH280" s="16">
        <v>47412</v>
      </c>
      <c r="AI280" s="16">
        <v>180930</v>
      </c>
      <c r="AJ280" s="31">
        <v>228342</v>
      </c>
      <c r="AK280" s="16">
        <v>38016</v>
      </c>
      <c r="AL280" s="16">
        <v>171709</v>
      </c>
      <c r="AM280" s="31">
        <v>209725</v>
      </c>
      <c r="AN280" s="16">
        <v>26860.683139534882</v>
      </c>
      <c r="AO280" s="16">
        <v>204348</v>
      </c>
      <c r="AP280" s="31">
        <v>231208.68313953487</v>
      </c>
      <c r="AQ280" s="42"/>
      <c r="AR280" s="43"/>
      <c r="AS280" s="42"/>
      <c r="AT280" s="42"/>
    </row>
    <row r="281" spans="1:46" ht="12.9" customHeight="1" x14ac:dyDescent="0.25">
      <c r="A281" s="28" t="s">
        <v>592</v>
      </c>
      <c r="B281" s="29" t="s">
        <v>593</v>
      </c>
      <c r="C281" s="30" t="s">
        <v>184</v>
      </c>
      <c r="D281" s="40">
        <v>10840</v>
      </c>
      <c r="E281" s="26">
        <v>37838</v>
      </c>
      <c r="F281" s="26">
        <f t="shared" si="8"/>
        <v>48678</v>
      </c>
      <c r="G281" s="40">
        <v>6966</v>
      </c>
      <c r="H281" s="26">
        <v>33027</v>
      </c>
      <c r="I281" s="27">
        <f t="shared" si="9"/>
        <v>39993</v>
      </c>
      <c r="J281" s="40">
        <v>7162</v>
      </c>
      <c r="K281" s="26">
        <v>4161</v>
      </c>
      <c r="L281" s="27">
        <v>11323</v>
      </c>
      <c r="M281" s="26">
        <v>5698</v>
      </c>
      <c r="N281" s="26">
        <v>3160</v>
      </c>
      <c r="O281" s="27">
        <v>8858</v>
      </c>
      <c r="P281" s="26">
        <v>5541</v>
      </c>
      <c r="Q281" s="26">
        <v>3133</v>
      </c>
      <c r="R281" s="27">
        <v>8674</v>
      </c>
      <c r="S281" s="26">
        <v>4794</v>
      </c>
      <c r="T281" s="26">
        <v>3935</v>
      </c>
      <c r="U281" s="27">
        <v>8729</v>
      </c>
      <c r="V281" s="26">
        <v>3792</v>
      </c>
      <c r="W281" s="26">
        <v>2946</v>
      </c>
      <c r="X281" s="31">
        <v>6738</v>
      </c>
      <c r="Y281" s="16">
        <v>5089</v>
      </c>
      <c r="Z281" s="16">
        <v>3943</v>
      </c>
      <c r="AA281" s="31">
        <v>9032</v>
      </c>
      <c r="AB281" s="32">
        <v>5213</v>
      </c>
      <c r="AC281" s="16">
        <v>2486</v>
      </c>
      <c r="AD281" s="31">
        <v>7699</v>
      </c>
      <c r="AE281" s="16">
        <v>5634</v>
      </c>
      <c r="AF281" s="16">
        <v>3095</v>
      </c>
      <c r="AG281" s="31">
        <v>8729</v>
      </c>
      <c r="AH281" s="16">
        <v>5324</v>
      </c>
      <c r="AI281" s="16">
        <v>2464</v>
      </c>
      <c r="AJ281" s="31">
        <v>7788</v>
      </c>
      <c r="AK281" s="16">
        <v>4934</v>
      </c>
      <c r="AL281" s="16">
        <v>2787</v>
      </c>
      <c r="AM281" s="31">
        <v>7721</v>
      </c>
      <c r="AN281" s="16">
        <v>10112</v>
      </c>
      <c r="AO281" s="16">
        <v>34365</v>
      </c>
      <c r="AP281" s="31">
        <v>44477</v>
      </c>
      <c r="AQ281" s="42"/>
      <c r="AR281" s="43"/>
      <c r="AS281" s="42"/>
      <c r="AT281" s="42"/>
    </row>
    <row r="282" spans="1:46" ht="12.9" customHeight="1" x14ac:dyDescent="0.25">
      <c r="A282" s="28" t="s">
        <v>594</v>
      </c>
      <c r="B282" s="29" t="s">
        <v>595</v>
      </c>
      <c r="C282" s="30" t="s">
        <v>113</v>
      </c>
      <c r="D282" s="40">
        <v>91489</v>
      </c>
      <c r="E282" s="26">
        <v>382153</v>
      </c>
      <c r="F282" s="26">
        <f t="shared" si="8"/>
        <v>473642</v>
      </c>
      <c r="G282" s="40">
        <v>97686</v>
      </c>
      <c r="H282" s="26">
        <v>418908</v>
      </c>
      <c r="I282" s="27">
        <f t="shared" si="9"/>
        <v>516594</v>
      </c>
      <c r="J282" s="40">
        <v>103192</v>
      </c>
      <c r="K282" s="26">
        <v>447607</v>
      </c>
      <c r="L282" s="27">
        <v>550799</v>
      </c>
      <c r="M282" s="26">
        <v>104956</v>
      </c>
      <c r="N282" s="26">
        <v>341773</v>
      </c>
      <c r="O282" s="27">
        <v>446729</v>
      </c>
      <c r="P282" s="26">
        <v>105161</v>
      </c>
      <c r="Q282" s="26">
        <v>433493</v>
      </c>
      <c r="R282" s="27">
        <v>538654</v>
      </c>
      <c r="S282" s="26">
        <v>99316</v>
      </c>
      <c r="T282" s="26">
        <v>411860</v>
      </c>
      <c r="U282" s="27">
        <v>511176</v>
      </c>
      <c r="V282" s="26">
        <v>93536</v>
      </c>
      <c r="W282" s="26">
        <v>439857</v>
      </c>
      <c r="X282" s="31">
        <v>533393</v>
      </c>
      <c r="Y282" s="16">
        <v>90987</v>
      </c>
      <c r="Z282" s="16">
        <v>396550</v>
      </c>
      <c r="AA282" s="31">
        <v>487537</v>
      </c>
      <c r="AB282" s="32">
        <v>90583</v>
      </c>
      <c r="AC282" s="16">
        <v>369276</v>
      </c>
      <c r="AD282" s="31">
        <v>459859</v>
      </c>
      <c r="AE282" s="16">
        <v>95355</v>
      </c>
      <c r="AF282" s="16">
        <v>418813</v>
      </c>
      <c r="AG282" s="31">
        <v>514168</v>
      </c>
      <c r="AH282" s="16">
        <v>79038</v>
      </c>
      <c r="AI282" s="16">
        <v>368468</v>
      </c>
      <c r="AJ282" s="31">
        <v>447506</v>
      </c>
      <c r="AK282" s="16">
        <v>77874</v>
      </c>
      <c r="AL282" s="16">
        <v>389905</v>
      </c>
      <c r="AM282" s="31">
        <v>467779</v>
      </c>
      <c r="AN282" s="16">
        <v>94553</v>
      </c>
      <c r="AO282" s="16">
        <v>350989</v>
      </c>
      <c r="AP282" s="31">
        <v>445542</v>
      </c>
      <c r="AQ282" s="42"/>
      <c r="AR282" s="43"/>
      <c r="AS282" s="42"/>
      <c r="AT282" s="42"/>
    </row>
    <row r="283" spans="1:46" ht="12.9" customHeight="1" x14ac:dyDescent="0.25">
      <c r="A283" s="28" t="s">
        <v>596</v>
      </c>
      <c r="B283" s="29" t="s">
        <v>597</v>
      </c>
      <c r="C283" s="30" t="s">
        <v>39</v>
      </c>
      <c r="D283" s="40">
        <v>8325</v>
      </c>
      <c r="E283" s="26">
        <v>10614</v>
      </c>
      <c r="F283" s="26">
        <f t="shared" si="8"/>
        <v>18939</v>
      </c>
      <c r="G283" s="40">
        <v>8325</v>
      </c>
      <c r="H283" s="26">
        <v>6938</v>
      </c>
      <c r="I283" s="27">
        <f t="shared" si="9"/>
        <v>15263</v>
      </c>
      <c r="J283" s="40">
        <v>8325</v>
      </c>
      <c r="K283" s="26">
        <v>3757</v>
      </c>
      <c r="L283" s="27">
        <v>12082</v>
      </c>
      <c r="M283" s="26">
        <v>7501</v>
      </c>
      <c r="N283" s="26">
        <v>8760</v>
      </c>
      <c r="O283" s="27">
        <v>16261</v>
      </c>
      <c r="P283" s="26">
        <v>6345</v>
      </c>
      <c r="Q283" s="26">
        <v>8604</v>
      </c>
      <c r="R283" s="27">
        <v>14949</v>
      </c>
      <c r="S283" s="26">
        <v>8100</v>
      </c>
      <c r="T283" s="26">
        <v>7510</v>
      </c>
      <c r="U283" s="27">
        <v>15610</v>
      </c>
      <c r="V283" s="26">
        <v>8100</v>
      </c>
      <c r="W283" s="26">
        <v>6995</v>
      </c>
      <c r="X283" s="31">
        <v>15095</v>
      </c>
      <c r="Y283" s="16">
        <v>8100</v>
      </c>
      <c r="Z283" s="16">
        <v>5049</v>
      </c>
      <c r="AA283" s="31">
        <v>13149</v>
      </c>
      <c r="AB283" s="32">
        <v>6468</v>
      </c>
      <c r="AC283" s="16">
        <v>3519</v>
      </c>
      <c r="AD283" s="31">
        <v>9987</v>
      </c>
      <c r="AE283" s="16">
        <v>6468</v>
      </c>
      <c r="AF283" s="16">
        <v>6591</v>
      </c>
      <c r="AG283" s="31">
        <v>13059</v>
      </c>
      <c r="AH283" s="16">
        <v>6468</v>
      </c>
      <c r="AI283" s="16">
        <v>10343</v>
      </c>
      <c r="AJ283" s="31">
        <v>16811</v>
      </c>
      <c r="AK283" s="16">
        <v>6468</v>
      </c>
      <c r="AL283" s="16">
        <v>14975</v>
      </c>
      <c r="AM283" s="31">
        <v>21443</v>
      </c>
      <c r="AN283" s="16">
        <v>6468</v>
      </c>
      <c r="AO283" s="16">
        <v>12428</v>
      </c>
      <c r="AP283" s="31">
        <v>18896</v>
      </c>
      <c r="AQ283" s="42"/>
      <c r="AR283" s="43"/>
      <c r="AS283" s="42"/>
      <c r="AT283" s="42"/>
    </row>
    <row r="284" spans="1:46" ht="12.9" customHeight="1" x14ac:dyDescent="0.25">
      <c r="A284" s="28" t="s">
        <v>598</v>
      </c>
      <c r="B284" s="29" t="s">
        <v>599</v>
      </c>
      <c r="C284" s="30" t="s">
        <v>357</v>
      </c>
      <c r="D284" s="40">
        <v>16462</v>
      </c>
      <c r="E284" s="26">
        <v>20500</v>
      </c>
      <c r="F284" s="26">
        <f t="shared" si="8"/>
        <v>36962</v>
      </c>
      <c r="G284" s="40">
        <v>18471</v>
      </c>
      <c r="H284" s="26">
        <v>19849</v>
      </c>
      <c r="I284" s="27">
        <f t="shared" si="9"/>
        <v>38320</v>
      </c>
      <c r="J284" s="40">
        <v>20884</v>
      </c>
      <c r="K284" s="26">
        <v>22422</v>
      </c>
      <c r="L284" s="27">
        <v>43306</v>
      </c>
      <c r="M284" s="26">
        <v>23191</v>
      </c>
      <c r="N284" s="26">
        <v>18988</v>
      </c>
      <c r="O284" s="27">
        <v>42179</v>
      </c>
      <c r="P284" s="26">
        <v>21715</v>
      </c>
      <c r="Q284" s="26">
        <v>16838</v>
      </c>
      <c r="R284" s="27">
        <v>38553</v>
      </c>
      <c r="S284" s="26">
        <v>21247</v>
      </c>
      <c r="T284" s="26">
        <v>15316</v>
      </c>
      <c r="U284" s="27">
        <v>36563</v>
      </c>
      <c r="V284" s="26">
        <v>18311</v>
      </c>
      <c r="W284" s="26">
        <v>15280</v>
      </c>
      <c r="X284" s="31">
        <v>33591</v>
      </c>
      <c r="Y284" s="16">
        <v>19813</v>
      </c>
      <c r="Z284" s="16">
        <v>18919</v>
      </c>
      <c r="AA284" s="31">
        <v>38732</v>
      </c>
      <c r="AB284" s="32">
        <v>22522</v>
      </c>
      <c r="AC284" s="16">
        <v>21896</v>
      </c>
      <c r="AD284" s="31">
        <v>44418</v>
      </c>
      <c r="AE284" s="16">
        <v>15041</v>
      </c>
      <c r="AF284" s="16">
        <v>14596</v>
      </c>
      <c r="AG284" s="31">
        <v>29637</v>
      </c>
      <c r="AH284" s="16">
        <v>17875</v>
      </c>
      <c r="AI284" s="16">
        <v>10375</v>
      </c>
      <c r="AJ284" s="31">
        <v>28250</v>
      </c>
      <c r="AK284" s="16">
        <v>18172</v>
      </c>
      <c r="AL284" s="16">
        <v>10307</v>
      </c>
      <c r="AM284" s="31">
        <v>28479</v>
      </c>
      <c r="AN284" s="16">
        <v>20778</v>
      </c>
      <c r="AO284" s="16">
        <v>19833</v>
      </c>
      <c r="AP284" s="31">
        <v>40611</v>
      </c>
      <c r="AQ284" s="42"/>
      <c r="AR284" s="43"/>
      <c r="AS284" s="42"/>
      <c r="AT284" s="42"/>
    </row>
    <row r="285" spans="1:46" ht="12.9" customHeight="1" x14ac:dyDescent="0.25">
      <c r="A285" s="28" t="s">
        <v>600</v>
      </c>
      <c r="B285" s="29" t="s">
        <v>601</v>
      </c>
      <c r="C285" s="30" t="s">
        <v>281</v>
      </c>
      <c r="D285" s="40">
        <v>6035</v>
      </c>
      <c r="E285" s="26">
        <v>15046</v>
      </c>
      <c r="F285" s="26">
        <f t="shared" si="8"/>
        <v>21081</v>
      </c>
      <c r="G285" s="40">
        <v>6197</v>
      </c>
      <c r="H285" s="26">
        <v>45015</v>
      </c>
      <c r="I285" s="27">
        <f t="shared" si="9"/>
        <v>51212</v>
      </c>
      <c r="J285" s="40">
        <v>7854</v>
      </c>
      <c r="K285" s="26">
        <v>45790</v>
      </c>
      <c r="L285" s="27">
        <v>53644</v>
      </c>
      <c r="M285" s="26">
        <v>6780</v>
      </c>
      <c r="N285" s="26">
        <v>42361</v>
      </c>
      <c r="O285" s="27">
        <v>49141</v>
      </c>
      <c r="P285" s="26">
        <v>6098</v>
      </c>
      <c r="Q285" s="26">
        <v>39447</v>
      </c>
      <c r="R285" s="27">
        <v>45545</v>
      </c>
      <c r="S285" s="26">
        <v>5132</v>
      </c>
      <c r="T285" s="26">
        <v>38891</v>
      </c>
      <c r="U285" s="27">
        <v>44023</v>
      </c>
      <c r="V285" s="26">
        <v>4970</v>
      </c>
      <c r="W285" s="26">
        <v>37083</v>
      </c>
      <c r="X285" s="31">
        <v>42053</v>
      </c>
      <c r="Y285" s="16">
        <v>5598</v>
      </c>
      <c r="Z285" s="16">
        <v>36061</v>
      </c>
      <c r="AA285" s="31">
        <v>41659</v>
      </c>
      <c r="AB285" s="32">
        <v>8000</v>
      </c>
      <c r="AC285" s="16">
        <v>994</v>
      </c>
      <c r="AD285" s="31">
        <v>8994</v>
      </c>
      <c r="AE285" s="16">
        <v>2785</v>
      </c>
      <c r="AF285" s="16">
        <v>0</v>
      </c>
      <c r="AG285" s="31">
        <v>2785</v>
      </c>
      <c r="AH285" s="16">
        <v>6842</v>
      </c>
      <c r="AI285" s="16">
        <v>0</v>
      </c>
      <c r="AJ285" s="31">
        <v>6842</v>
      </c>
      <c r="AK285" s="16">
        <v>6842</v>
      </c>
      <c r="AL285" s="16">
        <v>0</v>
      </c>
      <c r="AM285" s="31">
        <v>6842</v>
      </c>
      <c r="AN285" s="16">
        <v>6842</v>
      </c>
      <c r="AO285" s="16">
        <v>0</v>
      </c>
      <c r="AP285" s="31">
        <v>6842</v>
      </c>
      <c r="AQ285" s="42"/>
      <c r="AR285" s="43"/>
      <c r="AS285" s="42"/>
      <c r="AT285" s="42"/>
    </row>
    <row r="286" spans="1:46" ht="12.9" customHeight="1" x14ac:dyDescent="0.25">
      <c r="A286" s="28" t="s">
        <v>602</v>
      </c>
      <c r="B286" s="29" t="s">
        <v>603</v>
      </c>
      <c r="C286" s="30" t="s">
        <v>95</v>
      </c>
      <c r="D286" s="40">
        <v>51713</v>
      </c>
      <c r="E286" s="26">
        <v>106849</v>
      </c>
      <c r="F286" s="26">
        <f t="shared" si="8"/>
        <v>158562</v>
      </c>
      <c r="G286" s="40">
        <v>51865</v>
      </c>
      <c r="H286" s="26">
        <v>111375</v>
      </c>
      <c r="I286" s="27">
        <f t="shared" si="9"/>
        <v>163240</v>
      </c>
      <c r="J286" s="40">
        <v>43386</v>
      </c>
      <c r="K286" s="26">
        <v>118353</v>
      </c>
      <c r="L286" s="27">
        <v>161739</v>
      </c>
      <c r="M286" s="26">
        <v>41998</v>
      </c>
      <c r="N286" s="26">
        <v>106647</v>
      </c>
      <c r="O286" s="27">
        <v>148645</v>
      </c>
      <c r="P286" s="26">
        <v>41998</v>
      </c>
      <c r="Q286" s="26">
        <v>106647</v>
      </c>
      <c r="R286" s="27">
        <v>148645</v>
      </c>
      <c r="S286" s="26">
        <v>41415</v>
      </c>
      <c r="T286" s="26">
        <v>105117</v>
      </c>
      <c r="U286" s="27">
        <v>146532</v>
      </c>
      <c r="V286" s="26">
        <v>44838</v>
      </c>
      <c r="W286" s="26">
        <v>108460</v>
      </c>
      <c r="X286" s="31">
        <v>153298</v>
      </c>
      <c r="Y286" s="16">
        <v>43967</v>
      </c>
      <c r="Z286" s="16">
        <v>105868</v>
      </c>
      <c r="AA286" s="31">
        <v>149835</v>
      </c>
      <c r="AB286" s="32">
        <v>43330</v>
      </c>
      <c r="AC286" s="16">
        <v>105737</v>
      </c>
      <c r="AD286" s="31">
        <v>149067</v>
      </c>
      <c r="AE286" s="16">
        <v>43330</v>
      </c>
      <c r="AF286" s="16">
        <v>107220</v>
      </c>
      <c r="AG286" s="31">
        <v>150550</v>
      </c>
      <c r="AH286" s="16">
        <v>44914</v>
      </c>
      <c r="AI286" s="16">
        <v>106829</v>
      </c>
      <c r="AJ286" s="31">
        <v>151743</v>
      </c>
      <c r="AK286" s="16">
        <v>35878</v>
      </c>
      <c r="AL286" s="16">
        <v>106829</v>
      </c>
      <c r="AM286" s="31">
        <v>142707</v>
      </c>
      <c r="AN286" s="16">
        <v>61512</v>
      </c>
      <c r="AO286" s="16">
        <v>113251</v>
      </c>
      <c r="AP286" s="31">
        <v>174763</v>
      </c>
      <c r="AQ286" s="42"/>
      <c r="AR286" s="43"/>
      <c r="AS286" s="42"/>
      <c r="AT286" s="42"/>
    </row>
    <row r="287" spans="1:46" ht="12.9" customHeight="1" x14ac:dyDescent="0.25">
      <c r="A287" s="28" t="s">
        <v>604</v>
      </c>
      <c r="B287" s="29" t="s">
        <v>605</v>
      </c>
      <c r="C287" s="30" t="s">
        <v>95</v>
      </c>
      <c r="D287" s="40">
        <v>6072</v>
      </c>
      <c r="E287" s="26">
        <v>504</v>
      </c>
      <c r="F287" s="26">
        <f t="shared" si="8"/>
        <v>6576</v>
      </c>
      <c r="G287" s="40">
        <v>6072</v>
      </c>
      <c r="H287" s="26">
        <v>504</v>
      </c>
      <c r="I287" s="27">
        <f t="shared" si="9"/>
        <v>6576</v>
      </c>
      <c r="J287" s="40">
        <v>6072</v>
      </c>
      <c r="K287" s="26">
        <v>504</v>
      </c>
      <c r="L287" s="27">
        <v>6576</v>
      </c>
      <c r="M287" s="26">
        <v>6072</v>
      </c>
      <c r="N287" s="26">
        <v>504</v>
      </c>
      <c r="O287" s="27">
        <v>6576</v>
      </c>
      <c r="P287" s="26">
        <v>4752</v>
      </c>
      <c r="Q287" s="26">
        <v>504</v>
      </c>
      <c r="R287" s="27">
        <v>5256</v>
      </c>
      <c r="S287" s="26">
        <v>4752</v>
      </c>
      <c r="T287" s="26">
        <v>432</v>
      </c>
      <c r="U287" s="27">
        <v>5184</v>
      </c>
      <c r="V287" s="26">
        <v>4464</v>
      </c>
      <c r="W287" s="26">
        <v>432</v>
      </c>
      <c r="X287" s="31">
        <v>4896</v>
      </c>
      <c r="Y287" s="16">
        <v>4464</v>
      </c>
      <c r="Z287" s="16">
        <v>432</v>
      </c>
      <c r="AA287" s="31">
        <v>4896</v>
      </c>
      <c r="AB287" s="32">
        <v>4320</v>
      </c>
      <c r="AC287" s="16">
        <v>432</v>
      </c>
      <c r="AD287" s="31">
        <v>4752</v>
      </c>
      <c r="AE287" s="16">
        <v>4320</v>
      </c>
      <c r="AF287" s="16">
        <v>432</v>
      </c>
      <c r="AG287" s="31">
        <v>4752</v>
      </c>
      <c r="AH287" s="16">
        <v>4320</v>
      </c>
      <c r="AI287" s="16">
        <v>432</v>
      </c>
      <c r="AJ287" s="31">
        <v>4752</v>
      </c>
      <c r="AK287" s="16">
        <v>4320</v>
      </c>
      <c r="AL287" s="16">
        <v>432</v>
      </c>
      <c r="AM287" s="31">
        <v>4752</v>
      </c>
      <c r="AN287" s="16">
        <v>4320</v>
      </c>
      <c r="AO287" s="16">
        <v>432</v>
      </c>
      <c r="AP287" s="31">
        <v>4752</v>
      </c>
      <c r="AQ287" s="42"/>
      <c r="AR287" s="43"/>
      <c r="AS287" s="42"/>
      <c r="AT287" s="42"/>
    </row>
    <row r="288" spans="1:46" ht="12.9" customHeight="1" x14ac:dyDescent="0.25">
      <c r="A288" s="28" t="s">
        <v>606</v>
      </c>
      <c r="B288" s="29" t="s">
        <v>607</v>
      </c>
      <c r="C288" s="30" t="s">
        <v>249</v>
      </c>
      <c r="D288" s="40">
        <v>66010</v>
      </c>
      <c r="E288" s="26">
        <v>46396</v>
      </c>
      <c r="F288" s="26">
        <f t="shared" si="8"/>
        <v>112406</v>
      </c>
      <c r="G288" s="40">
        <v>69466</v>
      </c>
      <c r="H288" s="26">
        <v>51606</v>
      </c>
      <c r="I288" s="27">
        <f t="shared" si="9"/>
        <v>121072</v>
      </c>
      <c r="J288" s="40">
        <v>71034</v>
      </c>
      <c r="K288" s="26">
        <v>45795</v>
      </c>
      <c r="L288" s="27">
        <v>116829</v>
      </c>
      <c r="M288" s="26">
        <v>78776</v>
      </c>
      <c r="N288" s="26">
        <v>34014</v>
      </c>
      <c r="O288" s="27">
        <v>112790</v>
      </c>
      <c r="P288" s="26">
        <v>79198</v>
      </c>
      <c r="Q288" s="26">
        <v>33603</v>
      </c>
      <c r="R288" s="27">
        <v>112801</v>
      </c>
      <c r="S288" s="26">
        <v>79738</v>
      </c>
      <c r="T288" s="26">
        <v>40175</v>
      </c>
      <c r="U288" s="27">
        <v>119913</v>
      </c>
      <c r="V288" s="26">
        <v>75730</v>
      </c>
      <c r="W288" s="26">
        <v>40155</v>
      </c>
      <c r="X288" s="31">
        <v>115885</v>
      </c>
      <c r="Y288" s="16">
        <v>78959</v>
      </c>
      <c r="Z288" s="16">
        <v>39870</v>
      </c>
      <c r="AA288" s="31">
        <v>118829</v>
      </c>
      <c r="AB288" s="32">
        <v>79016</v>
      </c>
      <c r="AC288" s="16">
        <v>35952</v>
      </c>
      <c r="AD288" s="31">
        <v>114968</v>
      </c>
      <c r="AE288" s="16">
        <v>77617</v>
      </c>
      <c r="AF288" s="16">
        <v>32256</v>
      </c>
      <c r="AG288" s="31">
        <v>109873</v>
      </c>
      <c r="AH288" s="16">
        <v>78005</v>
      </c>
      <c r="AI288" s="16">
        <v>31825</v>
      </c>
      <c r="AJ288" s="31">
        <v>109830</v>
      </c>
      <c r="AK288" s="16">
        <v>78532</v>
      </c>
      <c r="AL288" s="16">
        <v>32557</v>
      </c>
      <c r="AM288" s="31">
        <v>111089</v>
      </c>
      <c r="AN288" s="16">
        <v>92681</v>
      </c>
      <c r="AO288" s="16">
        <v>30747</v>
      </c>
      <c r="AP288" s="31">
        <v>123428</v>
      </c>
      <c r="AQ288" s="42"/>
      <c r="AR288" s="43"/>
      <c r="AS288" s="42"/>
      <c r="AT288" s="42"/>
    </row>
    <row r="289" spans="1:46" ht="12.9" customHeight="1" x14ac:dyDescent="0.25">
      <c r="A289" s="28" t="s">
        <v>608</v>
      </c>
      <c r="B289" s="29" t="s">
        <v>609</v>
      </c>
      <c r="C289" s="30" t="s">
        <v>23</v>
      </c>
      <c r="D289" s="40">
        <v>17454</v>
      </c>
      <c r="E289" s="26">
        <v>32912</v>
      </c>
      <c r="F289" s="26">
        <f t="shared" si="8"/>
        <v>50366</v>
      </c>
      <c r="G289" s="40">
        <v>19783</v>
      </c>
      <c r="H289" s="26">
        <v>28470</v>
      </c>
      <c r="I289" s="27">
        <f t="shared" si="9"/>
        <v>48253</v>
      </c>
      <c r="J289" s="40">
        <v>21921</v>
      </c>
      <c r="K289" s="26">
        <v>31329</v>
      </c>
      <c r="L289" s="27">
        <v>53250</v>
      </c>
      <c r="M289" s="26">
        <v>26982</v>
      </c>
      <c r="N289" s="26">
        <v>26760</v>
      </c>
      <c r="O289" s="27">
        <v>53742</v>
      </c>
      <c r="P289" s="26">
        <v>19472</v>
      </c>
      <c r="Q289" s="26">
        <v>23546</v>
      </c>
      <c r="R289" s="27">
        <v>43018</v>
      </c>
      <c r="S289" s="26">
        <v>18522</v>
      </c>
      <c r="T289" s="26">
        <v>19001</v>
      </c>
      <c r="U289" s="27">
        <v>37523</v>
      </c>
      <c r="V289" s="26">
        <v>19867</v>
      </c>
      <c r="W289" s="26">
        <v>9775</v>
      </c>
      <c r="X289" s="31">
        <v>29642</v>
      </c>
      <c r="Y289" s="16">
        <v>17991.599999999999</v>
      </c>
      <c r="Z289" s="16">
        <v>7830</v>
      </c>
      <c r="AA289" s="31">
        <v>25821.599999999999</v>
      </c>
      <c r="AB289" s="32">
        <v>18574</v>
      </c>
      <c r="AC289" s="16">
        <v>18570</v>
      </c>
      <c r="AD289" s="31">
        <v>37144</v>
      </c>
      <c r="AE289" s="16">
        <v>19111</v>
      </c>
      <c r="AF289" s="16">
        <v>21628</v>
      </c>
      <c r="AG289" s="31">
        <v>40739</v>
      </c>
      <c r="AH289" s="16">
        <v>23142</v>
      </c>
      <c r="AI289" s="16">
        <v>17669</v>
      </c>
      <c r="AJ289" s="31">
        <v>40811</v>
      </c>
      <c r="AK289" s="16">
        <v>20512</v>
      </c>
      <c r="AL289" s="16">
        <v>13770</v>
      </c>
      <c r="AM289" s="31">
        <v>34282</v>
      </c>
      <c r="AN289" s="16">
        <v>20512</v>
      </c>
      <c r="AO289" s="16">
        <v>13256</v>
      </c>
      <c r="AP289" s="31">
        <v>33768</v>
      </c>
      <c r="AQ289" s="42"/>
      <c r="AR289" s="43"/>
      <c r="AS289" s="42"/>
      <c r="AT289" s="42"/>
    </row>
    <row r="290" spans="1:46" ht="12.9" customHeight="1" x14ac:dyDescent="0.25">
      <c r="A290" s="28" t="s">
        <v>610</v>
      </c>
      <c r="B290" s="29" t="s">
        <v>611</v>
      </c>
      <c r="C290" s="30" t="s">
        <v>95</v>
      </c>
      <c r="D290" s="40">
        <v>10260</v>
      </c>
      <c r="E290" s="26">
        <v>0</v>
      </c>
      <c r="F290" s="26">
        <f t="shared" si="8"/>
        <v>10260</v>
      </c>
      <c r="G290" s="40">
        <v>10260</v>
      </c>
      <c r="H290" s="26">
        <v>0</v>
      </c>
      <c r="I290" s="27">
        <f t="shared" si="9"/>
        <v>10260</v>
      </c>
      <c r="J290" s="40">
        <v>10908</v>
      </c>
      <c r="K290" s="26">
        <v>0</v>
      </c>
      <c r="L290" s="27">
        <v>10908</v>
      </c>
      <c r="M290" s="26">
        <v>10476</v>
      </c>
      <c r="N290" s="26">
        <v>0</v>
      </c>
      <c r="O290" s="27">
        <v>10476</v>
      </c>
      <c r="P290" s="26">
        <v>10476</v>
      </c>
      <c r="Q290" s="26">
        <v>0</v>
      </c>
      <c r="R290" s="27">
        <v>10476</v>
      </c>
      <c r="S290" s="26">
        <v>11340</v>
      </c>
      <c r="T290" s="26">
        <v>360</v>
      </c>
      <c r="U290" s="27">
        <v>11700</v>
      </c>
      <c r="V290" s="26">
        <v>11340</v>
      </c>
      <c r="W290" s="26">
        <v>360</v>
      </c>
      <c r="X290" s="31">
        <v>11700</v>
      </c>
      <c r="Y290" s="16">
        <v>9936</v>
      </c>
      <c r="Z290" s="16">
        <v>0</v>
      </c>
      <c r="AA290" s="31">
        <v>9936</v>
      </c>
      <c r="AB290" s="32">
        <v>11016</v>
      </c>
      <c r="AC290" s="16">
        <v>288</v>
      </c>
      <c r="AD290" s="31">
        <v>11304</v>
      </c>
      <c r="AE290" s="16">
        <v>9828</v>
      </c>
      <c r="AF290" s="16">
        <v>0</v>
      </c>
      <c r="AG290" s="31">
        <v>9828</v>
      </c>
      <c r="AH290" s="16">
        <v>9828</v>
      </c>
      <c r="AI290" s="16">
        <v>0</v>
      </c>
      <c r="AJ290" s="31">
        <v>9828</v>
      </c>
      <c r="AK290" s="16">
        <v>10368</v>
      </c>
      <c r="AL290" s="16">
        <v>0</v>
      </c>
      <c r="AM290" s="31">
        <v>10368</v>
      </c>
      <c r="AN290" s="16">
        <v>6696</v>
      </c>
      <c r="AO290" s="16">
        <v>0</v>
      </c>
      <c r="AP290" s="31">
        <v>6696</v>
      </c>
      <c r="AQ290" s="42"/>
      <c r="AR290" s="43"/>
      <c r="AS290" s="42"/>
      <c r="AT290" s="42"/>
    </row>
    <row r="291" spans="1:46" ht="12.9" customHeight="1" x14ac:dyDescent="0.25">
      <c r="A291" s="28" t="s">
        <v>612</v>
      </c>
      <c r="B291" s="29" t="s">
        <v>613</v>
      </c>
      <c r="C291" s="30" t="s">
        <v>163</v>
      </c>
      <c r="D291" s="40">
        <v>28534</v>
      </c>
      <c r="E291" s="26">
        <v>6620</v>
      </c>
      <c r="F291" s="26">
        <f t="shared" si="8"/>
        <v>35154</v>
      </c>
      <c r="G291" s="40">
        <v>27618</v>
      </c>
      <c r="H291" s="26">
        <v>6265</v>
      </c>
      <c r="I291" s="27">
        <f t="shared" si="9"/>
        <v>33883</v>
      </c>
      <c r="J291" s="40">
        <v>24596</v>
      </c>
      <c r="K291" s="26">
        <v>5407</v>
      </c>
      <c r="L291" s="27">
        <v>30003</v>
      </c>
      <c r="M291" s="26">
        <v>26490</v>
      </c>
      <c r="N291" s="26">
        <v>7460</v>
      </c>
      <c r="O291" s="27">
        <v>33950</v>
      </c>
      <c r="P291" s="26">
        <v>27497</v>
      </c>
      <c r="Q291" s="26">
        <v>4468</v>
      </c>
      <c r="R291" s="27">
        <v>31965</v>
      </c>
      <c r="S291" s="26">
        <v>27110</v>
      </c>
      <c r="T291" s="26">
        <v>5680</v>
      </c>
      <c r="U291" s="27">
        <v>32790</v>
      </c>
      <c r="V291" s="26">
        <v>27692</v>
      </c>
      <c r="W291" s="26">
        <v>5424</v>
      </c>
      <c r="X291" s="31">
        <v>33116</v>
      </c>
      <c r="Y291" s="16">
        <v>28937</v>
      </c>
      <c r="Z291" s="16">
        <v>7061</v>
      </c>
      <c r="AA291" s="31">
        <v>35998</v>
      </c>
      <c r="AB291" s="32">
        <v>29163</v>
      </c>
      <c r="AC291" s="16">
        <v>6344</v>
      </c>
      <c r="AD291" s="31">
        <v>35507</v>
      </c>
      <c r="AE291" s="16">
        <v>29962</v>
      </c>
      <c r="AF291" s="16">
        <v>6631</v>
      </c>
      <c r="AG291" s="31">
        <v>36593</v>
      </c>
      <c r="AH291" s="16">
        <v>31160</v>
      </c>
      <c r="AI291" s="16">
        <v>9420</v>
      </c>
      <c r="AJ291" s="31">
        <v>40580</v>
      </c>
      <c r="AK291" s="16">
        <v>30035</v>
      </c>
      <c r="AL291" s="16">
        <v>9293</v>
      </c>
      <c r="AM291" s="31">
        <v>39328</v>
      </c>
      <c r="AN291" s="16">
        <v>30035</v>
      </c>
      <c r="AO291" s="16">
        <v>9293</v>
      </c>
      <c r="AP291" s="31">
        <v>39328</v>
      </c>
      <c r="AQ291" s="42"/>
      <c r="AR291" s="43"/>
      <c r="AS291" s="42"/>
      <c r="AT291" s="42"/>
    </row>
    <row r="292" spans="1:46" ht="12.9" customHeight="1" x14ac:dyDescent="0.25">
      <c r="A292" s="28" t="s">
        <v>614</v>
      </c>
      <c r="B292" s="29" t="s">
        <v>615</v>
      </c>
      <c r="C292" s="30" t="s">
        <v>56</v>
      </c>
      <c r="D292" s="40">
        <v>1735</v>
      </c>
      <c r="E292" s="26">
        <v>330</v>
      </c>
      <c r="F292" s="26">
        <f t="shared" si="8"/>
        <v>2065</v>
      </c>
      <c r="G292" s="40">
        <v>4603</v>
      </c>
      <c r="H292" s="26">
        <v>314</v>
      </c>
      <c r="I292" s="27">
        <f t="shared" si="9"/>
        <v>4917</v>
      </c>
      <c r="J292" s="40">
        <v>1881</v>
      </c>
      <c r="K292" s="26">
        <v>251</v>
      </c>
      <c r="L292" s="27">
        <v>2132</v>
      </c>
      <c r="M292" s="26">
        <v>1881</v>
      </c>
      <c r="N292" s="26">
        <v>251</v>
      </c>
      <c r="O292" s="27">
        <v>2132</v>
      </c>
      <c r="P292" s="26">
        <v>1873</v>
      </c>
      <c r="Q292" s="26">
        <v>169</v>
      </c>
      <c r="R292" s="27">
        <v>2042</v>
      </c>
      <c r="S292" s="26">
        <v>1359</v>
      </c>
      <c r="T292" s="26">
        <v>267</v>
      </c>
      <c r="U292" s="27">
        <v>1626</v>
      </c>
      <c r="V292" s="26">
        <v>1797</v>
      </c>
      <c r="W292" s="26">
        <v>174</v>
      </c>
      <c r="X292" s="31">
        <v>1971</v>
      </c>
      <c r="Y292" s="16">
        <v>1370</v>
      </c>
      <c r="Z292" s="16">
        <v>385</v>
      </c>
      <c r="AA292" s="31">
        <v>1755</v>
      </c>
      <c r="AB292" s="32">
        <v>1370</v>
      </c>
      <c r="AC292" s="16">
        <v>385</v>
      </c>
      <c r="AD292" s="31">
        <v>1755</v>
      </c>
      <c r="AE292" s="16">
        <v>1844</v>
      </c>
      <c r="AF292" s="16">
        <v>436</v>
      </c>
      <c r="AG292" s="31">
        <v>2280</v>
      </c>
      <c r="AH292" s="16">
        <v>1433</v>
      </c>
      <c r="AI292" s="16">
        <v>330</v>
      </c>
      <c r="AJ292" s="31">
        <v>1763</v>
      </c>
      <c r="AK292" s="16">
        <v>1563</v>
      </c>
      <c r="AL292" s="16">
        <v>796</v>
      </c>
      <c r="AM292" s="31">
        <v>2359</v>
      </c>
      <c r="AN292" s="16">
        <v>1822</v>
      </c>
      <c r="AO292" s="16">
        <v>438</v>
      </c>
      <c r="AP292" s="31">
        <v>2260</v>
      </c>
      <c r="AQ292" s="42"/>
      <c r="AR292" s="43"/>
      <c r="AS292" s="42"/>
      <c r="AT292" s="42"/>
    </row>
    <row r="293" spans="1:46" ht="12.9" customHeight="1" x14ac:dyDescent="0.25">
      <c r="A293" s="28" t="s">
        <v>616</v>
      </c>
      <c r="B293" s="29" t="s">
        <v>617</v>
      </c>
      <c r="C293" s="30" t="s">
        <v>26</v>
      </c>
      <c r="D293" s="40">
        <v>44988</v>
      </c>
      <c r="E293" s="26">
        <v>11066</v>
      </c>
      <c r="F293" s="26">
        <f t="shared" si="8"/>
        <v>56054</v>
      </c>
      <c r="G293" s="40">
        <v>44977</v>
      </c>
      <c r="H293" s="26">
        <v>12736</v>
      </c>
      <c r="I293" s="27">
        <f t="shared" si="9"/>
        <v>57713</v>
      </c>
      <c r="J293" s="40">
        <v>48226</v>
      </c>
      <c r="K293" s="26">
        <v>13741</v>
      </c>
      <c r="L293" s="27">
        <v>61967</v>
      </c>
      <c r="M293" s="26">
        <v>49059</v>
      </c>
      <c r="N293" s="26">
        <v>10166</v>
      </c>
      <c r="O293" s="27">
        <v>59225</v>
      </c>
      <c r="P293" s="26">
        <v>47904</v>
      </c>
      <c r="Q293" s="26">
        <v>10982</v>
      </c>
      <c r="R293" s="27">
        <v>58886</v>
      </c>
      <c r="S293" s="26">
        <v>43103</v>
      </c>
      <c r="T293" s="26">
        <v>9838</v>
      </c>
      <c r="U293" s="27">
        <v>52941</v>
      </c>
      <c r="V293" s="26">
        <v>42047</v>
      </c>
      <c r="W293" s="26">
        <v>8864</v>
      </c>
      <c r="X293" s="31">
        <v>50911</v>
      </c>
      <c r="Y293" s="16">
        <v>45568</v>
      </c>
      <c r="Z293" s="16">
        <v>12353</v>
      </c>
      <c r="AA293" s="31">
        <v>57921</v>
      </c>
      <c r="AB293" s="32">
        <v>49928.333333333336</v>
      </c>
      <c r="AC293" s="16">
        <v>16524</v>
      </c>
      <c r="AD293" s="31">
        <v>66452.333333333343</v>
      </c>
      <c r="AE293" s="16">
        <v>46039</v>
      </c>
      <c r="AF293" s="16">
        <v>11097</v>
      </c>
      <c r="AG293" s="31">
        <v>57136</v>
      </c>
      <c r="AH293" s="16">
        <v>54299</v>
      </c>
      <c r="AI293" s="16">
        <v>8432</v>
      </c>
      <c r="AJ293" s="31">
        <v>62731</v>
      </c>
      <c r="AK293" s="16">
        <v>46454</v>
      </c>
      <c r="AL293" s="16">
        <v>10999</v>
      </c>
      <c r="AM293" s="31">
        <v>57453</v>
      </c>
      <c r="AN293" s="16">
        <v>57481</v>
      </c>
      <c r="AO293" s="16">
        <v>11745</v>
      </c>
      <c r="AP293" s="31">
        <v>69226</v>
      </c>
      <c r="AQ293" s="42"/>
      <c r="AR293" s="43"/>
      <c r="AS293" s="42"/>
      <c r="AT293" s="42"/>
    </row>
    <row r="294" spans="1:46" ht="12.9" customHeight="1" x14ac:dyDescent="0.25">
      <c r="A294" s="28" t="s">
        <v>618</v>
      </c>
      <c r="B294" s="29" t="s">
        <v>619</v>
      </c>
      <c r="C294" s="30" t="s">
        <v>184</v>
      </c>
      <c r="D294" s="40">
        <v>1970</v>
      </c>
      <c r="E294" s="26">
        <v>432</v>
      </c>
      <c r="F294" s="26">
        <f t="shared" si="8"/>
        <v>2402</v>
      </c>
      <c r="G294" s="40">
        <v>1800</v>
      </c>
      <c r="H294" s="26">
        <v>471</v>
      </c>
      <c r="I294" s="27">
        <f t="shared" si="9"/>
        <v>2271</v>
      </c>
      <c r="J294" s="40">
        <v>1981</v>
      </c>
      <c r="K294" s="26">
        <v>301</v>
      </c>
      <c r="L294" s="27">
        <v>2282</v>
      </c>
      <c r="M294" s="26">
        <v>1820</v>
      </c>
      <c r="N294" s="26">
        <v>288</v>
      </c>
      <c r="O294" s="27">
        <v>2108</v>
      </c>
      <c r="P294" s="26">
        <v>0</v>
      </c>
      <c r="Q294" s="26">
        <v>36</v>
      </c>
      <c r="R294" s="27">
        <v>36</v>
      </c>
      <c r="S294" s="26">
        <v>0</v>
      </c>
      <c r="T294" s="26">
        <v>81</v>
      </c>
      <c r="U294" s="27">
        <v>81</v>
      </c>
      <c r="V294" s="26">
        <v>0</v>
      </c>
      <c r="W294" s="26">
        <v>238</v>
      </c>
      <c r="X294" s="31">
        <v>238</v>
      </c>
      <c r="Y294" s="16">
        <v>0</v>
      </c>
      <c r="Z294" s="16">
        <v>136</v>
      </c>
      <c r="AA294" s="31">
        <v>136</v>
      </c>
      <c r="AB294" s="32">
        <v>2500</v>
      </c>
      <c r="AC294" s="16">
        <v>385</v>
      </c>
      <c r="AD294" s="31">
        <v>2885</v>
      </c>
      <c r="AE294" s="16">
        <v>0</v>
      </c>
      <c r="AF294" s="16">
        <v>141</v>
      </c>
      <c r="AG294" s="31">
        <v>141</v>
      </c>
      <c r="AH294" s="32" t="s">
        <v>160</v>
      </c>
      <c r="AI294" s="16">
        <v>151</v>
      </c>
      <c r="AJ294" s="31">
        <v>151</v>
      </c>
      <c r="AK294" s="32" t="s">
        <v>160</v>
      </c>
      <c r="AL294" s="16">
        <v>171</v>
      </c>
      <c r="AM294" s="31">
        <v>171</v>
      </c>
      <c r="AN294" s="32" t="s">
        <v>160</v>
      </c>
      <c r="AO294" s="16">
        <v>123</v>
      </c>
      <c r="AP294" s="31">
        <v>123</v>
      </c>
      <c r="AQ294" s="42"/>
      <c r="AR294" s="43"/>
      <c r="AS294" s="42"/>
      <c r="AT294" s="42"/>
    </row>
    <row r="295" spans="1:46" ht="12.9" customHeight="1" x14ac:dyDescent="0.25">
      <c r="A295" s="28" t="s">
        <v>620</v>
      </c>
      <c r="B295" s="29" t="s">
        <v>621</v>
      </c>
      <c r="C295" s="30" t="s">
        <v>39</v>
      </c>
      <c r="D295" s="40">
        <v>26730</v>
      </c>
      <c r="E295" s="26">
        <v>905</v>
      </c>
      <c r="F295" s="26">
        <f t="shared" si="8"/>
        <v>27635</v>
      </c>
      <c r="G295" s="40">
        <v>26730</v>
      </c>
      <c r="H295" s="26">
        <v>904</v>
      </c>
      <c r="I295" s="27">
        <f t="shared" si="9"/>
        <v>27634</v>
      </c>
      <c r="J295" s="40">
        <v>24570</v>
      </c>
      <c r="K295" s="26">
        <v>904</v>
      </c>
      <c r="L295" s="27">
        <v>25474</v>
      </c>
      <c r="M295" s="26">
        <v>24570</v>
      </c>
      <c r="N295" s="26">
        <v>904</v>
      </c>
      <c r="O295" s="27">
        <v>25474</v>
      </c>
      <c r="P295" s="26">
        <v>25024</v>
      </c>
      <c r="Q295" s="26">
        <v>826</v>
      </c>
      <c r="R295" s="27">
        <v>25850</v>
      </c>
      <c r="S295" s="26">
        <v>24380</v>
      </c>
      <c r="T295" s="26">
        <v>832</v>
      </c>
      <c r="U295" s="27">
        <v>25212</v>
      </c>
      <c r="V295" s="26">
        <v>24380</v>
      </c>
      <c r="W295" s="26">
        <v>830</v>
      </c>
      <c r="X295" s="31">
        <v>25210</v>
      </c>
      <c r="Y295" s="16">
        <v>25400</v>
      </c>
      <c r="Z295" s="16">
        <v>720</v>
      </c>
      <c r="AA295" s="31">
        <v>26120</v>
      </c>
      <c r="AB295" s="32">
        <v>25380</v>
      </c>
      <c r="AC295" s="16">
        <v>352</v>
      </c>
      <c r="AD295" s="31">
        <v>25732</v>
      </c>
      <c r="AE295" s="16">
        <v>25380</v>
      </c>
      <c r="AF295" s="16">
        <v>436</v>
      </c>
      <c r="AG295" s="31">
        <v>25816</v>
      </c>
      <c r="AH295" s="16">
        <v>27120</v>
      </c>
      <c r="AI295" s="16">
        <v>357</v>
      </c>
      <c r="AJ295" s="31">
        <v>27477</v>
      </c>
      <c r="AK295" s="16">
        <v>27120</v>
      </c>
      <c r="AL295" s="16">
        <v>354</v>
      </c>
      <c r="AM295" s="31">
        <v>27474</v>
      </c>
      <c r="AN295" s="16">
        <v>15840</v>
      </c>
      <c r="AO295" s="16">
        <v>316</v>
      </c>
      <c r="AP295" s="31">
        <v>16156</v>
      </c>
      <c r="AQ295" s="42"/>
      <c r="AR295" s="43"/>
      <c r="AS295" s="42"/>
      <c r="AT295" s="42"/>
    </row>
    <row r="296" spans="1:46" ht="12.9" customHeight="1" x14ac:dyDescent="0.25">
      <c r="A296" s="28" t="s">
        <v>622</v>
      </c>
      <c r="B296" s="29" t="s">
        <v>623</v>
      </c>
      <c r="C296" s="30" t="s">
        <v>249</v>
      </c>
      <c r="D296" s="40">
        <v>5894</v>
      </c>
      <c r="E296" s="26">
        <v>2304</v>
      </c>
      <c r="F296" s="26">
        <f t="shared" si="8"/>
        <v>8198</v>
      </c>
      <c r="G296" s="40">
        <v>6464</v>
      </c>
      <c r="H296" s="26">
        <v>2279</v>
      </c>
      <c r="I296" s="27">
        <f t="shared" si="9"/>
        <v>8743</v>
      </c>
      <c r="J296" s="40">
        <v>6321</v>
      </c>
      <c r="K296" s="26">
        <v>1950</v>
      </c>
      <c r="L296" s="27">
        <v>8271</v>
      </c>
      <c r="M296" s="26">
        <v>7062</v>
      </c>
      <c r="N296" s="26">
        <v>1770</v>
      </c>
      <c r="O296" s="27">
        <v>8832</v>
      </c>
      <c r="P296" s="26">
        <v>6773</v>
      </c>
      <c r="Q296" s="26">
        <v>1495</v>
      </c>
      <c r="R296" s="27">
        <v>8268</v>
      </c>
      <c r="S296" s="26">
        <v>5975</v>
      </c>
      <c r="T296" s="26">
        <v>1674</v>
      </c>
      <c r="U296" s="27">
        <v>7649</v>
      </c>
      <c r="V296" s="26">
        <v>5465</v>
      </c>
      <c r="W296" s="26">
        <v>1848</v>
      </c>
      <c r="X296" s="31">
        <v>7313</v>
      </c>
      <c r="Y296" s="16">
        <v>5364</v>
      </c>
      <c r="Z296" s="16">
        <v>1776</v>
      </c>
      <c r="AA296" s="31">
        <v>7140</v>
      </c>
      <c r="AB296" s="32">
        <v>5896</v>
      </c>
      <c r="AC296" s="16">
        <v>1016</v>
      </c>
      <c r="AD296" s="31">
        <v>6912</v>
      </c>
      <c r="AE296" s="16">
        <v>5692</v>
      </c>
      <c r="AF296" s="16">
        <v>383</v>
      </c>
      <c r="AG296" s="31">
        <v>6075</v>
      </c>
      <c r="AH296" s="16">
        <v>6015</v>
      </c>
      <c r="AI296" s="16">
        <v>420</v>
      </c>
      <c r="AJ296" s="31">
        <v>6435</v>
      </c>
      <c r="AK296" s="16">
        <v>6151</v>
      </c>
      <c r="AL296" s="16">
        <v>1848</v>
      </c>
      <c r="AM296" s="31">
        <v>7999</v>
      </c>
      <c r="AN296" s="16">
        <v>6151</v>
      </c>
      <c r="AO296" s="16">
        <v>1848</v>
      </c>
      <c r="AP296" s="31">
        <v>7999</v>
      </c>
      <c r="AQ296" s="42"/>
      <c r="AR296" s="43"/>
      <c r="AS296" s="42"/>
      <c r="AT296" s="42"/>
    </row>
    <row r="297" spans="1:46" ht="12.9" customHeight="1" x14ac:dyDescent="0.25">
      <c r="A297" s="28" t="s">
        <v>624</v>
      </c>
      <c r="B297" s="29" t="s">
        <v>625</v>
      </c>
      <c r="C297" s="30" t="s">
        <v>23</v>
      </c>
      <c r="D297" s="40">
        <v>1684724</v>
      </c>
      <c r="E297" s="26">
        <v>501418</v>
      </c>
      <c r="F297" s="26">
        <f t="shared" si="8"/>
        <v>2186142</v>
      </c>
      <c r="G297" s="40">
        <v>1719921</v>
      </c>
      <c r="H297" s="26">
        <v>589922</v>
      </c>
      <c r="I297" s="27">
        <f t="shared" si="9"/>
        <v>2309843</v>
      </c>
      <c r="J297" s="40">
        <v>1789404</v>
      </c>
      <c r="K297" s="26">
        <v>739645</v>
      </c>
      <c r="L297" s="27">
        <v>2529049</v>
      </c>
      <c r="M297" s="26">
        <v>1910920</v>
      </c>
      <c r="N297" s="26">
        <v>625368</v>
      </c>
      <c r="O297" s="27">
        <v>2536288</v>
      </c>
      <c r="P297" s="26">
        <v>1906332</v>
      </c>
      <c r="Q297" s="26">
        <v>617870</v>
      </c>
      <c r="R297" s="27">
        <v>2524202</v>
      </c>
      <c r="S297" s="26">
        <v>1783961</v>
      </c>
      <c r="T297" s="26">
        <v>697841</v>
      </c>
      <c r="U297" s="27">
        <v>2481802</v>
      </c>
      <c r="V297" s="26">
        <v>1738560</v>
      </c>
      <c r="W297" s="26">
        <v>659193</v>
      </c>
      <c r="X297" s="31">
        <v>2397753</v>
      </c>
      <c r="Y297" s="16">
        <v>1732481</v>
      </c>
      <c r="Z297" s="16">
        <v>718538</v>
      </c>
      <c r="AA297" s="31">
        <v>2451019</v>
      </c>
      <c r="AB297" s="32">
        <v>1763304</v>
      </c>
      <c r="AC297" s="16">
        <v>759112</v>
      </c>
      <c r="AD297" s="31">
        <v>2522416</v>
      </c>
      <c r="AE297" s="16">
        <v>1757348</v>
      </c>
      <c r="AF297" s="16">
        <v>699281</v>
      </c>
      <c r="AG297" s="31">
        <v>2456629</v>
      </c>
      <c r="AH297" s="16">
        <v>1666110</v>
      </c>
      <c r="AI297" s="16">
        <v>742098</v>
      </c>
      <c r="AJ297" s="31">
        <v>2408208</v>
      </c>
      <c r="AK297" s="16">
        <v>1692835</v>
      </c>
      <c r="AL297" s="16">
        <v>777524</v>
      </c>
      <c r="AM297" s="31">
        <v>2470359</v>
      </c>
      <c r="AN297" s="16">
        <v>1781693</v>
      </c>
      <c r="AO297" s="16">
        <v>701727</v>
      </c>
      <c r="AP297" s="31">
        <v>2483420</v>
      </c>
      <c r="AQ297" s="42"/>
      <c r="AR297" s="43"/>
      <c r="AS297" s="42"/>
      <c r="AT297" s="42"/>
    </row>
    <row r="298" spans="1:46" ht="12.9" customHeight="1" x14ac:dyDescent="0.25">
      <c r="A298" s="28" t="s">
        <v>626</v>
      </c>
      <c r="B298" s="29" t="s">
        <v>627</v>
      </c>
      <c r="C298" s="30" t="s">
        <v>29</v>
      </c>
      <c r="D298" s="40">
        <v>12600</v>
      </c>
      <c r="E298" s="26">
        <v>7265</v>
      </c>
      <c r="F298" s="26">
        <f t="shared" si="8"/>
        <v>19865</v>
      </c>
      <c r="G298" s="40">
        <v>13295</v>
      </c>
      <c r="H298" s="26">
        <v>8887</v>
      </c>
      <c r="I298" s="27">
        <f t="shared" si="9"/>
        <v>22182</v>
      </c>
      <c r="J298" s="40">
        <v>12877</v>
      </c>
      <c r="K298" s="26">
        <v>5613</v>
      </c>
      <c r="L298" s="27">
        <v>18490</v>
      </c>
      <c r="M298" s="26">
        <v>11378</v>
      </c>
      <c r="N298" s="26">
        <v>1698</v>
      </c>
      <c r="O298" s="27">
        <v>13076</v>
      </c>
      <c r="P298" s="26">
        <v>14138</v>
      </c>
      <c r="Q298" s="26">
        <v>3015</v>
      </c>
      <c r="R298" s="27">
        <v>17153</v>
      </c>
      <c r="S298" s="26">
        <v>13619</v>
      </c>
      <c r="T298" s="26">
        <v>3215</v>
      </c>
      <c r="U298" s="27">
        <v>16834</v>
      </c>
      <c r="V298" s="26">
        <v>10456</v>
      </c>
      <c r="W298" s="26">
        <v>1738</v>
      </c>
      <c r="X298" s="31">
        <v>12194</v>
      </c>
      <c r="Y298" s="16">
        <v>13365</v>
      </c>
      <c r="Z298" s="16">
        <v>2676</v>
      </c>
      <c r="AA298" s="31">
        <v>16041</v>
      </c>
      <c r="AB298" s="32">
        <v>12263</v>
      </c>
      <c r="AC298" s="16">
        <v>3487</v>
      </c>
      <c r="AD298" s="31">
        <v>15750</v>
      </c>
      <c r="AE298" s="16">
        <v>6617</v>
      </c>
      <c r="AF298" s="16">
        <v>2043</v>
      </c>
      <c r="AG298" s="31">
        <v>8660</v>
      </c>
      <c r="AH298" s="16">
        <v>10629</v>
      </c>
      <c r="AI298" s="16">
        <v>3802</v>
      </c>
      <c r="AJ298" s="31">
        <v>14431</v>
      </c>
      <c r="AK298" s="16">
        <v>12919</v>
      </c>
      <c r="AL298" s="16">
        <v>2033</v>
      </c>
      <c r="AM298" s="31">
        <v>14952</v>
      </c>
      <c r="AN298" s="16">
        <v>12905</v>
      </c>
      <c r="AO298" s="16">
        <v>2033</v>
      </c>
      <c r="AP298" s="31">
        <v>14938</v>
      </c>
      <c r="AQ298" s="42"/>
      <c r="AR298" s="43"/>
      <c r="AS298" s="42"/>
      <c r="AT298" s="42"/>
    </row>
    <row r="299" spans="1:46" ht="12.9" customHeight="1" x14ac:dyDescent="0.25">
      <c r="A299" s="28" t="s">
        <v>628</v>
      </c>
      <c r="B299" s="29" t="s">
        <v>629</v>
      </c>
      <c r="C299" s="30" t="s">
        <v>274</v>
      </c>
      <c r="D299" s="40">
        <v>41342</v>
      </c>
      <c r="E299" s="26">
        <v>13996</v>
      </c>
      <c r="F299" s="26">
        <f t="shared" si="8"/>
        <v>55338</v>
      </c>
      <c r="G299" s="40">
        <v>42990</v>
      </c>
      <c r="H299" s="26">
        <v>18890</v>
      </c>
      <c r="I299" s="27">
        <f t="shared" si="9"/>
        <v>61880</v>
      </c>
      <c r="J299" s="40">
        <v>44589</v>
      </c>
      <c r="K299" s="26">
        <v>9388</v>
      </c>
      <c r="L299" s="27">
        <v>53977</v>
      </c>
      <c r="M299" s="26">
        <v>46667</v>
      </c>
      <c r="N299" s="26">
        <v>10421</v>
      </c>
      <c r="O299" s="27">
        <v>57088</v>
      </c>
      <c r="P299" s="26">
        <v>47184</v>
      </c>
      <c r="Q299" s="26">
        <v>8513</v>
      </c>
      <c r="R299" s="27">
        <v>55697</v>
      </c>
      <c r="S299" s="26">
        <v>46007</v>
      </c>
      <c r="T299" s="26">
        <v>10495</v>
      </c>
      <c r="U299" s="27">
        <v>56502</v>
      </c>
      <c r="V299" s="26">
        <v>45674</v>
      </c>
      <c r="W299" s="26">
        <v>11765</v>
      </c>
      <c r="X299" s="31">
        <v>57439</v>
      </c>
      <c r="Y299" s="16">
        <v>44454</v>
      </c>
      <c r="Z299" s="16">
        <v>19070</v>
      </c>
      <c r="AA299" s="31">
        <v>63524</v>
      </c>
      <c r="AB299" s="32">
        <v>41283</v>
      </c>
      <c r="AC299" s="16">
        <v>4036</v>
      </c>
      <c r="AD299" s="31">
        <v>45319</v>
      </c>
      <c r="AE299" s="16">
        <v>39719</v>
      </c>
      <c r="AF299" s="16">
        <v>2860</v>
      </c>
      <c r="AG299" s="31">
        <v>42579</v>
      </c>
      <c r="AH299" s="16">
        <v>41409</v>
      </c>
      <c r="AI299" s="16">
        <v>2936</v>
      </c>
      <c r="AJ299" s="31">
        <v>44345</v>
      </c>
      <c r="AK299" s="16">
        <v>40911</v>
      </c>
      <c r="AL299" s="16">
        <v>2526</v>
      </c>
      <c r="AM299" s="31">
        <v>43437</v>
      </c>
      <c r="AN299" s="16">
        <v>46431</v>
      </c>
      <c r="AO299" s="16">
        <v>3943</v>
      </c>
      <c r="AP299" s="31">
        <v>50374</v>
      </c>
      <c r="AQ299" s="42"/>
      <c r="AR299" s="43"/>
      <c r="AS299" s="42"/>
      <c r="AT299" s="42"/>
    </row>
    <row r="300" spans="1:46" ht="12.9" customHeight="1" x14ac:dyDescent="0.25">
      <c r="A300" s="28" t="s">
        <v>630</v>
      </c>
      <c r="B300" s="29" t="s">
        <v>631</v>
      </c>
      <c r="C300" s="30" t="s">
        <v>177</v>
      </c>
      <c r="D300" s="40">
        <v>201416</v>
      </c>
      <c r="E300" s="26">
        <v>333229</v>
      </c>
      <c r="F300" s="26">
        <f t="shared" si="8"/>
        <v>534645</v>
      </c>
      <c r="G300" s="40">
        <v>206094</v>
      </c>
      <c r="H300" s="26">
        <v>588921</v>
      </c>
      <c r="I300" s="27">
        <f t="shared" si="9"/>
        <v>795015</v>
      </c>
      <c r="J300" s="40">
        <v>172548</v>
      </c>
      <c r="K300" s="26">
        <v>1335610</v>
      </c>
      <c r="L300" s="27">
        <v>1508158</v>
      </c>
      <c r="M300" s="26">
        <v>173602</v>
      </c>
      <c r="N300" s="26">
        <v>1864620</v>
      </c>
      <c r="O300" s="27">
        <v>2038222</v>
      </c>
      <c r="P300" s="26">
        <v>181536</v>
      </c>
      <c r="Q300" s="26">
        <v>2061172</v>
      </c>
      <c r="R300" s="27">
        <v>2242708</v>
      </c>
      <c r="S300" s="26">
        <v>148680</v>
      </c>
      <c r="T300" s="26">
        <v>2474544</v>
      </c>
      <c r="U300" s="27">
        <v>2623224</v>
      </c>
      <c r="V300" s="26">
        <v>149184</v>
      </c>
      <c r="W300" s="26">
        <v>2449931</v>
      </c>
      <c r="X300" s="31">
        <v>2599115</v>
      </c>
      <c r="Y300" s="16">
        <v>147744</v>
      </c>
      <c r="Z300" s="16">
        <v>7149249</v>
      </c>
      <c r="AA300" s="31">
        <v>7296993</v>
      </c>
      <c r="AB300" s="32">
        <v>148968</v>
      </c>
      <c r="AC300" s="16">
        <v>7426897</v>
      </c>
      <c r="AD300" s="31">
        <v>7575865</v>
      </c>
      <c r="AE300" s="16">
        <v>148680</v>
      </c>
      <c r="AF300" s="16">
        <v>6842474</v>
      </c>
      <c r="AG300" s="31">
        <v>6991154</v>
      </c>
      <c r="AH300" s="16">
        <v>148536</v>
      </c>
      <c r="AI300" s="16">
        <v>5647307</v>
      </c>
      <c r="AJ300" s="31">
        <v>5795843</v>
      </c>
      <c r="AK300" s="16">
        <v>147240</v>
      </c>
      <c r="AL300" s="16">
        <v>7148776</v>
      </c>
      <c r="AM300" s="31">
        <v>7296016</v>
      </c>
      <c r="AN300" s="16">
        <v>147240</v>
      </c>
      <c r="AO300" s="16">
        <v>7299683</v>
      </c>
      <c r="AP300" s="31">
        <v>7446923</v>
      </c>
      <c r="AQ300" s="42"/>
      <c r="AR300" s="43"/>
      <c r="AS300" s="42"/>
      <c r="AT300" s="42"/>
    </row>
    <row r="301" spans="1:46" ht="12.9" customHeight="1" x14ac:dyDescent="0.25">
      <c r="A301" s="28" t="s">
        <v>632</v>
      </c>
      <c r="B301" s="29" t="s">
        <v>633</v>
      </c>
      <c r="C301" s="30" t="s">
        <v>42</v>
      </c>
      <c r="D301" s="40">
        <v>5804</v>
      </c>
      <c r="E301" s="26">
        <v>264</v>
      </c>
      <c r="F301" s="26">
        <f t="shared" si="8"/>
        <v>6068</v>
      </c>
      <c r="G301" s="40">
        <v>5506</v>
      </c>
      <c r="H301" s="26">
        <v>431</v>
      </c>
      <c r="I301" s="27">
        <f t="shared" si="9"/>
        <v>5937</v>
      </c>
      <c r="J301" s="40">
        <v>5851</v>
      </c>
      <c r="K301" s="26">
        <v>147</v>
      </c>
      <c r="L301" s="27">
        <v>5998</v>
      </c>
      <c r="M301" s="26">
        <v>5810</v>
      </c>
      <c r="N301" s="26">
        <v>455</v>
      </c>
      <c r="O301" s="27">
        <v>6265</v>
      </c>
      <c r="P301" s="26">
        <v>5524</v>
      </c>
      <c r="Q301" s="26">
        <v>636</v>
      </c>
      <c r="R301" s="27">
        <v>6160</v>
      </c>
      <c r="S301" s="26">
        <v>4888</v>
      </c>
      <c r="T301" s="26">
        <v>857</v>
      </c>
      <c r="U301" s="27">
        <v>5745</v>
      </c>
      <c r="V301" s="26">
        <v>5301</v>
      </c>
      <c r="W301" s="26">
        <v>842</v>
      </c>
      <c r="X301" s="31">
        <v>6143</v>
      </c>
      <c r="Y301" s="16">
        <v>5180</v>
      </c>
      <c r="Z301" s="16">
        <v>989</v>
      </c>
      <c r="AA301" s="31">
        <v>6169</v>
      </c>
      <c r="AB301" s="32">
        <v>5433</v>
      </c>
      <c r="AC301" s="16">
        <v>916</v>
      </c>
      <c r="AD301" s="31">
        <v>6349</v>
      </c>
      <c r="AE301" s="16">
        <v>6005</v>
      </c>
      <c r="AF301" s="16">
        <v>985</v>
      </c>
      <c r="AG301" s="31">
        <v>6990</v>
      </c>
      <c r="AH301" s="16">
        <v>5476</v>
      </c>
      <c r="AI301" s="16">
        <v>865</v>
      </c>
      <c r="AJ301" s="31">
        <v>6341</v>
      </c>
      <c r="AK301" s="16">
        <v>5431</v>
      </c>
      <c r="AL301" s="16">
        <v>971</v>
      </c>
      <c r="AM301" s="31">
        <v>6402</v>
      </c>
      <c r="AN301" s="16">
        <v>5219</v>
      </c>
      <c r="AO301" s="16">
        <v>2619</v>
      </c>
      <c r="AP301" s="31">
        <v>7838</v>
      </c>
      <c r="AQ301" s="42"/>
      <c r="AR301" s="43"/>
      <c r="AS301" s="42"/>
      <c r="AT301" s="42"/>
    </row>
    <row r="302" spans="1:46" ht="12.9" customHeight="1" x14ac:dyDescent="0.25">
      <c r="A302" s="28" t="s">
        <v>634</v>
      </c>
      <c r="B302" s="29" t="s">
        <v>635</v>
      </c>
      <c r="C302" s="30" t="s">
        <v>123</v>
      </c>
      <c r="D302" s="40">
        <v>87547</v>
      </c>
      <c r="E302" s="26">
        <v>240267</v>
      </c>
      <c r="F302" s="26">
        <f t="shared" si="8"/>
        <v>327814</v>
      </c>
      <c r="G302" s="40">
        <v>87119</v>
      </c>
      <c r="H302" s="26">
        <v>218903</v>
      </c>
      <c r="I302" s="27">
        <f t="shared" si="9"/>
        <v>306022</v>
      </c>
      <c r="J302" s="40">
        <v>96875</v>
      </c>
      <c r="K302" s="26">
        <v>369314</v>
      </c>
      <c r="L302" s="27">
        <v>466189</v>
      </c>
      <c r="M302" s="26">
        <v>88604</v>
      </c>
      <c r="N302" s="26">
        <v>345722</v>
      </c>
      <c r="O302" s="27">
        <v>434326</v>
      </c>
      <c r="P302" s="26">
        <v>88604</v>
      </c>
      <c r="Q302" s="26">
        <v>318061</v>
      </c>
      <c r="R302" s="27">
        <v>406665</v>
      </c>
      <c r="S302" s="26">
        <v>88604</v>
      </c>
      <c r="T302" s="26">
        <v>298311</v>
      </c>
      <c r="U302" s="27">
        <v>386915</v>
      </c>
      <c r="V302" s="26">
        <v>83866</v>
      </c>
      <c r="W302" s="26">
        <v>385260</v>
      </c>
      <c r="X302" s="31">
        <v>469126</v>
      </c>
      <c r="Y302" s="16">
        <v>110000</v>
      </c>
      <c r="Z302" s="16">
        <v>759787</v>
      </c>
      <c r="AA302" s="31">
        <v>869787</v>
      </c>
      <c r="AB302" s="32">
        <v>118421</v>
      </c>
      <c r="AC302" s="16">
        <v>879808</v>
      </c>
      <c r="AD302" s="31">
        <v>998229</v>
      </c>
      <c r="AE302" s="16">
        <v>118421</v>
      </c>
      <c r="AF302" s="16">
        <v>826741</v>
      </c>
      <c r="AG302" s="31">
        <v>945162</v>
      </c>
      <c r="AH302" s="16">
        <v>118421</v>
      </c>
      <c r="AI302" s="16">
        <v>947263</v>
      </c>
      <c r="AJ302" s="31">
        <v>1065684</v>
      </c>
      <c r="AK302" s="16">
        <v>118421</v>
      </c>
      <c r="AL302" s="16">
        <v>684911</v>
      </c>
      <c r="AM302" s="31">
        <v>803332</v>
      </c>
      <c r="AN302" s="16">
        <v>118421</v>
      </c>
      <c r="AO302" s="16">
        <v>649115</v>
      </c>
      <c r="AP302" s="31">
        <v>767536</v>
      </c>
      <c r="AQ302" s="42"/>
      <c r="AR302" s="43"/>
      <c r="AS302" s="42"/>
      <c r="AT302" s="42"/>
    </row>
    <row r="303" spans="1:46" ht="12.9" customHeight="1" x14ac:dyDescent="0.25">
      <c r="A303" s="28" t="s">
        <v>636</v>
      </c>
      <c r="B303" s="29" t="s">
        <v>637</v>
      </c>
      <c r="C303" s="30" t="s">
        <v>26</v>
      </c>
      <c r="D303" s="40">
        <v>16284</v>
      </c>
      <c r="E303" s="26">
        <v>6617</v>
      </c>
      <c r="F303" s="26">
        <f t="shared" si="8"/>
        <v>22901</v>
      </c>
      <c r="G303" s="40">
        <v>18343</v>
      </c>
      <c r="H303" s="26">
        <v>9281</v>
      </c>
      <c r="I303" s="27">
        <f t="shared" si="9"/>
        <v>27624</v>
      </c>
      <c r="J303" s="40">
        <v>20654</v>
      </c>
      <c r="K303" s="26">
        <v>11398</v>
      </c>
      <c r="L303" s="27">
        <v>32052</v>
      </c>
      <c r="M303" s="26">
        <v>19925</v>
      </c>
      <c r="N303" s="26">
        <v>10497</v>
      </c>
      <c r="O303" s="27">
        <v>30422</v>
      </c>
      <c r="P303" s="26">
        <v>18797</v>
      </c>
      <c r="Q303" s="26">
        <v>11275</v>
      </c>
      <c r="R303" s="27">
        <v>30072</v>
      </c>
      <c r="S303" s="26">
        <v>19212</v>
      </c>
      <c r="T303" s="26">
        <v>12719</v>
      </c>
      <c r="U303" s="27">
        <v>31931</v>
      </c>
      <c r="V303" s="26">
        <v>16641</v>
      </c>
      <c r="W303" s="26">
        <v>11172</v>
      </c>
      <c r="X303" s="31">
        <v>27813</v>
      </c>
      <c r="Y303" s="16">
        <v>18445</v>
      </c>
      <c r="Z303" s="16">
        <v>8887</v>
      </c>
      <c r="AA303" s="31">
        <v>27332</v>
      </c>
      <c r="AB303" s="32">
        <v>19328</v>
      </c>
      <c r="AC303" s="16">
        <v>9222</v>
      </c>
      <c r="AD303" s="31">
        <v>28550</v>
      </c>
      <c r="AE303" s="16">
        <v>18898</v>
      </c>
      <c r="AF303" s="16">
        <v>9731</v>
      </c>
      <c r="AG303" s="31">
        <v>28629</v>
      </c>
      <c r="AH303" s="16">
        <v>16836</v>
      </c>
      <c r="AI303" s="16">
        <v>12797</v>
      </c>
      <c r="AJ303" s="31">
        <v>29633</v>
      </c>
      <c r="AK303" s="16">
        <v>17263</v>
      </c>
      <c r="AL303" s="16">
        <v>12155</v>
      </c>
      <c r="AM303" s="31">
        <v>29418</v>
      </c>
      <c r="AN303" s="16">
        <v>20331</v>
      </c>
      <c r="AO303" s="16">
        <v>13347</v>
      </c>
      <c r="AP303" s="31">
        <v>33678</v>
      </c>
      <c r="AQ303" s="42"/>
      <c r="AR303" s="43"/>
      <c r="AS303" s="42"/>
      <c r="AT303" s="42"/>
    </row>
    <row r="304" spans="1:46" ht="12.9" customHeight="1" x14ac:dyDescent="0.25">
      <c r="A304" s="28" t="s">
        <v>638</v>
      </c>
      <c r="B304" s="29" t="s">
        <v>639</v>
      </c>
      <c r="C304" s="30" t="s">
        <v>59</v>
      </c>
      <c r="D304" s="40">
        <v>33123</v>
      </c>
      <c r="E304" s="26">
        <v>10761</v>
      </c>
      <c r="F304" s="26">
        <f t="shared" si="8"/>
        <v>43884</v>
      </c>
      <c r="G304" s="40">
        <v>33602</v>
      </c>
      <c r="H304" s="26">
        <v>10649</v>
      </c>
      <c r="I304" s="27">
        <f t="shared" si="9"/>
        <v>44251</v>
      </c>
      <c r="J304" s="40">
        <v>39422</v>
      </c>
      <c r="K304" s="26">
        <v>11217</v>
      </c>
      <c r="L304" s="27">
        <v>50639</v>
      </c>
      <c r="M304" s="26">
        <v>38271</v>
      </c>
      <c r="N304" s="26">
        <v>12298</v>
      </c>
      <c r="O304" s="27">
        <v>50569</v>
      </c>
      <c r="P304" s="26">
        <v>33482</v>
      </c>
      <c r="Q304" s="26">
        <v>11465</v>
      </c>
      <c r="R304" s="27">
        <v>44947</v>
      </c>
      <c r="S304" s="26">
        <v>34864</v>
      </c>
      <c r="T304" s="26">
        <v>7435</v>
      </c>
      <c r="U304" s="27">
        <v>42299</v>
      </c>
      <c r="V304" s="26">
        <v>37972</v>
      </c>
      <c r="W304" s="26">
        <v>7956</v>
      </c>
      <c r="X304" s="31">
        <v>45928</v>
      </c>
      <c r="Y304" s="16">
        <v>39891</v>
      </c>
      <c r="Z304" s="16">
        <v>8381</v>
      </c>
      <c r="AA304" s="31">
        <v>48272</v>
      </c>
      <c r="AB304" s="32">
        <v>39999</v>
      </c>
      <c r="AC304" s="16">
        <v>6748</v>
      </c>
      <c r="AD304" s="31">
        <v>46747</v>
      </c>
      <c r="AE304" s="16">
        <v>42244</v>
      </c>
      <c r="AF304" s="16">
        <v>8171</v>
      </c>
      <c r="AG304" s="31">
        <v>50415</v>
      </c>
      <c r="AH304" s="16">
        <v>38747</v>
      </c>
      <c r="AI304" s="16">
        <v>10097</v>
      </c>
      <c r="AJ304" s="31">
        <v>48844</v>
      </c>
      <c r="AK304" s="16">
        <v>36095</v>
      </c>
      <c r="AL304" s="16">
        <v>8794</v>
      </c>
      <c r="AM304" s="31">
        <v>44889</v>
      </c>
      <c r="AN304" s="16">
        <v>44192</v>
      </c>
      <c r="AO304" s="16">
        <v>7569</v>
      </c>
      <c r="AP304" s="31">
        <v>51761</v>
      </c>
      <c r="AQ304" s="42"/>
      <c r="AR304" s="43"/>
      <c r="AS304" s="42"/>
      <c r="AT304" s="42"/>
    </row>
    <row r="305" spans="1:46" ht="12.9" customHeight="1" x14ac:dyDescent="0.25">
      <c r="A305" s="28" t="s">
        <v>640</v>
      </c>
      <c r="B305" s="29" t="s">
        <v>641</v>
      </c>
      <c r="C305" s="30" t="s">
        <v>113</v>
      </c>
      <c r="D305" s="40">
        <v>76418</v>
      </c>
      <c r="E305" s="26">
        <v>55512</v>
      </c>
      <c r="F305" s="26">
        <f t="shared" si="8"/>
        <v>131930</v>
      </c>
      <c r="G305" s="40">
        <v>80815</v>
      </c>
      <c r="H305" s="26">
        <v>51751</v>
      </c>
      <c r="I305" s="27">
        <f t="shared" si="9"/>
        <v>132566</v>
      </c>
      <c r="J305" s="40">
        <v>89214</v>
      </c>
      <c r="K305" s="26">
        <v>53704</v>
      </c>
      <c r="L305" s="27">
        <v>142918</v>
      </c>
      <c r="M305" s="26">
        <v>95892</v>
      </c>
      <c r="N305" s="26">
        <v>55959</v>
      </c>
      <c r="O305" s="27">
        <v>151851</v>
      </c>
      <c r="P305" s="26">
        <v>95920</v>
      </c>
      <c r="Q305" s="26">
        <v>59470</v>
      </c>
      <c r="R305" s="27">
        <v>155390</v>
      </c>
      <c r="S305" s="26">
        <v>92070</v>
      </c>
      <c r="T305" s="26">
        <v>62062</v>
      </c>
      <c r="U305" s="27">
        <v>154132</v>
      </c>
      <c r="V305" s="26">
        <v>84704</v>
      </c>
      <c r="W305" s="26">
        <v>57956</v>
      </c>
      <c r="X305" s="31">
        <v>142660</v>
      </c>
      <c r="Y305" s="16">
        <v>83802</v>
      </c>
      <c r="Z305" s="16">
        <v>61086</v>
      </c>
      <c r="AA305" s="31">
        <v>144888</v>
      </c>
      <c r="AB305" s="32">
        <v>82254</v>
      </c>
      <c r="AC305" s="16">
        <v>61294</v>
      </c>
      <c r="AD305" s="31">
        <v>143548</v>
      </c>
      <c r="AE305" s="16">
        <v>80087</v>
      </c>
      <c r="AF305" s="16">
        <v>56359</v>
      </c>
      <c r="AG305" s="31">
        <v>136446</v>
      </c>
      <c r="AH305" s="16">
        <v>78209</v>
      </c>
      <c r="AI305" s="16">
        <v>54224</v>
      </c>
      <c r="AJ305" s="31">
        <v>132433</v>
      </c>
      <c r="AK305" s="16">
        <v>74169</v>
      </c>
      <c r="AL305" s="16">
        <v>46042</v>
      </c>
      <c r="AM305" s="31">
        <v>120211</v>
      </c>
      <c r="AN305" s="16">
        <v>83304</v>
      </c>
      <c r="AO305" s="16">
        <v>52079</v>
      </c>
      <c r="AP305" s="31">
        <v>135383</v>
      </c>
      <c r="AQ305" s="42"/>
      <c r="AR305" s="43"/>
      <c r="AS305" s="42"/>
      <c r="AT305" s="42"/>
    </row>
    <row r="306" spans="1:46" ht="12.9" customHeight="1" x14ac:dyDescent="0.25">
      <c r="A306" s="28" t="s">
        <v>642</v>
      </c>
      <c r="B306" s="29" t="s">
        <v>643</v>
      </c>
      <c r="C306" s="30" t="s">
        <v>215</v>
      </c>
      <c r="D306" s="40">
        <v>27121</v>
      </c>
      <c r="E306" s="26">
        <v>39634</v>
      </c>
      <c r="F306" s="26">
        <f t="shared" si="8"/>
        <v>66755</v>
      </c>
      <c r="G306" s="40">
        <v>29606</v>
      </c>
      <c r="H306" s="26">
        <v>50018</v>
      </c>
      <c r="I306" s="27">
        <f t="shared" si="9"/>
        <v>79624</v>
      </c>
      <c r="J306" s="40">
        <v>28136</v>
      </c>
      <c r="K306" s="26">
        <v>62190</v>
      </c>
      <c r="L306" s="27">
        <v>90326</v>
      </c>
      <c r="M306" s="26">
        <v>28283</v>
      </c>
      <c r="N306" s="26">
        <v>46863</v>
      </c>
      <c r="O306" s="27">
        <v>75146</v>
      </c>
      <c r="P306" s="26">
        <v>28813</v>
      </c>
      <c r="Q306" s="26">
        <v>40585</v>
      </c>
      <c r="R306" s="27">
        <v>69398</v>
      </c>
      <c r="S306" s="26">
        <v>30521</v>
      </c>
      <c r="T306" s="26">
        <v>36834</v>
      </c>
      <c r="U306" s="27">
        <v>67355</v>
      </c>
      <c r="V306" s="26">
        <v>27589</v>
      </c>
      <c r="W306" s="26">
        <v>35456</v>
      </c>
      <c r="X306" s="31">
        <v>63045</v>
      </c>
      <c r="Y306" s="16">
        <v>28213</v>
      </c>
      <c r="Z306" s="16">
        <v>30025</v>
      </c>
      <c r="AA306" s="31">
        <v>58238</v>
      </c>
      <c r="AB306" s="32">
        <v>28213</v>
      </c>
      <c r="AC306" s="16">
        <v>30725</v>
      </c>
      <c r="AD306" s="31">
        <v>58938</v>
      </c>
      <c r="AE306" s="16">
        <v>28808</v>
      </c>
      <c r="AF306" s="16">
        <v>36501</v>
      </c>
      <c r="AG306" s="31">
        <v>65309</v>
      </c>
      <c r="AH306" s="16">
        <v>28808</v>
      </c>
      <c r="AI306" s="16">
        <v>33428</v>
      </c>
      <c r="AJ306" s="31">
        <v>62236</v>
      </c>
      <c r="AK306" s="16">
        <v>35425</v>
      </c>
      <c r="AL306" s="16">
        <v>31473</v>
      </c>
      <c r="AM306" s="31">
        <v>66898</v>
      </c>
      <c r="AN306" s="16">
        <v>35425</v>
      </c>
      <c r="AO306" s="16">
        <v>36823</v>
      </c>
      <c r="AP306" s="31">
        <v>72248</v>
      </c>
      <c r="AQ306" s="42"/>
      <c r="AR306" s="43"/>
      <c r="AS306" s="42"/>
      <c r="AT306" s="42"/>
    </row>
    <row r="307" spans="1:46" ht="12.9" customHeight="1" x14ac:dyDescent="0.25">
      <c r="A307" s="28" t="s">
        <v>644</v>
      </c>
      <c r="B307" s="29" t="s">
        <v>645</v>
      </c>
      <c r="C307" s="30" t="s">
        <v>20</v>
      </c>
      <c r="D307" s="40">
        <v>59670</v>
      </c>
      <c r="E307" s="26">
        <v>35886</v>
      </c>
      <c r="F307" s="26">
        <f t="shared" si="8"/>
        <v>95556</v>
      </c>
      <c r="G307" s="40">
        <v>67861</v>
      </c>
      <c r="H307" s="26">
        <v>38258</v>
      </c>
      <c r="I307" s="27">
        <f t="shared" si="9"/>
        <v>106119</v>
      </c>
      <c r="J307" s="40">
        <v>72857</v>
      </c>
      <c r="K307" s="26">
        <v>34131</v>
      </c>
      <c r="L307" s="27">
        <v>106988</v>
      </c>
      <c r="M307" s="26">
        <v>77723</v>
      </c>
      <c r="N307" s="26">
        <v>27583</v>
      </c>
      <c r="O307" s="27">
        <v>105306</v>
      </c>
      <c r="P307" s="26">
        <v>75011</v>
      </c>
      <c r="Q307" s="26">
        <v>23936</v>
      </c>
      <c r="R307" s="27">
        <v>98947</v>
      </c>
      <c r="S307" s="26">
        <v>68553</v>
      </c>
      <c r="T307" s="26">
        <v>25770</v>
      </c>
      <c r="U307" s="27">
        <v>94323</v>
      </c>
      <c r="V307" s="26">
        <v>70875</v>
      </c>
      <c r="W307" s="26">
        <v>24554</v>
      </c>
      <c r="X307" s="31">
        <v>95429</v>
      </c>
      <c r="Y307" s="16">
        <v>71395</v>
      </c>
      <c r="Z307" s="16">
        <v>26016</v>
      </c>
      <c r="AA307" s="31">
        <v>97411</v>
      </c>
      <c r="AB307" s="32">
        <v>73289</v>
      </c>
      <c r="AC307" s="16">
        <v>25585</v>
      </c>
      <c r="AD307" s="31">
        <v>98874</v>
      </c>
      <c r="AE307" s="16">
        <v>69940</v>
      </c>
      <c r="AF307" s="16">
        <v>23765</v>
      </c>
      <c r="AG307" s="31">
        <v>93705</v>
      </c>
      <c r="AH307" s="16">
        <v>65646</v>
      </c>
      <c r="AI307" s="16">
        <v>27945</v>
      </c>
      <c r="AJ307" s="31">
        <v>93591</v>
      </c>
      <c r="AK307" s="16">
        <v>63916</v>
      </c>
      <c r="AL307" s="16">
        <v>18080</v>
      </c>
      <c r="AM307" s="31">
        <v>81996</v>
      </c>
      <c r="AN307" s="16">
        <v>76847</v>
      </c>
      <c r="AO307" s="16">
        <v>11315</v>
      </c>
      <c r="AP307" s="31">
        <v>88162</v>
      </c>
      <c r="AQ307" s="42"/>
      <c r="AR307" s="43"/>
      <c r="AS307" s="42"/>
      <c r="AT307" s="42"/>
    </row>
    <row r="308" spans="1:46" ht="12.9" customHeight="1" x14ac:dyDescent="0.25">
      <c r="A308" s="28" t="s">
        <v>646</v>
      </c>
      <c r="B308" s="29" t="s">
        <v>647</v>
      </c>
      <c r="C308" s="30" t="s">
        <v>110</v>
      </c>
      <c r="D308" s="40">
        <v>88998</v>
      </c>
      <c r="E308" s="26">
        <v>275377</v>
      </c>
      <c r="F308" s="26">
        <f t="shared" si="8"/>
        <v>364375</v>
      </c>
      <c r="G308" s="40">
        <v>70655</v>
      </c>
      <c r="H308" s="26">
        <v>329315</v>
      </c>
      <c r="I308" s="27">
        <f t="shared" si="9"/>
        <v>399970</v>
      </c>
      <c r="J308" s="40">
        <v>76508</v>
      </c>
      <c r="K308" s="26">
        <v>320936</v>
      </c>
      <c r="L308" s="27">
        <v>397444</v>
      </c>
      <c r="M308" s="26">
        <v>81098</v>
      </c>
      <c r="N308" s="26">
        <v>303632</v>
      </c>
      <c r="O308" s="27">
        <v>384730</v>
      </c>
      <c r="P308" s="26">
        <v>84059</v>
      </c>
      <c r="Q308" s="26">
        <v>261122</v>
      </c>
      <c r="R308" s="27">
        <v>345181</v>
      </c>
      <c r="S308" s="26">
        <v>86333</v>
      </c>
      <c r="T308" s="26">
        <v>300721</v>
      </c>
      <c r="U308" s="27">
        <v>387054</v>
      </c>
      <c r="V308" s="26">
        <v>67461</v>
      </c>
      <c r="W308" s="26">
        <v>212868</v>
      </c>
      <c r="X308" s="31">
        <v>280329</v>
      </c>
      <c r="Y308" s="16">
        <v>72341</v>
      </c>
      <c r="Z308" s="16">
        <v>296885</v>
      </c>
      <c r="AA308" s="31">
        <v>369226</v>
      </c>
      <c r="AB308" s="32">
        <v>81796</v>
      </c>
      <c r="AC308" s="16">
        <v>231977</v>
      </c>
      <c r="AD308" s="31">
        <v>313773</v>
      </c>
      <c r="AE308" s="16">
        <v>74352.462</v>
      </c>
      <c r="AF308" s="16">
        <v>220728</v>
      </c>
      <c r="AG308" s="31">
        <v>295080.462</v>
      </c>
      <c r="AH308" s="16">
        <v>82932.462</v>
      </c>
      <c r="AI308" s="16">
        <v>146615</v>
      </c>
      <c r="AJ308" s="31">
        <v>229547.462</v>
      </c>
      <c r="AK308" s="16">
        <v>66193.462</v>
      </c>
      <c r="AL308" s="16">
        <v>139330</v>
      </c>
      <c r="AM308" s="31">
        <v>205523.462</v>
      </c>
      <c r="AN308" s="16">
        <v>70345.462</v>
      </c>
      <c r="AO308" s="16">
        <v>294209</v>
      </c>
      <c r="AP308" s="31">
        <v>364554.462</v>
      </c>
      <c r="AQ308" s="42"/>
      <c r="AR308" s="43"/>
      <c r="AS308" s="42"/>
      <c r="AT308" s="42"/>
    </row>
    <row r="309" spans="1:46" ht="12.9" customHeight="1" x14ac:dyDescent="0.25">
      <c r="A309" s="28" t="s">
        <v>648</v>
      </c>
      <c r="B309" s="29" t="s">
        <v>649</v>
      </c>
      <c r="C309" s="30" t="s">
        <v>59</v>
      </c>
      <c r="D309" s="40">
        <v>17320</v>
      </c>
      <c r="E309" s="26">
        <v>5271</v>
      </c>
      <c r="F309" s="26">
        <f t="shared" si="8"/>
        <v>22591</v>
      </c>
      <c r="G309" s="40">
        <v>15858</v>
      </c>
      <c r="H309" s="26">
        <v>5344</v>
      </c>
      <c r="I309" s="27">
        <f t="shared" si="9"/>
        <v>21202</v>
      </c>
      <c r="J309" s="40">
        <v>19521</v>
      </c>
      <c r="K309" s="26">
        <v>7676</v>
      </c>
      <c r="L309" s="27">
        <v>27197</v>
      </c>
      <c r="M309" s="26">
        <v>16944</v>
      </c>
      <c r="N309" s="26">
        <v>7299</v>
      </c>
      <c r="O309" s="27">
        <v>24243</v>
      </c>
      <c r="P309" s="26">
        <v>16225</v>
      </c>
      <c r="Q309" s="26">
        <v>8095</v>
      </c>
      <c r="R309" s="27">
        <v>24320</v>
      </c>
      <c r="S309" s="26">
        <v>18510</v>
      </c>
      <c r="T309" s="26">
        <v>7781</v>
      </c>
      <c r="U309" s="27">
        <v>26291</v>
      </c>
      <c r="V309" s="26">
        <v>17920</v>
      </c>
      <c r="W309" s="26">
        <v>5959</v>
      </c>
      <c r="X309" s="31">
        <v>23879</v>
      </c>
      <c r="Y309" s="16">
        <v>18047</v>
      </c>
      <c r="Z309" s="16">
        <v>9245</v>
      </c>
      <c r="AA309" s="31">
        <v>27292</v>
      </c>
      <c r="AB309" s="32">
        <v>16086</v>
      </c>
      <c r="AC309" s="16">
        <v>10040</v>
      </c>
      <c r="AD309" s="31">
        <v>26126</v>
      </c>
      <c r="AE309" s="16">
        <v>19173</v>
      </c>
      <c r="AF309" s="16">
        <v>11074</v>
      </c>
      <c r="AG309" s="31">
        <v>30247</v>
      </c>
      <c r="AH309" s="16">
        <v>16434</v>
      </c>
      <c r="AI309" s="16">
        <v>11274</v>
      </c>
      <c r="AJ309" s="31">
        <v>27708</v>
      </c>
      <c r="AK309" s="16">
        <v>17954</v>
      </c>
      <c r="AL309" s="16">
        <v>8667</v>
      </c>
      <c r="AM309" s="31">
        <v>26621</v>
      </c>
      <c r="AN309" s="16">
        <v>19684</v>
      </c>
      <c r="AO309" s="16">
        <v>5681</v>
      </c>
      <c r="AP309" s="31">
        <v>25365</v>
      </c>
      <c r="AQ309" s="42"/>
      <c r="AR309" s="43"/>
      <c r="AS309" s="42"/>
      <c r="AT309" s="42"/>
    </row>
    <row r="310" spans="1:46" ht="12.9" customHeight="1" x14ac:dyDescent="0.25">
      <c r="A310" s="28" t="s">
        <v>650</v>
      </c>
      <c r="B310" s="29" t="s">
        <v>651</v>
      </c>
      <c r="C310" s="30" t="s">
        <v>212</v>
      </c>
      <c r="D310" s="40">
        <v>54520</v>
      </c>
      <c r="E310" s="26">
        <v>17539</v>
      </c>
      <c r="F310" s="26">
        <f t="shared" si="8"/>
        <v>72059</v>
      </c>
      <c r="G310" s="40">
        <v>53302</v>
      </c>
      <c r="H310" s="26">
        <v>20149</v>
      </c>
      <c r="I310" s="27">
        <f t="shared" si="9"/>
        <v>73451</v>
      </c>
      <c r="J310" s="40">
        <v>62458</v>
      </c>
      <c r="K310" s="26">
        <v>17747</v>
      </c>
      <c r="L310" s="27">
        <v>80205</v>
      </c>
      <c r="M310" s="26">
        <v>60484</v>
      </c>
      <c r="N310" s="26">
        <v>18379</v>
      </c>
      <c r="O310" s="27">
        <v>78863</v>
      </c>
      <c r="P310" s="26">
        <v>63971</v>
      </c>
      <c r="Q310" s="26">
        <v>10954</v>
      </c>
      <c r="R310" s="27">
        <v>74925</v>
      </c>
      <c r="S310" s="26">
        <v>66386</v>
      </c>
      <c r="T310" s="26">
        <v>15588</v>
      </c>
      <c r="U310" s="27">
        <v>81974</v>
      </c>
      <c r="V310" s="26">
        <v>54940</v>
      </c>
      <c r="W310" s="26">
        <v>16128</v>
      </c>
      <c r="X310" s="31">
        <v>71068</v>
      </c>
      <c r="Y310" s="16">
        <v>64517</v>
      </c>
      <c r="Z310" s="16">
        <v>14543</v>
      </c>
      <c r="AA310" s="31">
        <v>79060</v>
      </c>
      <c r="AB310" s="32">
        <v>59935</v>
      </c>
      <c r="AC310" s="16">
        <v>13065</v>
      </c>
      <c r="AD310" s="31">
        <v>73000</v>
      </c>
      <c r="AE310" s="16">
        <v>63420</v>
      </c>
      <c r="AF310" s="16">
        <v>14344</v>
      </c>
      <c r="AG310" s="31">
        <v>77764</v>
      </c>
      <c r="AH310" s="16">
        <v>59173</v>
      </c>
      <c r="AI310" s="16">
        <v>6552</v>
      </c>
      <c r="AJ310" s="31">
        <v>65725</v>
      </c>
      <c r="AK310" s="16">
        <v>56344</v>
      </c>
      <c r="AL310" s="16">
        <v>10255</v>
      </c>
      <c r="AM310" s="31">
        <v>66599</v>
      </c>
      <c r="AN310" s="16">
        <v>74627</v>
      </c>
      <c r="AO310" s="16">
        <v>10012</v>
      </c>
      <c r="AP310" s="31">
        <v>84639</v>
      </c>
      <c r="AQ310" s="42"/>
      <c r="AR310" s="43"/>
      <c r="AS310" s="42"/>
      <c r="AT310" s="42"/>
    </row>
    <row r="311" spans="1:46" ht="12.9" customHeight="1" x14ac:dyDescent="0.25">
      <c r="A311" s="28" t="s">
        <v>652</v>
      </c>
      <c r="B311" s="29" t="s">
        <v>653</v>
      </c>
      <c r="C311" s="30" t="s">
        <v>191</v>
      </c>
      <c r="D311" s="40">
        <v>55611</v>
      </c>
      <c r="E311" s="26">
        <v>56078</v>
      </c>
      <c r="F311" s="26">
        <f t="shared" si="8"/>
        <v>111689</v>
      </c>
      <c r="G311" s="40">
        <v>64337</v>
      </c>
      <c r="H311" s="26">
        <v>51819</v>
      </c>
      <c r="I311" s="27">
        <f t="shared" si="9"/>
        <v>116156</v>
      </c>
      <c r="J311" s="40">
        <v>65817</v>
      </c>
      <c r="K311" s="26">
        <v>52750</v>
      </c>
      <c r="L311" s="27">
        <v>118567</v>
      </c>
      <c r="M311" s="26">
        <v>67287</v>
      </c>
      <c r="N311" s="26">
        <v>53561</v>
      </c>
      <c r="O311" s="27">
        <v>120848</v>
      </c>
      <c r="P311" s="26">
        <v>61901</v>
      </c>
      <c r="Q311" s="26">
        <v>53919</v>
      </c>
      <c r="R311" s="27">
        <v>115820</v>
      </c>
      <c r="S311" s="26">
        <v>61294</v>
      </c>
      <c r="T311" s="26">
        <v>54217</v>
      </c>
      <c r="U311" s="27">
        <v>115511</v>
      </c>
      <c r="V311" s="26">
        <v>57110</v>
      </c>
      <c r="W311" s="26">
        <v>48228</v>
      </c>
      <c r="X311" s="31">
        <v>105338</v>
      </c>
      <c r="Y311" s="16">
        <v>60947</v>
      </c>
      <c r="Z311" s="16">
        <v>39760</v>
      </c>
      <c r="AA311" s="31">
        <v>100707</v>
      </c>
      <c r="AB311" s="32">
        <v>62498</v>
      </c>
      <c r="AC311" s="16">
        <v>42304</v>
      </c>
      <c r="AD311" s="31">
        <v>104802</v>
      </c>
      <c r="AE311" s="16">
        <v>60267</v>
      </c>
      <c r="AF311" s="16">
        <v>40951</v>
      </c>
      <c r="AG311" s="31">
        <v>101218</v>
      </c>
      <c r="AH311" s="16">
        <v>57512</v>
      </c>
      <c r="AI311" s="16">
        <v>43443</v>
      </c>
      <c r="AJ311" s="31">
        <v>100955</v>
      </c>
      <c r="AK311" s="16">
        <v>61762</v>
      </c>
      <c r="AL311" s="16">
        <v>48586</v>
      </c>
      <c r="AM311" s="31">
        <v>110348</v>
      </c>
      <c r="AN311" s="16">
        <v>71183</v>
      </c>
      <c r="AO311" s="16">
        <v>45554</v>
      </c>
      <c r="AP311" s="31">
        <v>116737</v>
      </c>
      <c r="AQ311" s="42"/>
      <c r="AR311" s="43"/>
      <c r="AS311" s="42"/>
      <c r="AT311" s="42"/>
    </row>
    <row r="312" spans="1:46" ht="12.9" customHeight="1" x14ac:dyDescent="0.25">
      <c r="A312" s="28" t="s">
        <v>654</v>
      </c>
      <c r="B312" s="29" t="s">
        <v>655</v>
      </c>
      <c r="C312" s="30" t="s">
        <v>14</v>
      </c>
      <c r="D312" s="40">
        <v>9539</v>
      </c>
      <c r="E312" s="26">
        <v>12479</v>
      </c>
      <c r="F312" s="26">
        <f t="shared" si="8"/>
        <v>22018</v>
      </c>
      <c r="G312" s="40">
        <v>10662</v>
      </c>
      <c r="H312" s="26">
        <v>14604</v>
      </c>
      <c r="I312" s="27">
        <f t="shared" si="9"/>
        <v>25266</v>
      </c>
      <c r="J312" s="40">
        <v>9674</v>
      </c>
      <c r="K312" s="26">
        <v>14734</v>
      </c>
      <c r="L312" s="27">
        <v>24408</v>
      </c>
      <c r="M312" s="26">
        <v>11190</v>
      </c>
      <c r="N312" s="26">
        <v>14339</v>
      </c>
      <c r="O312" s="27">
        <v>25529</v>
      </c>
      <c r="P312" s="26">
        <v>12451</v>
      </c>
      <c r="Q312" s="26">
        <v>14273</v>
      </c>
      <c r="R312" s="27">
        <v>26724</v>
      </c>
      <c r="S312" s="26">
        <v>9583</v>
      </c>
      <c r="T312" s="26">
        <v>24089</v>
      </c>
      <c r="U312" s="27">
        <v>33672</v>
      </c>
      <c r="V312" s="26">
        <v>8512</v>
      </c>
      <c r="W312" s="26">
        <v>18673</v>
      </c>
      <c r="X312" s="31">
        <v>27185</v>
      </c>
      <c r="Y312" s="16">
        <v>9035</v>
      </c>
      <c r="Z312" s="16">
        <v>17389</v>
      </c>
      <c r="AA312" s="31">
        <v>26424</v>
      </c>
      <c r="AB312" s="32">
        <v>9272</v>
      </c>
      <c r="AC312" s="16">
        <v>15636</v>
      </c>
      <c r="AD312" s="31">
        <v>24908</v>
      </c>
      <c r="AE312" s="16">
        <v>10105</v>
      </c>
      <c r="AF312" s="16">
        <v>15492</v>
      </c>
      <c r="AG312" s="31">
        <v>25597</v>
      </c>
      <c r="AH312" s="16">
        <v>8307</v>
      </c>
      <c r="AI312" s="16">
        <v>14695</v>
      </c>
      <c r="AJ312" s="31">
        <v>23002</v>
      </c>
      <c r="AK312" s="16">
        <v>8276</v>
      </c>
      <c r="AL312" s="16">
        <v>16550</v>
      </c>
      <c r="AM312" s="31">
        <v>24826</v>
      </c>
      <c r="AN312" s="16">
        <v>10380</v>
      </c>
      <c r="AO312" s="16">
        <v>10142.4</v>
      </c>
      <c r="AP312" s="31">
        <v>20522.400000000001</v>
      </c>
      <c r="AQ312" s="42"/>
      <c r="AR312" s="43"/>
      <c r="AS312" s="42"/>
      <c r="AT312" s="42"/>
    </row>
    <row r="313" spans="1:46" ht="12.9" customHeight="1" x14ac:dyDescent="0.25">
      <c r="A313" s="28" t="s">
        <v>656</v>
      </c>
      <c r="B313" s="29" t="s">
        <v>657</v>
      </c>
      <c r="C313" s="30" t="s">
        <v>59</v>
      </c>
      <c r="D313" s="40">
        <v>94264</v>
      </c>
      <c r="E313" s="26">
        <v>107405</v>
      </c>
      <c r="F313" s="26">
        <f t="shared" si="8"/>
        <v>201669</v>
      </c>
      <c r="G313" s="40">
        <v>97699</v>
      </c>
      <c r="H313" s="26">
        <v>125249</v>
      </c>
      <c r="I313" s="27">
        <f t="shared" si="9"/>
        <v>222948</v>
      </c>
      <c r="J313" s="40">
        <v>102576</v>
      </c>
      <c r="K313" s="26">
        <v>95852</v>
      </c>
      <c r="L313" s="27">
        <v>198428</v>
      </c>
      <c r="M313" s="26">
        <v>95487</v>
      </c>
      <c r="N313" s="26">
        <v>80833</v>
      </c>
      <c r="O313" s="27">
        <v>176320</v>
      </c>
      <c r="P313" s="26">
        <v>94529</v>
      </c>
      <c r="Q313" s="26">
        <v>53210</v>
      </c>
      <c r="R313" s="27">
        <v>147739</v>
      </c>
      <c r="S313" s="26">
        <v>90018</v>
      </c>
      <c r="T313" s="26">
        <v>60389</v>
      </c>
      <c r="U313" s="27">
        <v>150407</v>
      </c>
      <c r="V313" s="26">
        <v>92390</v>
      </c>
      <c r="W313" s="26">
        <v>66727</v>
      </c>
      <c r="X313" s="31">
        <v>159117</v>
      </c>
      <c r="Y313" s="16">
        <v>85196</v>
      </c>
      <c r="Z313" s="16">
        <v>109619</v>
      </c>
      <c r="AA313" s="31">
        <v>194815</v>
      </c>
      <c r="AB313" s="32">
        <v>90113</v>
      </c>
      <c r="AC313" s="16">
        <v>94029</v>
      </c>
      <c r="AD313" s="31">
        <v>184142</v>
      </c>
      <c r="AE313" s="16">
        <v>90736</v>
      </c>
      <c r="AF313" s="16">
        <v>58688</v>
      </c>
      <c r="AG313" s="31">
        <v>149424</v>
      </c>
      <c r="AH313" s="16">
        <v>82568</v>
      </c>
      <c r="AI313" s="16">
        <v>89784</v>
      </c>
      <c r="AJ313" s="31">
        <v>172352</v>
      </c>
      <c r="AK313" s="16">
        <v>88765.768231768234</v>
      </c>
      <c r="AL313" s="16">
        <v>78180.202952029518</v>
      </c>
      <c r="AM313" s="31">
        <v>166945.97118379775</v>
      </c>
      <c r="AN313" s="16">
        <v>97622</v>
      </c>
      <c r="AO313" s="16">
        <v>78799</v>
      </c>
      <c r="AP313" s="31">
        <v>176421</v>
      </c>
      <c r="AQ313" s="42"/>
      <c r="AR313" s="43"/>
      <c r="AS313" s="42"/>
      <c r="AT313" s="42"/>
    </row>
    <row r="314" spans="1:46" ht="12.9" customHeight="1" x14ac:dyDescent="0.25">
      <c r="A314" s="28" t="s">
        <v>658</v>
      </c>
      <c r="B314" s="29" t="s">
        <v>659</v>
      </c>
      <c r="C314" s="30" t="s">
        <v>218</v>
      </c>
      <c r="D314" s="40">
        <v>1962</v>
      </c>
      <c r="E314" s="26">
        <v>15</v>
      </c>
      <c r="F314" s="26">
        <f t="shared" si="8"/>
        <v>1977</v>
      </c>
      <c r="G314" s="40">
        <v>2076</v>
      </c>
      <c r="H314" s="26">
        <v>11</v>
      </c>
      <c r="I314" s="27">
        <f t="shared" si="9"/>
        <v>2087</v>
      </c>
      <c r="J314" s="40">
        <v>2872</v>
      </c>
      <c r="K314" s="26">
        <v>44</v>
      </c>
      <c r="L314" s="27">
        <v>2916</v>
      </c>
      <c r="M314" s="26">
        <v>2085</v>
      </c>
      <c r="N314" s="26">
        <v>20</v>
      </c>
      <c r="O314" s="27">
        <v>2105</v>
      </c>
      <c r="P314" s="26">
        <v>1849</v>
      </c>
      <c r="Q314" s="26">
        <v>15</v>
      </c>
      <c r="R314" s="27">
        <v>1864</v>
      </c>
      <c r="S314" s="26">
        <v>2742</v>
      </c>
      <c r="T314" s="26">
        <v>15</v>
      </c>
      <c r="U314" s="27">
        <v>2757</v>
      </c>
      <c r="V314" s="26">
        <v>2160</v>
      </c>
      <c r="W314" s="26">
        <v>53</v>
      </c>
      <c r="X314" s="31">
        <v>2213</v>
      </c>
      <c r="Y314" s="16">
        <v>1927</v>
      </c>
      <c r="Z314" s="16">
        <v>0</v>
      </c>
      <c r="AA314" s="31">
        <v>1927</v>
      </c>
      <c r="AB314" s="32">
        <v>2793</v>
      </c>
      <c r="AC314" s="16">
        <v>0</v>
      </c>
      <c r="AD314" s="31">
        <v>2793</v>
      </c>
      <c r="AE314" s="16">
        <v>2543</v>
      </c>
      <c r="AF314" s="16">
        <v>0</v>
      </c>
      <c r="AG314" s="31">
        <v>2543</v>
      </c>
      <c r="AH314" s="16">
        <v>2352</v>
      </c>
      <c r="AI314" s="16">
        <v>0</v>
      </c>
      <c r="AJ314" s="31">
        <v>2352</v>
      </c>
      <c r="AK314" s="16">
        <v>2395</v>
      </c>
      <c r="AL314" s="16">
        <v>0</v>
      </c>
      <c r="AM314" s="31">
        <v>2395</v>
      </c>
      <c r="AN314" s="16">
        <v>2395</v>
      </c>
      <c r="AO314" s="16">
        <v>0</v>
      </c>
      <c r="AP314" s="31">
        <v>2395</v>
      </c>
      <c r="AQ314" s="42"/>
      <c r="AR314" s="43"/>
      <c r="AS314" s="42"/>
      <c r="AT314" s="42"/>
    </row>
    <row r="315" spans="1:46" ht="12.9" customHeight="1" x14ac:dyDescent="0.25">
      <c r="A315" s="28" t="s">
        <v>660</v>
      </c>
      <c r="B315" s="29" t="s">
        <v>661</v>
      </c>
      <c r="C315" s="30" t="s">
        <v>274</v>
      </c>
      <c r="D315" s="40">
        <v>101501</v>
      </c>
      <c r="E315" s="26">
        <v>70514</v>
      </c>
      <c r="F315" s="26">
        <f t="shared" si="8"/>
        <v>172015</v>
      </c>
      <c r="G315" s="40">
        <v>104613</v>
      </c>
      <c r="H315" s="26">
        <v>78101</v>
      </c>
      <c r="I315" s="27">
        <f t="shared" si="9"/>
        <v>182714</v>
      </c>
      <c r="J315" s="40">
        <v>118892</v>
      </c>
      <c r="K315" s="26">
        <v>95670</v>
      </c>
      <c r="L315" s="27">
        <v>214562</v>
      </c>
      <c r="M315" s="26">
        <v>115334</v>
      </c>
      <c r="N315" s="26">
        <v>72607</v>
      </c>
      <c r="O315" s="27">
        <v>187941</v>
      </c>
      <c r="P315" s="26">
        <v>118275</v>
      </c>
      <c r="Q315" s="26">
        <v>65390</v>
      </c>
      <c r="R315" s="27">
        <v>183665</v>
      </c>
      <c r="S315" s="26">
        <v>114988</v>
      </c>
      <c r="T315" s="26">
        <v>75747</v>
      </c>
      <c r="U315" s="27">
        <v>190735</v>
      </c>
      <c r="V315" s="26">
        <v>108844</v>
      </c>
      <c r="W315" s="26">
        <v>63367</v>
      </c>
      <c r="X315" s="31">
        <v>172211</v>
      </c>
      <c r="Y315" s="16">
        <v>107775</v>
      </c>
      <c r="Z315" s="16">
        <v>65028</v>
      </c>
      <c r="AA315" s="31">
        <v>172803</v>
      </c>
      <c r="AB315" s="32">
        <v>108462</v>
      </c>
      <c r="AC315" s="16">
        <v>58836</v>
      </c>
      <c r="AD315" s="31">
        <v>167298</v>
      </c>
      <c r="AE315" s="16">
        <v>113841</v>
      </c>
      <c r="AF315" s="16">
        <v>49911</v>
      </c>
      <c r="AG315" s="31">
        <v>163752</v>
      </c>
      <c r="AH315" s="16">
        <v>101372</v>
      </c>
      <c r="AI315" s="16">
        <v>43729</v>
      </c>
      <c r="AJ315" s="31">
        <v>145101</v>
      </c>
      <c r="AK315" s="16">
        <v>106074</v>
      </c>
      <c r="AL315" s="16">
        <v>43855</v>
      </c>
      <c r="AM315" s="31">
        <v>149929</v>
      </c>
      <c r="AN315" s="16">
        <v>128143</v>
      </c>
      <c r="AO315" s="16">
        <v>51138</v>
      </c>
      <c r="AP315" s="31">
        <v>179281</v>
      </c>
      <c r="AQ315" s="42"/>
      <c r="AR315" s="43"/>
      <c r="AS315" s="42"/>
      <c r="AT315" s="42"/>
    </row>
    <row r="316" spans="1:46" ht="12.9" customHeight="1" x14ac:dyDescent="0.25">
      <c r="A316" s="28" t="s">
        <v>662</v>
      </c>
      <c r="B316" s="29" t="s">
        <v>663</v>
      </c>
      <c r="C316" s="30" t="s">
        <v>23</v>
      </c>
      <c r="D316" s="40">
        <v>28565</v>
      </c>
      <c r="E316" s="26">
        <v>17489</v>
      </c>
      <c r="F316" s="26">
        <f t="shared" si="8"/>
        <v>46054</v>
      </c>
      <c r="G316" s="40">
        <v>30949</v>
      </c>
      <c r="H316" s="26">
        <v>11052</v>
      </c>
      <c r="I316" s="27">
        <f t="shared" si="9"/>
        <v>42001</v>
      </c>
      <c r="J316" s="40">
        <v>33621</v>
      </c>
      <c r="K316" s="26">
        <v>10552</v>
      </c>
      <c r="L316" s="27">
        <v>44173</v>
      </c>
      <c r="M316" s="26">
        <v>30089</v>
      </c>
      <c r="N316" s="26">
        <v>9555</v>
      </c>
      <c r="O316" s="27">
        <v>39644</v>
      </c>
      <c r="P316" s="26">
        <v>32810</v>
      </c>
      <c r="Q316" s="26">
        <v>9944</v>
      </c>
      <c r="R316" s="27">
        <v>42754</v>
      </c>
      <c r="S316" s="26">
        <v>33659</v>
      </c>
      <c r="T316" s="26">
        <v>12965</v>
      </c>
      <c r="U316" s="27">
        <v>46624</v>
      </c>
      <c r="V316" s="26">
        <v>29558</v>
      </c>
      <c r="W316" s="26">
        <v>8975</v>
      </c>
      <c r="X316" s="31">
        <v>38533</v>
      </c>
      <c r="Y316" s="16">
        <v>27907</v>
      </c>
      <c r="Z316" s="16">
        <v>9239</v>
      </c>
      <c r="AA316" s="31">
        <v>37146</v>
      </c>
      <c r="AB316" s="32">
        <v>27896</v>
      </c>
      <c r="AC316" s="16">
        <v>9776</v>
      </c>
      <c r="AD316" s="31">
        <v>37672</v>
      </c>
      <c r="AE316" s="16">
        <v>27379</v>
      </c>
      <c r="AF316" s="16">
        <v>9549</v>
      </c>
      <c r="AG316" s="31">
        <v>36928</v>
      </c>
      <c r="AH316" s="16">
        <v>24986</v>
      </c>
      <c r="AI316" s="16">
        <v>8074</v>
      </c>
      <c r="AJ316" s="31">
        <v>33060</v>
      </c>
      <c r="AK316" s="16">
        <v>25016</v>
      </c>
      <c r="AL316" s="16">
        <v>7860</v>
      </c>
      <c r="AM316" s="31">
        <v>32876</v>
      </c>
      <c r="AN316" s="16">
        <v>19168</v>
      </c>
      <c r="AO316" s="16">
        <v>7275</v>
      </c>
      <c r="AP316" s="31">
        <v>26443</v>
      </c>
      <c r="AQ316" s="42"/>
      <c r="AR316" s="43"/>
      <c r="AS316" s="42"/>
      <c r="AT316" s="42"/>
    </row>
    <row r="317" spans="1:46" ht="12.9" customHeight="1" x14ac:dyDescent="0.25">
      <c r="A317" s="28" t="s">
        <v>664</v>
      </c>
      <c r="B317" s="29" t="s">
        <v>665</v>
      </c>
      <c r="C317" s="30" t="s">
        <v>26</v>
      </c>
      <c r="D317" s="40">
        <v>722001</v>
      </c>
      <c r="E317" s="26">
        <v>612814</v>
      </c>
      <c r="F317" s="26">
        <f t="shared" si="8"/>
        <v>1334815</v>
      </c>
      <c r="G317" s="40">
        <v>730766</v>
      </c>
      <c r="H317" s="26">
        <v>629238</v>
      </c>
      <c r="I317" s="27">
        <f t="shared" si="9"/>
        <v>1360004</v>
      </c>
      <c r="J317" s="40">
        <v>767628</v>
      </c>
      <c r="K317" s="26">
        <v>696833</v>
      </c>
      <c r="L317" s="27">
        <v>1464461</v>
      </c>
      <c r="M317" s="26">
        <v>791025</v>
      </c>
      <c r="N317" s="26">
        <v>595411</v>
      </c>
      <c r="O317" s="27">
        <v>1386436</v>
      </c>
      <c r="P317" s="26">
        <v>809140</v>
      </c>
      <c r="Q317" s="26">
        <v>638042</v>
      </c>
      <c r="R317" s="27">
        <v>1447182</v>
      </c>
      <c r="S317" s="26">
        <v>750466</v>
      </c>
      <c r="T317" s="26">
        <v>655043</v>
      </c>
      <c r="U317" s="27">
        <v>1405509</v>
      </c>
      <c r="V317" s="26">
        <v>740430</v>
      </c>
      <c r="W317" s="26">
        <v>695808</v>
      </c>
      <c r="X317" s="31">
        <v>1436238</v>
      </c>
      <c r="Y317" s="16">
        <v>738672</v>
      </c>
      <c r="Z317" s="16">
        <v>815585.14285714284</v>
      </c>
      <c r="AA317" s="31">
        <v>1554257.1428571427</v>
      </c>
      <c r="AB317" s="32">
        <v>724001</v>
      </c>
      <c r="AC317" s="16">
        <v>611449.14285714284</v>
      </c>
      <c r="AD317" s="31">
        <v>1335450.1428571427</v>
      </c>
      <c r="AE317" s="16">
        <v>729322</v>
      </c>
      <c r="AF317" s="16">
        <v>841887.14285714284</v>
      </c>
      <c r="AG317" s="31">
        <v>1571209.1428571427</v>
      </c>
      <c r="AH317" s="16">
        <v>712723</v>
      </c>
      <c r="AI317" s="16">
        <v>654292.14285714284</v>
      </c>
      <c r="AJ317" s="31">
        <v>1367015.1428571427</v>
      </c>
      <c r="AK317" s="16">
        <v>713541</v>
      </c>
      <c r="AL317" s="16">
        <v>631943.14285714284</v>
      </c>
      <c r="AM317" s="31">
        <v>1345484.1428571427</v>
      </c>
      <c r="AN317" s="16">
        <v>740325</v>
      </c>
      <c r="AO317" s="16">
        <v>578347.14285714284</v>
      </c>
      <c r="AP317" s="31">
        <v>1318672.1428571427</v>
      </c>
      <c r="AQ317" s="42"/>
      <c r="AR317" s="43"/>
      <c r="AS317" s="42"/>
      <c r="AT317" s="42"/>
    </row>
    <row r="318" spans="1:46" ht="12.9" customHeight="1" x14ac:dyDescent="0.25">
      <c r="A318" s="28" t="s">
        <v>666</v>
      </c>
      <c r="B318" s="29" t="s">
        <v>667</v>
      </c>
      <c r="C318" s="30" t="s">
        <v>62</v>
      </c>
      <c r="D318" s="40">
        <v>13833</v>
      </c>
      <c r="E318" s="26">
        <v>5673</v>
      </c>
      <c r="F318" s="26">
        <f t="shared" si="8"/>
        <v>19506</v>
      </c>
      <c r="G318" s="40">
        <v>12680</v>
      </c>
      <c r="H318" s="26">
        <v>4153</v>
      </c>
      <c r="I318" s="27">
        <f t="shared" si="9"/>
        <v>16833</v>
      </c>
      <c r="J318" s="40">
        <v>13516</v>
      </c>
      <c r="K318" s="26">
        <v>6529</v>
      </c>
      <c r="L318" s="27">
        <v>20045</v>
      </c>
      <c r="M318" s="26">
        <v>12923</v>
      </c>
      <c r="N318" s="26">
        <v>5353</v>
      </c>
      <c r="O318" s="27">
        <v>18276</v>
      </c>
      <c r="P318" s="26">
        <v>14827</v>
      </c>
      <c r="Q318" s="26">
        <v>2826</v>
      </c>
      <c r="R318" s="27">
        <v>17653</v>
      </c>
      <c r="S318" s="26">
        <v>13733</v>
      </c>
      <c r="T318" s="26">
        <v>4679</v>
      </c>
      <c r="U318" s="27">
        <v>18412</v>
      </c>
      <c r="V318" s="26">
        <v>13221</v>
      </c>
      <c r="W318" s="26">
        <v>4361</v>
      </c>
      <c r="X318" s="31">
        <v>17582</v>
      </c>
      <c r="Y318" s="16">
        <v>14130</v>
      </c>
      <c r="Z318" s="16">
        <v>3020</v>
      </c>
      <c r="AA318" s="31">
        <v>17150</v>
      </c>
      <c r="AB318" s="32">
        <v>16360</v>
      </c>
      <c r="AC318" s="16">
        <v>2619</v>
      </c>
      <c r="AD318" s="31">
        <v>18979</v>
      </c>
      <c r="AE318" s="16">
        <v>11806</v>
      </c>
      <c r="AF318" s="16">
        <v>2974</v>
      </c>
      <c r="AG318" s="31">
        <v>14780</v>
      </c>
      <c r="AH318" s="16">
        <v>16173</v>
      </c>
      <c r="AI318" s="16">
        <v>2904</v>
      </c>
      <c r="AJ318" s="31">
        <v>19077</v>
      </c>
      <c r="AK318" s="16">
        <v>13303</v>
      </c>
      <c r="AL318" s="16">
        <v>1942</v>
      </c>
      <c r="AM318" s="31">
        <v>15245</v>
      </c>
      <c r="AN318" s="16">
        <v>14968</v>
      </c>
      <c r="AO318" s="16">
        <v>1610</v>
      </c>
      <c r="AP318" s="31">
        <v>16578</v>
      </c>
      <c r="AQ318" s="42"/>
      <c r="AR318" s="43"/>
      <c r="AS318" s="42"/>
      <c r="AT318" s="42"/>
    </row>
    <row r="319" spans="1:46" ht="12.9" customHeight="1" x14ac:dyDescent="0.25">
      <c r="A319" s="28" t="s">
        <v>668</v>
      </c>
      <c r="B319" s="29" t="s">
        <v>669</v>
      </c>
      <c r="C319" s="30" t="s">
        <v>17</v>
      </c>
      <c r="D319" s="40">
        <v>57604</v>
      </c>
      <c r="E319" s="26">
        <v>29695</v>
      </c>
      <c r="F319" s="26">
        <f t="shared" si="8"/>
        <v>87299</v>
      </c>
      <c r="G319" s="40">
        <v>53683</v>
      </c>
      <c r="H319" s="26">
        <v>27603</v>
      </c>
      <c r="I319" s="27">
        <f t="shared" si="9"/>
        <v>81286</v>
      </c>
      <c r="J319" s="40">
        <v>57467</v>
      </c>
      <c r="K319" s="26">
        <v>27494</v>
      </c>
      <c r="L319" s="27">
        <v>84961</v>
      </c>
      <c r="M319" s="26">
        <v>76057</v>
      </c>
      <c r="N319" s="26">
        <v>30498</v>
      </c>
      <c r="O319" s="27">
        <v>106555</v>
      </c>
      <c r="P319" s="26">
        <v>56646</v>
      </c>
      <c r="Q319" s="26">
        <v>19338</v>
      </c>
      <c r="R319" s="27">
        <v>75984</v>
      </c>
      <c r="S319" s="26">
        <v>44505</v>
      </c>
      <c r="T319" s="26">
        <v>18975</v>
      </c>
      <c r="U319" s="27">
        <v>63480</v>
      </c>
      <c r="V319" s="26">
        <v>52386</v>
      </c>
      <c r="W319" s="26">
        <v>27273</v>
      </c>
      <c r="X319" s="31">
        <v>79659</v>
      </c>
      <c r="Y319" s="16">
        <v>54092</v>
      </c>
      <c r="Z319" s="16">
        <v>22700</v>
      </c>
      <c r="AA319" s="31">
        <v>76792</v>
      </c>
      <c r="AB319" s="32">
        <v>56178</v>
      </c>
      <c r="AC319" s="16">
        <v>31052</v>
      </c>
      <c r="AD319" s="31">
        <v>87230</v>
      </c>
      <c r="AE319" s="16">
        <v>58425</v>
      </c>
      <c r="AF319" s="16">
        <v>35866</v>
      </c>
      <c r="AG319" s="31">
        <v>94291</v>
      </c>
      <c r="AH319" s="16">
        <v>58206</v>
      </c>
      <c r="AI319" s="16">
        <v>21949</v>
      </c>
      <c r="AJ319" s="31">
        <v>80155</v>
      </c>
      <c r="AK319" s="16">
        <v>59674</v>
      </c>
      <c r="AL319" s="16">
        <v>18906</v>
      </c>
      <c r="AM319" s="31">
        <v>78580</v>
      </c>
      <c r="AN319" s="16">
        <v>67316</v>
      </c>
      <c r="AO319" s="16">
        <v>43411</v>
      </c>
      <c r="AP319" s="31">
        <v>110727</v>
      </c>
      <c r="AQ319" s="42"/>
      <c r="AR319" s="43"/>
      <c r="AS319" s="42"/>
      <c r="AT319" s="42"/>
    </row>
    <row r="320" spans="1:46" ht="12.9" customHeight="1" x14ac:dyDescent="0.25">
      <c r="A320" s="28" t="s">
        <v>670</v>
      </c>
      <c r="B320" s="29" t="s">
        <v>671</v>
      </c>
      <c r="C320" s="30" t="s">
        <v>42</v>
      </c>
      <c r="D320" s="40">
        <v>10595</v>
      </c>
      <c r="E320" s="26">
        <v>280</v>
      </c>
      <c r="F320" s="26">
        <f t="shared" si="8"/>
        <v>10875</v>
      </c>
      <c r="G320" s="40">
        <v>10595</v>
      </c>
      <c r="H320" s="26">
        <v>280</v>
      </c>
      <c r="I320" s="27">
        <f t="shared" si="9"/>
        <v>10875</v>
      </c>
      <c r="J320" s="40">
        <v>4200</v>
      </c>
      <c r="K320" s="26">
        <v>189</v>
      </c>
      <c r="L320" s="27">
        <v>4389</v>
      </c>
      <c r="M320" s="26">
        <v>4200</v>
      </c>
      <c r="N320" s="26">
        <v>189</v>
      </c>
      <c r="O320" s="27">
        <v>4389</v>
      </c>
      <c r="P320" s="26">
        <v>4634</v>
      </c>
      <c r="Q320" s="26">
        <v>186</v>
      </c>
      <c r="R320" s="27">
        <v>4820</v>
      </c>
      <c r="S320" s="26">
        <v>4787</v>
      </c>
      <c r="T320" s="26">
        <v>211</v>
      </c>
      <c r="U320" s="27">
        <v>4998</v>
      </c>
      <c r="V320" s="26">
        <v>4034</v>
      </c>
      <c r="W320" s="26">
        <v>184</v>
      </c>
      <c r="X320" s="31">
        <v>4218</v>
      </c>
      <c r="Y320" s="16">
        <v>4223</v>
      </c>
      <c r="Z320" s="16">
        <v>232</v>
      </c>
      <c r="AA320" s="31">
        <v>4455</v>
      </c>
      <c r="AB320" s="32">
        <v>3775</v>
      </c>
      <c r="AC320" s="16">
        <v>255</v>
      </c>
      <c r="AD320" s="31">
        <v>4030</v>
      </c>
      <c r="AE320" s="16">
        <v>3792</v>
      </c>
      <c r="AF320" s="16">
        <v>239</v>
      </c>
      <c r="AG320" s="31">
        <v>4031</v>
      </c>
      <c r="AH320" s="16">
        <v>3510</v>
      </c>
      <c r="AI320" s="16">
        <v>185</v>
      </c>
      <c r="AJ320" s="31">
        <v>3695</v>
      </c>
      <c r="AK320" s="16">
        <v>6281</v>
      </c>
      <c r="AL320" s="16">
        <v>68</v>
      </c>
      <c r="AM320" s="31">
        <v>6349</v>
      </c>
      <c r="AN320" s="16">
        <v>6281</v>
      </c>
      <c r="AO320" s="16">
        <v>68</v>
      </c>
      <c r="AP320" s="31">
        <v>6349</v>
      </c>
      <c r="AQ320" s="42"/>
      <c r="AR320" s="43"/>
      <c r="AS320" s="42"/>
      <c r="AT320" s="42"/>
    </row>
    <row r="321" spans="1:46" ht="12.9" customHeight="1" x14ac:dyDescent="0.25">
      <c r="A321" s="28" t="s">
        <v>672</v>
      </c>
      <c r="B321" s="29" t="s">
        <v>673</v>
      </c>
      <c r="C321" s="30" t="s">
        <v>20</v>
      </c>
      <c r="D321" s="40">
        <v>6168</v>
      </c>
      <c r="E321" s="26">
        <v>37906</v>
      </c>
      <c r="F321" s="26">
        <f t="shared" si="8"/>
        <v>44074</v>
      </c>
      <c r="G321" s="40">
        <v>6750</v>
      </c>
      <c r="H321" s="26">
        <v>41421</v>
      </c>
      <c r="I321" s="27">
        <f t="shared" si="9"/>
        <v>48171</v>
      </c>
      <c r="J321" s="40">
        <v>8106</v>
      </c>
      <c r="K321" s="26">
        <v>26136</v>
      </c>
      <c r="L321" s="27">
        <v>34242</v>
      </c>
      <c r="M321" s="26">
        <v>6956</v>
      </c>
      <c r="N321" s="26">
        <v>25427</v>
      </c>
      <c r="O321" s="27">
        <v>32383</v>
      </c>
      <c r="P321" s="26">
        <v>6355</v>
      </c>
      <c r="Q321" s="26">
        <v>24607</v>
      </c>
      <c r="R321" s="27">
        <v>30962</v>
      </c>
      <c r="S321" s="26">
        <v>7210</v>
      </c>
      <c r="T321" s="26">
        <v>27012</v>
      </c>
      <c r="U321" s="27">
        <v>34222</v>
      </c>
      <c r="V321" s="26">
        <v>5854</v>
      </c>
      <c r="W321" s="26">
        <v>27343</v>
      </c>
      <c r="X321" s="31">
        <v>33197</v>
      </c>
      <c r="Y321" s="16">
        <v>6317</v>
      </c>
      <c r="Z321" s="16">
        <v>30905</v>
      </c>
      <c r="AA321" s="31">
        <v>37222</v>
      </c>
      <c r="AB321" s="32">
        <v>6015</v>
      </c>
      <c r="AC321" s="16">
        <v>27972</v>
      </c>
      <c r="AD321" s="31">
        <v>33987</v>
      </c>
      <c r="AE321" s="16">
        <v>5876</v>
      </c>
      <c r="AF321" s="16">
        <v>19643</v>
      </c>
      <c r="AG321" s="31">
        <v>25519</v>
      </c>
      <c r="AH321" s="16">
        <v>5694</v>
      </c>
      <c r="AI321" s="16">
        <v>5894</v>
      </c>
      <c r="AJ321" s="31">
        <v>11588</v>
      </c>
      <c r="AK321" s="16">
        <v>6439</v>
      </c>
      <c r="AL321" s="16">
        <v>1748</v>
      </c>
      <c r="AM321" s="31">
        <v>8187</v>
      </c>
      <c r="AN321" s="16">
        <v>6969</v>
      </c>
      <c r="AO321" s="16">
        <v>26796</v>
      </c>
      <c r="AP321" s="31">
        <v>33765</v>
      </c>
      <c r="AQ321" s="42"/>
      <c r="AR321" s="43"/>
      <c r="AS321" s="42"/>
      <c r="AT321" s="42"/>
    </row>
    <row r="322" spans="1:46" ht="12.9" customHeight="1" x14ac:dyDescent="0.25">
      <c r="A322" s="28" t="s">
        <v>674</v>
      </c>
      <c r="B322" s="29" t="s">
        <v>675</v>
      </c>
      <c r="C322" s="30" t="s">
        <v>62</v>
      </c>
      <c r="D322" s="40">
        <v>27963</v>
      </c>
      <c r="E322" s="26">
        <v>25491</v>
      </c>
      <c r="F322" s="26">
        <f t="shared" si="8"/>
        <v>53454</v>
      </c>
      <c r="G322" s="40">
        <v>29992</v>
      </c>
      <c r="H322" s="26">
        <v>27269</v>
      </c>
      <c r="I322" s="27">
        <f t="shared" si="9"/>
        <v>57261</v>
      </c>
      <c r="J322" s="40">
        <v>27305</v>
      </c>
      <c r="K322" s="26">
        <v>25136</v>
      </c>
      <c r="L322" s="27">
        <v>52441</v>
      </c>
      <c r="M322" s="26">
        <v>28634</v>
      </c>
      <c r="N322" s="26">
        <v>26638</v>
      </c>
      <c r="O322" s="27">
        <v>55272</v>
      </c>
      <c r="P322" s="26">
        <v>29966</v>
      </c>
      <c r="Q322" s="26">
        <v>27171</v>
      </c>
      <c r="R322" s="27">
        <v>57137</v>
      </c>
      <c r="S322" s="26">
        <v>29370</v>
      </c>
      <c r="T322" s="26">
        <v>27241</v>
      </c>
      <c r="U322" s="27">
        <v>56611</v>
      </c>
      <c r="V322" s="26">
        <v>28570</v>
      </c>
      <c r="W322" s="26">
        <v>25425</v>
      </c>
      <c r="X322" s="31">
        <v>53995</v>
      </c>
      <c r="Y322" s="16">
        <v>29037</v>
      </c>
      <c r="Z322" s="16">
        <v>9383</v>
      </c>
      <c r="AA322" s="31">
        <v>38420</v>
      </c>
      <c r="AB322" s="32">
        <v>29029</v>
      </c>
      <c r="AC322" s="16">
        <v>9533</v>
      </c>
      <c r="AD322" s="31">
        <v>38562</v>
      </c>
      <c r="AE322" s="16">
        <v>28221</v>
      </c>
      <c r="AF322" s="16">
        <v>11697</v>
      </c>
      <c r="AG322" s="31">
        <v>39918</v>
      </c>
      <c r="AH322" s="16">
        <v>30905</v>
      </c>
      <c r="AI322" s="16">
        <v>41228</v>
      </c>
      <c r="AJ322" s="31">
        <v>72133</v>
      </c>
      <c r="AK322" s="16">
        <v>35450</v>
      </c>
      <c r="AL322" s="16">
        <v>48961</v>
      </c>
      <c r="AM322" s="31">
        <v>84411</v>
      </c>
      <c r="AN322" s="16">
        <v>35450</v>
      </c>
      <c r="AO322" s="16">
        <v>49003</v>
      </c>
      <c r="AP322" s="31">
        <v>84453</v>
      </c>
      <c r="AQ322" s="42"/>
      <c r="AR322" s="43"/>
      <c r="AS322" s="42"/>
      <c r="AT322" s="42"/>
    </row>
    <row r="323" spans="1:46" ht="12.9" customHeight="1" x14ac:dyDescent="0.25">
      <c r="A323" s="28" t="s">
        <v>676</v>
      </c>
      <c r="B323" s="29" t="s">
        <v>677</v>
      </c>
      <c r="C323" s="30" t="s">
        <v>197</v>
      </c>
      <c r="D323" s="40">
        <v>6322</v>
      </c>
      <c r="E323" s="26">
        <v>425</v>
      </c>
      <c r="F323" s="26">
        <f t="shared" si="8"/>
        <v>6747</v>
      </c>
      <c r="G323" s="40">
        <v>6061</v>
      </c>
      <c r="H323" s="26">
        <v>402</v>
      </c>
      <c r="I323" s="27">
        <f t="shared" si="9"/>
        <v>6463</v>
      </c>
      <c r="J323" s="40">
        <v>8753</v>
      </c>
      <c r="K323" s="26">
        <v>660</v>
      </c>
      <c r="L323" s="27">
        <v>9413</v>
      </c>
      <c r="M323" s="26">
        <v>11222</v>
      </c>
      <c r="N323" s="26">
        <v>594</v>
      </c>
      <c r="O323" s="27">
        <v>11816</v>
      </c>
      <c r="P323" s="26">
        <v>8075</v>
      </c>
      <c r="Q323" s="26">
        <v>959</v>
      </c>
      <c r="R323" s="27">
        <v>9034</v>
      </c>
      <c r="S323" s="26">
        <v>8081</v>
      </c>
      <c r="T323" s="26">
        <v>959</v>
      </c>
      <c r="U323" s="27">
        <v>9040</v>
      </c>
      <c r="V323" s="26">
        <v>7427</v>
      </c>
      <c r="W323" s="26">
        <v>433</v>
      </c>
      <c r="X323" s="31">
        <v>7860</v>
      </c>
      <c r="Y323" s="16">
        <v>8177</v>
      </c>
      <c r="Z323" s="16">
        <v>442</v>
      </c>
      <c r="AA323" s="31">
        <v>8619</v>
      </c>
      <c r="AB323" s="32">
        <v>8268</v>
      </c>
      <c r="AC323" s="16">
        <v>710</v>
      </c>
      <c r="AD323" s="31">
        <v>8978</v>
      </c>
      <c r="AE323" s="16">
        <v>7742</v>
      </c>
      <c r="AF323" s="16">
        <v>1018</v>
      </c>
      <c r="AG323" s="31">
        <v>8760</v>
      </c>
      <c r="AH323" s="16">
        <v>7175</v>
      </c>
      <c r="AI323" s="16">
        <v>786</v>
      </c>
      <c r="AJ323" s="31">
        <v>7961</v>
      </c>
      <c r="AK323" s="16">
        <v>10289</v>
      </c>
      <c r="AL323" s="16">
        <v>428</v>
      </c>
      <c r="AM323" s="31">
        <v>10717</v>
      </c>
      <c r="AN323" s="16">
        <v>10289</v>
      </c>
      <c r="AO323" s="16">
        <v>428</v>
      </c>
      <c r="AP323" s="31">
        <v>10717</v>
      </c>
      <c r="AQ323" s="42"/>
      <c r="AR323" s="43"/>
      <c r="AS323" s="42"/>
      <c r="AT323" s="42"/>
    </row>
    <row r="324" spans="1:46" ht="12.9" customHeight="1" x14ac:dyDescent="0.25">
      <c r="A324" s="28" t="s">
        <v>678</v>
      </c>
      <c r="B324" s="29" t="s">
        <v>679</v>
      </c>
      <c r="C324" s="30" t="s">
        <v>163</v>
      </c>
      <c r="D324" s="40">
        <v>104756</v>
      </c>
      <c r="E324" s="26">
        <v>66622</v>
      </c>
      <c r="F324" s="26">
        <f t="shared" si="8"/>
        <v>171378</v>
      </c>
      <c r="G324" s="40">
        <v>102416</v>
      </c>
      <c r="H324" s="26">
        <v>65210</v>
      </c>
      <c r="I324" s="27">
        <f t="shared" si="9"/>
        <v>167626</v>
      </c>
      <c r="J324" s="40">
        <v>103069</v>
      </c>
      <c r="K324" s="26">
        <v>75491</v>
      </c>
      <c r="L324" s="27">
        <v>178560</v>
      </c>
      <c r="M324" s="26">
        <v>106306</v>
      </c>
      <c r="N324" s="26">
        <v>72982</v>
      </c>
      <c r="O324" s="27">
        <v>179288</v>
      </c>
      <c r="P324" s="26">
        <v>111386</v>
      </c>
      <c r="Q324" s="26">
        <v>61728</v>
      </c>
      <c r="R324" s="27">
        <v>173114</v>
      </c>
      <c r="S324" s="26">
        <v>100327</v>
      </c>
      <c r="T324" s="26">
        <v>69099</v>
      </c>
      <c r="U324" s="27">
        <v>169426</v>
      </c>
      <c r="V324" s="26">
        <v>103089</v>
      </c>
      <c r="W324" s="26">
        <v>92952</v>
      </c>
      <c r="X324" s="31">
        <v>196041</v>
      </c>
      <c r="Y324" s="16">
        <v>99280</v>
      </c>
      <c r="Z324" s="16">
        <v>71014</v>
      </c>
      <c r="AA324" s="31">
        <v>170294</v>
      </c>
      <c r="AB324" s="32">
        <v>99286</v>
      </c>
      <c r="AC324" s="16">
        <v>60666</v>
      </c>
      <c r="AD324" s="31">
        <v>159952</v>
      </c>
      <c r="AE324" s="16">
        <v>100368</v>
      </c>
      <c r="AF324" s="16">
        <v>64538</v>
      </c>
      <c r="AG324" s="31">
        <v>164906</v>
      </c>
      <c r="AH324" s="16">
        <v>97492</v>
      </c>
      <c r="AI324" s="16">
        <v>45991</v>
      </c>
      <c r="AJ324" s="31">
        <v>143483</v>
      </c>
      <c r="AK324" s="16">
        <v>98173</v>
      </c>
      <c r="AL324" s="16">
        <v>48711</v>
      </c>
      <c r="AM324" s="31">
        <v>146884</v>
      </c>
      <c r="AN324" s="16">
        <v>103134</v>
      </c>
      <c r="AO324" s="16">
        <v>80946</v>
      </c>
      <c r="AP324" s="31">
        <v>184080</v>
      </c>
      <c r="AQ324" s="42"/>
      <c r="AR324" s="43"/>
      <c r="AS324" s="42"/>
      <c r="AT324" s="42"/>
    </row>
    <row r="325" spans="1:46" ht="12.9" customHeight="1" x14ac:dyDescent="0.25">
      <c r="A325" s="28" t="s">
        <v>680</v>
      </c>
      <c r="B325" s="29" t="s">
        <v>681</v>
      </c>
      <c r="C325" s="30" t="s">
        <v>177</v>
      </c>
      <c r="D325" s="40">
        <v>23118</v>
      </c>
      <c r="E325" s="26">
        <v>3132</v>
      </c>
      <c r="F325" s="26">
        <f t="shared" si="8"/>
        <v>26250</v>
      </c>
      <c r="G325" s="40">
        <v>22183</v>
      </c>
      <c r="H325" s="26">
        <v>3745</v>
      </c>
      <c r="I325" s="27">
        <f t="shared" si="9"/>
        <v>25928</v>
      </c>
      <c r="J325" s="40">
        <v>27475</v>
      </c>
      <c r="K325" s="26">
        <v>4117</v>
      </c>
      <c r="L325" s="27">
        <v>31592</v>
      </c>
      <c r="M325" s="26">
        <v>19477</v>
      </c>
      <c r="N325" s="26">
        <v>4605</v>
      </c>
      <c r="O325" s="27">
        <v>24082</v>
      </c>
      <c r="P325" s="26">
        <v>17331</v>
      </c>
      <c r="Q325" s="26">
        <v>2591</v>
      </c>
      <c r="R325" s="27">
        <v>19922</v>
      </c>
      <c r="S325" s="26">
        <v>14570</v>
      </c>
      <c r="T325" s="26">
        <v>3243</v>
      </c>
      <c r="U325" s="27">
        <v>17813</v>
      </c>
      <c r="V325" s="26">
        <v>17979</v>
      </c>
      <c r="W325" s="26">
        <v>3651</v>
      </c>
      <c r="X325" s="31">
        <v>21630</v>
      </c>
      <c r="Y325" s="16">
        <v>18140</v>
      </c>
      <c r="Z325" s="16">
        <v>5589</v>
      </c>
      <c r="AA325" s="31">
        <v>23729</v>
      </c>
      <c r="AB325" s="32">
        <v>19525</v>
      </c>
      <c r="AC325" s="16">
        <v>2795</v>
      </c>
      <c r="AD325" s="31">
        <v>22320</v>
      </c>
      <c r="AE325" s="16">
        <v>19260</v>
      </c>
      <c r="AF325" s="16">
        <v>2439</v>
      </c>
      <c r="AG325" s="31">
        <v>21699</v>
      </c>
      <c r="AH325" s="16">
        <v>18889</v>
      </c>
      <c r="AI325" s="16">
        <v>1036</v>
      </c>
      <c r="AJ325" s="31">
        <v>19925</v>
      </c>
      <c r="AK325" s="16">
        <v>23634</v>
      </c>
      <c r="AL325" s="16">
        <v>27077</v>
      </c>
      <c r="AM325" s="31">
        <v>50711</v>
      </c>
      <c r="AN325" s="16">
        <v>23634</v>
      </c>
      <c r="AO325" s="16">
        <v>51488</v>
      </c>
      <c r="AP325" s="31">
        <v>75122</v>
      </c>
      <c r="AQ325" s="42"/>
      <c r="AR325" s="43"/>
      <c r="AS325" s="42"/>
      <c r="AT325" s="42"/>
    </row>
    <row r="326" spans="1:46" ht="12.9" customHeight="1" x14ac:dyDescent="0.25">
      <c r="A326" s="28" t="s">
        <v>682</v>
      </c>
      <c r="B326" s="29" t="s">
        <v>683</v>
      </c>
      <c r="C326" s="30" t="s">
        <v>29</v>
      </c>
      <c r="D326" s="40">
        <v>7794</v>
      </c>
      <c r="E326" s="26">
        <v>11294</v>
      </c>
      <c r="F326" s="26">
        <f t="shared" si="8"/>
        <v>19088</v>
      </c>
      <c r="G326" s="40">
        <v>8001</v>
      </c>
      <c r="H326" s="26">
        <v>10703</v>
      </c>
      <c r="I326" s="27">
        <f t="shared" si="9"/>
        <v>18704</v>
      </c>
      <c r="J326" s="40">
        <v>7549</v>
      </c>
      <c r="K326" s="26">
        <v>14420</v>
      </c>
      <c r="L326" s="27">
        <v>21969</v>
      </c>
      <c r="M326" s="26">
        <v>9429</v>
      </c>
      <c r="N326" s="26">
        <v>7023</v>
      </c>
      <c r="O326" s="27">
        <v>16452</v>
      </c>
      <c r="P326" s="26">
        <v>9289</v>
      </c>
      <c r="Q326" s="26">
        <v>9537</v>
      </c>
      <c r="R326" s="27">
        <v>18826</v>
      </c>
      <c r="S326" s="26">
        <v>8851</v>
      </c>
      <c r="T326" s="26">
        <v>5549</v>
      </c>
      <c r="U326" s="27">
        <v>14400</v>
      </c>
      <c r="V326" s="26">
        <v>10095</v>
      </c>
      <c r="W326" s="26">
        <v>12069</v>
      </c>
      <c r="X326" s="31">
        <v>22164</v>
      </c>
      <c r="Y326" s="16">
        <v>8741</v>
      </c>
      <c r="Z326" s="16">
        <v>11513</v>
      </c>
      <c r="AA326" s="31">
        <v>20254</v>
      </c>
      <c r="AB326" s="32">
        <v>12161</v>
      </c>
      <c r="AC326" s="16">
        <v>10688</v>
      </c>
      <c r="AD326" s="31">
        <v>22849</v>
      </c>
      <c r="AE326" s="16">
        <v>8549</v>
      </c>
      <c r="AF326" s="16">
        <v>7716</v>
      </c>
      <c r="AG326" s="31">
        <v>16265</v>
      </c>
      <c r="AH326" s="16">
        <v>12127</v>
      </c>
      <c r="AI326" s="16">
        <v>5793</v>
      </c>
      <c r="AJ326" s="31">
        <v>17920</v>
      </c>
      <c r="AK326" s="16">
        <v>21945</v>
      </c>
      <c r="AL326" s="16">
        <v>8514</v>
      </c>
      <c r="AM326" s="31">
        <v>30459</v>
      </c>
      <c r="AN326" s="16">
        <v>21945</v>
      </c>
      <c r="AO326" s="16">
        <v>8870</v>
      </c>
      <c r="AP326" s="31">
        <v>30815</v>
      </c>
      <c r="AQ326" s="42"/>
      <c r="AR326" s="43"/>
      <c r="AS326" s="42"/>
      <c r="AT326" s="42"/>
    </row>
    <row r="327" spans="1:46" ht="12.9" customHeight="1" x14ac:dyDescent="0.25">
      <c r="A327" s="28" t="s">
        <v>684</v>
      </c>
      <c r="B327" s="29" t="s">
        <v>685</v>
      </c>
      <c r="C327" s="30" t="s">
        <v>26</v>
      </c>
      <c r="D327" s="40">
        <v>607441</v>
      </c>
      <c r="E327" s="26">
        <v>300570</v>
      </c>
      <c r="F327" s="26">
        <f t="shared" si="8"/>
        <v>908011</v>
      </c>
      <c r="G327" s="40">
        <v>623146</v>
      </c>
      <c r="H327" s="26">
        <v>326933</v>
      </c>
      <c r="I327" s="27">
        <f t="shared" si="9"/>
        <v>950079</v>
      </c>
      <c r="J327" s="40">
        <v>648284</v>
      </c>
      <c r="K327" s="26">
        <v>324332</v>
      </c>
      <c r="L327" s="27">
        <v>972616</v>
      </c>
      <c r="M327" s="26">
        <v>669058</v>
      </c>
      <c r="N327" s="26">
        <v>288840</v>
      </c>
      <c r="O327" s="27">
        <v>957898</v>
      </c>
      <c r="P327" s="26">
        <v>662057</v>
      </c>
      <c r="Q327" s="26">
        <v>240944</v>
      </c>
      <c r="R327" s="27">
        <v>903001</v>
      </c>
      <c r="S327" s="26">
        <v>629636</v>
      </c>
      <c r="T327" s="26">
        <v>240774</v>
      </c>
      <c r="U327" s="27">
        <v>870410</v>
      </c>
      <c r="V327" s="26">
        <v>610270</v>
      </c>
      <c r="W327" s="26">
        <v>236956</v>
      </c>
      <c r="X327" s="31">
        <v>847226</v>
      </c>
      <c r="Y327" s="16">
        <v>617340</v>
      </c>
      <c r="Z327" s="16">
        <v>266394.11199999996</v>
      </c>
      <c r="AA327" s="31">
        <v>883734.11199999996</v>
      </c>
      <c r="AB327" s="32">
        <v>614685</v>
      </c>
      <c r="AC327" s="16">
        <v>240714.11199999999</v>
      </c>
      <c r="AD327" s="31">
        <v>855399.11199999996</v>
      </c>
      <c r="AE327" s="16">
        <v>610092.63199999998</v>
      </c>
      <c r="AF327" s="16">
        <v>237028.11199999999</v>
      </c>
      <c r="AG327" s="31">
        <v>847120.74399999995</v>
      </c>
      <c r="AH327" s="16">
        <v>593528.63199999998</v>
      </c>
      <c r="AI327" s="16">
        <v>247639.11199999999</v>
      </c>
      <c r="AJ327" s="31">
        <v>841167.74399999995</v>
      </c>
      <c r="AK327" s="16">
        <v>586750.63199999998</v>
      </c>
      <c r="AL327" s="16">
        <v>328609.11199999996</v>
      </c>
      <c r="AM327" s="31">
        <v>915359.74399999995</v>
      </c>
      <c r="AN327" s="16">
        <v>609243.63199999998</v>
      </c>
      <c r="AO327" s="16">
        <v>359951.11199999996</v>
      </c>
      <c r="AP327" s="31">
        <v>969194.74399999995</v>
      </c>
      <c r="AQ327" s="42"/>
      <c r="AR327" s="43"/>
      <c r="AS327" s="42"/>
      <c r="AT327" s="42"/>
    </row>
    <row r="328" spans="1:46" ht="12.9" customHeight="1" x14ac:dyDescent="0.25">
      <c r="A328" s="28" t="s">
        <v>686</v>
      </c>
      <c r="B328" s="29" t="s">
        <v>687</v>
      </c>
      <c r="C328" s="30" t="s">
        <v>23</v>
      </c>
      <c r="D328" s="40">
        <v>18042</v>
      </c>
      <c r="E328" s="26">
        <v>22515</v>
      </c>
      <c r="F328" s="26">
        <f t="shared" si="8"/>
        <v>40557</v>
      </c>
      <c r="G328" s="40">
        <v>21157</v>
      </c>
      <c r="H328" s="26">
        <v>33583</v>
      </c>
      <c r="I328" s="27">
        <f t="shared" si="9"/>
        <v>54740</v>
      </c>
      <c r="J328" s="40">
        <v>24398</v>
      </c>
      <c r="K328" s="26">
        <v>26043</v>
      </c>
      <c r="L328" s="27">
        <v>50441</v>
      </c>
      <c r="M328" s="26">
        <v>23528</v>
      </c>
      <c r="N328" s="26">
        <v>27880</v>
      </c>
      <c r="O328" s="27">
        <v>51408</v>
      </c>
      <c r="P328" s="26">
        <v>23643</v>
      </c>
      <c r="Q328" s="26">
        <v>23174</v>
      </c>
      <c r="R328" s="27">
        <v>46817</v>
      </c>
      <c r="S328" s="26">
        <v>21547</v>
      </c>
      <c r="T328" s="26">
        <v>33382</v>
      </c>
      <c r="U328" s="27">
        <v>54929</v>
      </c>
      <c r="V328" s="26">
        <v>20393</v>
      </c>
      <c r="W328" s="26">
        <v>31682</v>
      </c>
      <c r="X328" s="31">
        <v>52075</v>
      </c>
      <c r="Y328" s="16">
        <v>20350</v>
      </c>
      <c r="Z328" s="16">
        <v>36316</v>
      </c>
      <c r="AA328" s="31">
        <v>56666</v>
      </c>
      <c r="AB328" s="32">
        <v>22894</v>
      </c>
      <c r="AC328" s="16">
        <v>33293</v>
      </c>
      <c r="AD328" s="31">
        <v>56187</v>
      </c>
      <c r="AE328" s="16">
        <v>21658</v>
      </c>
      <c r="AF328" s="16">
        <v>28079</v>
      </c>
      <c r="AG328" s="31">
        <v>49737</v>
      </c>
      <c r="AH328" s="16">
        <v>22455</v>
      </c>
      <c r="AI328" s="16">
        <v>28188</v>
      </c>
      <c r="AJ328" s="31">
        <v>50643</v>
      </c>
      <c r="AK328" s="16">
        <v>19014</v>
      </c>
      <c r="AL328" s="16">
        <v>25479</v>
      </c>
      <c r="AM328" s="31">
        <v>44493</v>
      </c>
      <c r="AN328" s="16">
        <v>24461</v>
      </c>
      <c r="AO328" s="16">
        <v>21440</v>
      </c>
      <c r="AP328" s="31">
        <v>45901</v>
      </c>
      <c r="AQ328" s="42"/>
      <c r="AR328" s="43"/>
      <c r="AS328" s="42"/>
      <c r="AT328" s="42"/>
    </row>
    <row r="329" spans="1:46" ht="12.9" customHeight="1" x14ac:dyDescent="0.25">
      <c r="A329" s="28" t="s">
        <v>688</v>
      </c>
      <c r="B329" s="29" t="s">
        <v>689</v>
      </c>
      <c r="C329" s="30" t="s">
        <v>59</v>
      </c>
      <c r="D329" s="40">
        <v>12165</v>
      </c>
      <c r="E329" s="26">
        <v>18081</v>
      </c>
      <c r="F329" s="26">
        <f t="shared" ref="F329:F392" si="10">+D329+E329</f>
        <v>30246</v>
      </c>
      <c r="G329" s="40">
        <v>13391</v>
      </c>
      <c r="H329" s="26">
        <v>16743</v>
      </c>
      <c r="I329" s="27">
        <f t="shared" si="9"/>
        <v>30134</v>
      </c>
      <c r="J329" s="40">
        <v>11352</v>
      </c>
      <c r="K329" s="26">
        <v>19904</v>
      </c>
      <c r="L329" s="27">
        <v>31256</v>
      </c>
      <c r="M329" s="26">
        <v>14804</v>
      </c>
      <c r="N329" s="26">
        <v>13474</v>
      </c>
      <c r="O329" s="27">
        <v>28278</v>
      </c>
      <c r="P329" s="26">
        <v>17451</v>
      </c>
      <c r="Q329" s="26">
        <v>12898</v>
      </c>
      <c r="R329" s="27">
        <v>30349</v>
      </c>
      <c r="S329" s="26">
        <v>17451</v>
      </c>
      <c r="T329" s="26">
        <v>12898</v>
      </c>
      <c r="U329" s="27">
        <v>30349</v>
      </c>
      <c r="V329" s="26">
        <v>13293</v>
      </c>
      <c r="W329" s="26">
        <v>14355</v>
      </c>
      <c r="X329" s="31">
        <v>27648</v>
      </c>
      <c r="Y329" s="16">
        <v>12887</v>
      </c>
      <c r="Z329" s="16">
        <v>15702</v>
      </c>
      <c r="AA329" s="31">
        <v>28589</v>
      </c>
      <c r="AB329" s="32">
        <v>12887</v>
      </c>
      <c r="AC329" s="16">
        <v>15702</v>
      </c>
      <c r="AD329" s="31">
        <v>28589</v>
      </c>
      <c r="AE329" s="16">
        <v>10734</v>
      </c>
      <c r="AF329" s="16">
        <v>7882</v>
      </c>
      <c r="AG329" s="31">
        <v>18616</v>
      </c>
      <c r="AH329" s="16">
        <v>10773</v>
      </c>
      <c r="AI329" s="16">
        <v>24722</v>
      </c>
      <c r="AJ329" s="31">
        <v>35495</v>
      </c>
      <c r="AK329" s="16">
        <v>10396</v>
      </c>
      <c r="AL329" s="16">
        <v>21571</v>
      </c>
      <c r="AM329" s="31">
        <v>31967</v>
      </c>
      <c r="AN329" s="16">
        <v>12909</v>
      </c>
      <c r="AO329" s="16">
        <v>482</v>
      </c>
      <c r="AP329" s="31">
        <v>13391</v>
      </c>
      <c r="AQ329" s="42"/>
      <c r="AR329" s="43"/>
      <c r="AS329" s="42"/>
      <c r="AT329" s="42"/>
    </row>
    <row r="330" spans="1:46" ht="12.9" customHeight="1" x14ac:dyDescent="0.25">
      <c r="A330" s="28" t="s">
        <v>690</v>
      </c>
      <c r="B330" s="29" t="s">
        <v>691</v>
      </c>
      <c r="C330" s="30" t="s">
        <v>23</v>
      </c>
      <c r="D330" s="40">
        <v>46069</v>
      </c>
      <c r="E330" s="26">
        <v>29047</v>
      </c>
      <c r="F330" s="26">
        <f t="shared" si="10"/>
        <v>75116</v>
      </c>
      <c r="G330" s="40">
        <v>45791</v>
      </c>
      <c r="H330" s="26">
        <v>31924</v>
      </c>
      <c r="I330" s="27">
        <f t="shared" ref="I330:I393" si="11">+G330+H330</f>
        <v>77715</v>
      </c>
      <c r="J330" s="40">
        <v>49849</v>
      </c>
      <c r="K330" s="26">
        <v>36617</v>
      </c>
      <c r="L330" s="27">
        <v>86466</v>
      </c>
      <c r="M330" s="26">
        <v>52678</v>
      </c>
      <c r="N330" s="26">
        <v>39619</v>
      </c>
      <c r="O330" s="27">
        <v>92297</v>
      </c>
      <c r="P330" s="26">
        <v>50853</v>
      </c>
      <c r="Q330" s="26">
        <v>31787</v>
      </c>
      <c r="R330" s="27">
        <v>82640</v>
      </c>
      <c r="S330" s="26">
        <v>50425</v>
      </c>
      <c r="T330" s="26">
        <v>48880</v>
      </c>
      <c r="U330" s="27">
        <v>99305</v>
      </c>
      <c r="V330" s="26">
        <v>48338</v>
      </c>
      <c r="W330" s="26">
        <v>37612</v>
      </c>
      <c r="X330" s="31">
        <v>85950</v>
      </c>
      <c r="Y330" s="16">
        <v>50269</v>
      </c>
      <c r="Z330" s="16">
        <v>40706</v>
      </c>
      <c r="AA330" s="31">
        <v>90975</v>
      </c>
      <c r="AB330" s="32">
        <v>48850</v>
      </c>
      <c r="AC330" s="16">
        <v>45676</v>
      </c>
      <c r="AD330" s="31">
        <v>94526</v>
      </c>
      <c r="AE330" s="16">
        <v>48956</v>
      </c>
      <c r="AF330" s="16">
        <v>45563</v>
      </c>
      <c r="AG330" s="31">
        <v>94519</v>
      </c>
      <c r="AH330" s="16">
        <v>47448</v>
      </c>
      <c r="AI330" s="16">
        <v>34500</v>
      </c>
      <c r="AJ330" s="31">
        <v>81948</v>
      </c>
      <c r="AK330" s="16">
        <v>44509</v>
      </c>
      <c r="AL330" s="16">
        <v>32882</v>
      </c>
      <c r="AM330" s="31">
        <v>77391</v>
      </c>
      <c r="AN330" s="16">
        <v>45735</v>
      </c>
      <c r="AO330" s="16">
        <v>44127</v>
      </c>
      <c r="AP330" s="31">
        <v>89862</v>
      </c>
      <c r="AQ330" s="42"/>
      <c r="AR330" s="43"/>
      <c r="AS330" s="42"/>
      <c r="AT330" s="42"/>
    </row>
    <row r="331" spans="1:46" ht="12.9" customHeight="1" x14ac:dyDescent="0.25">
      <c r="A331" s="28" t="s">
        <v>692</v>
      </c>
      <c r="B331" s="29" t="s">
        <v>693</v>
      </c>
      <c r="C331" s="30" t="s">
        <v>11</v>
      </c>
      <c r="D331" s="40">
        <v>1828372</v>
      </c>
      <c r="E331" s="26">
        <v>693313</v>
      </c>
      <c r="F331" s="26">
        <f t="shared" si="10"/>
        <v>2521685</v>
      </c>
      <c r="G331" s="40">
        <v>1893975</v>
      </c>
      <c r="H331" s="26">
        <v>720189</v>
      </c>
      <c r="I331" s="27">
        <f t="shared" si="11"/>
        <v>2614164</v>
      </c>
      <c r="J331" s="40">
        <v>1970051</v>
      </c>
      <c r="K331" s="26">
        <v>994947</v>
      </c>
      <c r="L331" s="27">
        <v>2964998</v>
      </c>
      <c r="M331" s="26">
        <v>2066195</v>
      </c>
      <c r="N331" s="26">
        <v>710264</v>
      </c>
      <c r="O331" s="27">
        <v>2776459</v>
      </c>
      <c r="P331" s="26">
        <v>2058859</v>
      </c>
      <c r="Q331" s="26">
        <v>764138</v>
      </c>
      <c r="R331" s="27">
        <v>2822997</v>
      </c>
      <c r="S331" s="26">
        <v>1935916</v>
      </c>
      <c r="T331" s="26">
        <v>872168</v>
      </c>
      <c r="U331" s="27">
        <v>2808084</v>
      </c>
      <c r="V331" s="26">
        <v>1890428</v>
      </c>
      <c r="W331" s="26">
        <v>871284</v>
      </c>
      <c r="X331" s="31">
        <v>2761712</v>
      </c>
      <c r="Y331" s="16">
        <v>2018357</v>
      </c>
      <c r="Z331" s="16">
        <v>917412</v>
      </c>
      <c r="AA331" s="31">
        <v>2935769</v>
      </c>
      <c r="AB331" s="32">
        <v>1890488</v>
      </c>
      <c r="AC331" s="16">
        <v>895285</v>
      </c>
      <c r="AD331" s="31">
        <v>2785773</v>
      </c>
      <c r="AE331" s="16">
        <v>1891548</v>
      </c>
      <c r="AF331" s="16">
        <v>899485</v>
      </c>
      <c r="AG331" s="31">
        <v>2791033</v>
      </c>
      <c r="AH331" s="16">
        <v>1883367</v>
      </c>
      <c r="AI331" s="16">
        <v>841373</v>
      </c>
      <c r="AJ331" s="31">
        <v>2724740</v>
      </c>
      <c r="AK331" s="16">
        <v>1898049</v>
      </c>
      <c r="AL331" s="16">
        <v>899607</v>
      </c>
      <c r="AM331" s="31">
        <v>2797656</v>
      </c>
      <c r="AN331" s="16">
        <v>2003501</v>
      </c>
      <c r="AO331" s="16">
        <v>873852</v>
      </c>
      <c r="AP331" s="31">
        <v>2877353</v>
      </c>
      <c r="AQ331" s="42"/>
      <c r="AR331" s="43"/>
      <c r="AS331" s="42"/>
      <c r="AT331" s="42"/>
    </row>
    <row r="332" spans="1:46" ht="12.9" customHeight="1" x14ac:dyDescent="0.25">
      <c r="A332" s="28" t="s">
        <v>694</v>
      </c>
      <c r="B332" s="29" t="s">
        <v>695</v>
      </c>
      <c r="C332" s="30" t="s">
        <v>8</v>
      </c>
      <c r="D332" s="40">
        <v>9021</v>
      </c>
      <c r="E332" s="26">
        <v>634</v>
      </c>
      <c r="F332" s="26">
        <f t="shared" si="10"/>
        <v>9655</v>
      </c>
      <c r="G332" s="40">
        <v>9438</v>
      </c>
      <c r="H332" s="26">
        <v>793</v>
      </c>
      <c r="I332" s="27">
        <f t="shared" si="11"/>
        <v>10231</v>
      </c>
      <c r="J332" s="40">
        <v>9442</v>
      </c>
      <c r="K332" s="26">
        <v>710</v>
      </c>
      <c r="L332" s="27">
        <v>10152</v>
      </c>
      <c r="M332" s="26">
        <v>11694</v>
      </c>
      <c r="N332" s="26">
        <v>568</v>
      </c>
      <c r="O332" s="27">
        <v>12262</v>
      </c>
      <c r="P332" s="26">
        <v>10761</v>
      </c>
      <c r="Q332" s="26">
        <v>167</v>
      </c>
      <c r="R332" s="27">
        <v>10928</v>
      </c>
      <c r="S332" s="26">
        <v>9674</v>
      </c>
      <c r="T332" s="26">
        <v>305</v>
      </c>
      <c r="U332" s="27">
        <v>9979</v>
      </c>
      <c r="V332" s="26">
        <v>9981</v>
      </c>
      <c r="W332" s="26">
        <v>506</v>
      </c>
      <c r="X332" s="31">
        <v>10487</v>
      </c>
      <c r="Y332" s="16">
        <v>12865</v>
      </c>
      <c r="Z332" s="16">
        <v>625</v>
      </c>
      <c r="AA332" s="31">
        <v>13490</v>
      </c>
      <c r="AB332" s="32">
        <v>14377</v>
      </c>
      <c r="AC332" s="16">
        <v>401</v>
      </c>
      <c r="AD332" s="31">
        <v>14778</v>
      </c>
      <c r="AE332" s="16">
        <v>9545</v>
      </c>
      <c r="AF332" s="16">
        <v>224</v>
      </c>
      <c r="AG332" s="31">
        <v>9769</v>
      </c>
      <c r="AH332" s="16">
        <v>20859</v>
      </c>
      <c r="AI332" s="16">
        <v>84</v>
      </c>
      <c r="AJ332" s="31">
        <v>20943</v>
      </c>
      <c r="AK332" s="16">
        <v>25349</v>
      </c>
      <c r="AL332" s="16">
        <v>84</v>
      </c>
      <c r="AM332" s="31">
        <v>25433</v>
      </c>
      <c r="AN332" s="16">
        <v>16250</v>
      </c>
      <c r="AO332" s="16">
        <v>436</v>
      </c>
      <c r="AP332" s="31">
        <v>16686</v>
      </c>
      <c r="AQ332" s="42"/>
      <c r="AR332" s="43"/>
      <c r="AS332" s="42"/>
      <c r="AT332" s="42"/>
    </row>
    <row r="333" spans="1:46" ht="12.9" customHeight="1" x14ac:dyDescent="0.25">
      <c r="A333" s="28" t="s">
        <v>696</v>
      </c>
      <c r="B333" s="29" t="s">
        <v>697</v>
      </c>
      <c r="C333" s="30" t="s">
        <v>191</v>
      </c>
      <c r="D333" s="40">
        <v>315668</v>
      </c>
      <c r="E333" s="26">
        <v>219497</v>
      </c>
      <c r="F333" s="26">
        <f t="shared" si="10"/>
        <v>535165</v>
      </c>
      <c r="G333" s="40">
        <v>327544</v>
      </c>
      <c r="H333" s="26">
        <v>344781</v>
      </c>
      <c r="I333" s="27">
        <f t="shared" si="11"/>
        <v>672325</v>
      </c>
      <c r="J333" s="40">
        <v>338352</v>
      </c>
      <c r="K333" s="26">
        <v>356708</v>
      </c>
      <c r="L333" s="27">
        <v>695060</v>
      </c>
      <c r="M333" s="26">
        <v>351795</v>
      </c>
      <c r="N333" s="26">
        <v>394720</v>
      </c>
      <c r="O333" s="27">
        <v>746515</v>
      </c>
      <c r="P333" s="26">
        <v>361152</v>
      </c>
      <c r="Q333" s="26">
        <v>321147</v>
      </c>
      <c r="R333" s="27">
        <v>682299</v>
      </c>
      <c r="S333" s="26">
        <v>333505</v>
      </c>
      <c r="T333" s="26">
        <v>165742</v>
      </c>
      <c r="U333" s="27">
        <v>499247</v>
      </c>
      <c r="V333" s="26">
        <v>314854</v>
      </c>
      <c r="W333" s="26">
        <v>384373</v>
      </c>
      <c r="X333" s="31">
        <v>699227</v>
      </c>
      <c r="Y333" s="16">
        <v>336872</v>
      </c>
      <c r="Z333" s="16">
        <v>395000</v>
      </c>
      <c r="AA333" s="31">
        <v>731872</v>
      </c>
      <c r="AB333" s="32">
        <v>317550</v>
      </c>
      <c r="AC333" s="16">
        <v>367027</v>
      </c>
      <c r="AD333" s="31">
        <v>684577</v>
      </c>
      <c r="AE333" s="16">
        <v>316758</v>
      </c>
      <c r="AF333" s="16">
        <v>426854</v>
      </c>
      <c r="AG333" s="31">
        <v>743612</v>
      </c>
      <c r="AH333" s="16">
        <v>302008</v>
      </c>
      <c r="AI333" s="16">
        <v>399513</v>
      </c>
      <c r="AJ333" s="31">
        <v>701521</v>
      </c>
      <c r="AK333" s="16">
        <v>296444</v>
      </c>
      <c r="AL333" s="16">
        <v>506743</v>
      </c>
      <c r="AM333" s="31">
        <v>803187</v>
      </c>
      <c r="AN333" s="16">
        <v>310206.5</v>
      </c>
      <c r="AO333" s="16">
        <v>566195</v>
      </c>
      <c r="AP333" s="31">
        <v>876401.5</v>
      </c>
      <c r="AQ333" s="42"/>
      <c r="AR333" s="43"/>
      <c r="AS333" s="42"/>
      <c r="AT333" s="42"/>
    </row>
    <row r="334" spans="1:46" ht="12.9" customHeight="1" x14ac:dyDescent="0.25">
      <c r="A334" s="28" t="s">
        <v>698</v>
      </c>
      <c r="B334" s="29" t="s">
        <v>699</v>
      </c>
      <c r="C334" s="30" t="s">
        <v>110</v>
      </c>
      <c r="D334" s="40">
        <v>39763</v>
      </c>
      <c r="E334" s="26">
        <v>28090</v>
      </c>
      <c r="F334" s="26">
        <f t="shared" si="10"/>
        <v>67853</v>
      </c>
      <c r="G334" s="40">
        <v>41791</v>
      </c>
      <c r="H334" s="26">
        <v>34475</v>
      </c>
      <c r="I334" s="27">
        <f t="shared" si="11"/>
        <v>76266</v>
      </c>
      <c r="J334" s="40">
        <v>41082</v>
      </c>
      <c r="K334" s="26">
        <v>17567</v>
      </c>
      <c r="L334" s="27">
        <v>58649</v>
      </c>
      <c r="M334" s="26">
        <v>46186</v>
      </c>
      <c r="N334" s="26">
        <v>12255</v>
      </c>
      <c r="O334" s="27">
        <v>58441</v>
      </c>
      <c r="P334" s="26">
        <v>43327</v>
      </c>
      <c r="Q334" s="26">
        <v>12949</v>
      </c>
      <c r="R334" s="27">
        <v>56276</v>
      </c>
      <c r="S334" s="26">
        <v>40440</v>
      </c>
      <c r="T334" s="26">
        <v>12344</v>
      </c>
      <c r="U334" s="27">
        <v>52784</v>
      </c>
      <c r="V334" s="26">
        <v>39411</v>
      </c>
      <c r="W334" s="26">
        <v>5745</v>
      </c>
      <c r="X334" s="31">
        <v>45156</v>
      </c>
      <c r="Y334" s="16">
        <v>42329</v>
      </c>
      <c r="Z334" s="16">
        <v>6301</v>
      </c>
      <c r="AA334" s="31">
        <v>48630</v>
      </c>
      <c r="AB334" s="32">
        <v>41864</v>
      </c>
      <c r="AC334" s="16">
        <v>2831</v>
      </c>
      <c r="AD334" s="31">
        <v>44695</v>
      </c>
      <c r="AE334" s="16">
        <v>42019</v>
      </c>
      <c r="AF334" s="16">
        <v>2626</v>
      </c>
      <c r="AG334" s="31">
        <v>44645</v>
      </c>
      <c r="AH334" s="16">
        <v>44801</v>
      </c>
      <c r="AI334" s="16">
        <v>7063</v>
      </c>
      <c r="AJ334" s="31">
        <v>51864</v>
      </c>
      <c r="AK334" s="16">
        <v>48254</v>
      </c>
      <c r="AL334" s="16">
        <v>6743</v>
      </c>
      <c r="AM334" s="31">
        <v>54997</v>
      </c>
      <c r="AN334" s="16">
        <v>38667.173609378893</v>
      </c>
      <c r="AO334" s="16">
        <v>23835</v>
      </c>
      <c r="AP334" s="31">
        <v>62502.173609378893</v>
      </c>
      <c r="AQ334" s="42"/>
      <c r="AR334" s="43"/>
      <c r="AS334" s="42"/>
      <c r="AT334" s="42"/>
    </row>
    <row r="335" spans="1:46" ht="12.9" customHeight="1" x14ac:dyDescent="0.25">
      <c r="A335" s="28" t="s">
        <v>700</v>
      </c>
      <c r="B335" s="29" t="s">
        <v>701</v>
      </c>
      <c r="C335" s="30" t="s">
        <v>34</v>
      </c>
      <c r="D335" s="40">
        <v>44724</v>
      </c>
      <c r="E335" s="26">
        <v>11293</v>
      </c>
      <c r="F335" s="26">
        <f t="shared" si="10"/>
        <v>56017</v>
      </c>
      <c r="G335" s="40">
        <v>44084</v>
      </c>
      <c r="H335" s="26">
        <v>13142</v>
      </c>
      <c r="I335" s="27">
        <f t="shared" si="11"/>
        <v>57226</v>
      </c>
      <c r="J335" s="40">
        <v>45666</v>
      </c>
      <c r="K335" s="26">
        <v>10250</v>
      </c>
      <c r="L335" s="27">
        <v>55916</v>
      </c>
      <c r="M335" s="26">
        <v>50505</v>
      </c>
      <c r="N335" s="26">
        <v>9888</v>
      </c>
      <c r="O335" s="27">
        <v>60393</v>
      </c>
      <c r="P335" s="26">
        <v>42846</v>
      </c>
      <c r="Q335" s="26">
        <v>9332</v>
      </c>
      <c r="R335" s="27">
        <v>52178</v>
      </c>
      <c r="S335" s="26">
        <v>45929</v>
      </c>
      <c r="T335" s="26">
        <v>11998</v>
      </c>
      <c r="U335" s="27">
        <v>57927</v>
      </c>
      <c r="V335" s="26">
        <v>44967</v>
      </c>
      <c r="W335" s="26">
        <v>10444</v>
      </c>
      <c r="X335" s="31">
        <v>55411</v>
      </c>
      <c r="Y335" s="16">
        <v>46969</v>
      </c>
      <c r="Z335" s="16">
        <v>11057</v>
      </c>
      <c r="AA335" s="31">
        <v>58026</v>
      </c>
      <c r="AB335" s="32">
        <v>47028</v>
      </c>
      <c r="AC335" s="16">
        <v>10803</v>
      </c>
      <c r="AD335" s="31">
        <v>57831</v>
      </c>
      <c r="AE335" s="16">
        <v>46333</v>
      </c>
      <c r="AF335" s="16">
        <v>12528</v>
      </c>
      <c r="AG335" s="31">
        <v>58861</v>
      </c>
      <c r="AH335" s="16">
        <v>51386</v>
      </c>
      <c r="AI335" s="16">
        <v>23485</v>
      </c>
      <c r="AJ335" s="31">
        <v>74871</v>
      </c>
      <c r="AK335" s="16">
        <v>50764</v>
      </c>
      <c r="AL335" s="16">
        <v>13823</v>
      </c>
      <c r="AM335" s="31">
        <v>64587</v>
      </c>
      <c r="AN335" s="16">
        <v>52024</v>
      </c>
      <c r="AO335" s="16">
        <v>13116</v>
      </c>
      <c r="AP335" s="31">
        <v>65140</v>
      </c>
      <c r="AQ335" s="42"/>
      <c r="AR335" s="43"/>
      <c r="AS335" s="42"/>
      <c r="AT335" s="42"/>
    </row>
    <row r="336" spans="1:46" ht="12.9" customHeight="1" x14ac:dyDescent="0.25">
      <c r="A336" s="28" t="s">
        <v>702</v>
      </c>
      <c r="B336" s="29" t="s">
        <v>703</v>
      </c>
      <c r="C336" s="30" t="s">
        <v>177</v>
      </c>
      <c r="D336" s="40">
        <v>27146</v>
      </c>
      <c r="E336" s="26">
        <v>3744</v>
      </c>
      <c r="F336" s="26">
        <f t="shared" si="10"/>
        <v>30890</v>
      </c>
      <c r="G336" s="40">
        <v>28199</v>
      </c>
      <c r="H336" s="26">
        <v>1157</v>
      </c>
      <c r="I336" s="27">
        <f t="shared" si="11"/>
        <v>29356</v>
      </c>
      <c r="J336" s="40">
        <v>27569</v>
      </c>
      <c r="K336" s="26">
        <v>1007</v>
      </c>
      <c r="L336" s="27">
        <v>28576</v>
      </c>
      <c r="M336" s="26">
        <v>27187</v>
      </c>
      <c r="N336" s="26">
        <v>1254</v>
      </c>
      <c r="O336" s="27">
        <v>28441</v>
      </c>
      <c r="P336" s="26">
        <v>26703</v>
      </c>
      <c r="Q336" s="26">
        <v>1574</v>
      </c>
      <c r="R336" s="27">
        <v>28277</v>
      </c>
      <c r="S336" s="26">
        <v>25779</v>
      </c>
      <c r="T336" s="26">
        <v>1247</v>
      </c>
      <c r="U336" s="27">
        <v>27026</v>
      </c>
      <c r="V336" s="26">
        <v>26574</v>
      </c>
      <c r="W336" s="26">
        <v>1051</v>
      </c>
      <c r="X336" s="31">
        <v>27625</v>
      </c>
      <c r="Y336" s="16">
        <v>27861</v>
      </c>
      <c r="Z336" s="16">
        <v>1506</v>
      </c>
      <c r="AA336" s="31">
        <v>29367</v>
      </c>
      <c r="AB336" s="32">
        <v>27358</v>
      </c>
      <c r="AC336" s="16">
        <v>1132</v>
      </c>
      <c r="AD336" s="31">
        <v>28490</v>
      </c>
      <c r="AE336" s="16">
        <v>30217</v>
      </c>
      <c r="AF336" s="16">
        <v>1773</v>
      </c>
      <c r="AG336" s="31">
        <v>31990</v>
      </c>
      <c r="AH336" s="16">
        <v>29827</v>
      </c>
      <c r="AI336" s="16">
        <v>1649</v>
      </c>
      <c r="AJ336" s="31">
        <v>31476</v>
      </c>
      <c r="AK336" s="16">
        <v>27429</v>
      </c>
      <c r="AL336" s="16">
        <v>861</v>
      </c>
      <c r="AM336" s="31">
        <v>28290</v>
      </c>
      <c r="AN336" s="16">
        <v>27429</v>
      </c>
      <c r="AO336" s="16">
        <v>861</v>
      </c>
      <c r="AP336" s="31">
        <v>28290</v>
      </c>
      <c r="AQ336" s="42"/>
      <c r="AR336" s="43"/>
      <c r="AS336" s="42"/>
      <c r="AT336" s="42"/>
    </row>
    <row r="337" spans="1:46" ht="12.9" customHeight="1" x14ac:dyDescent="0.25">
      <c r="A337" s="28" t="s">
        <v>704</v>
      </c>
      <c r="B337" s="29" t="s">
        <v>705</v>
      </c>
      <c r="C337" s="30" t="s">
        <v>274</v>
      </c>
      <c r="D337" s="40">
        <v>3845307</v>
      </c>
      <c r="E337" s="26">
        <v>2627407</v>
      </c>
      <c r="F337" s="26">
        <f t="shared" si="10"/>
        <v>6472714</v>
      </c>
      <c r="G337" s="40">
        <v>3906056</v>
      </c>
      <c r="H337" s="26">
        <v>2734819</v>
      </c>
      <c r="I337" s="27">
        <f t="shared" si="11"/>
        <v>6640875</v>
      </c>
      <c r="J337" s="40">
        <v>4106197</v>
      </c>
      <c r="K337" s="26">
        <v>3059310</v>
      </c>
      <c r="L337" s="27">
        <v>7165507</v>
      </c>
      <c r="M337" s="26">
        <v>4360253</v>
      </c>
      <c r="N337" s="26">
        <v>3008822</v>
      </c>
      <c r="O337" s="27">
        <v>7369075</v>
      </c>
      <c r="P337" s="26">
        <v>4358004</v>
      </c>
      <c r="Q337" s="26">
        <v>2867706</v>
      </c>
      <c r="R337" s="27">
        <v>7225710</v>
      </c>
      <c r="S337" s="26">
        <v>4060704</v>
      </c>
      <c r="T337" s="26">
        <v>6582017</v>
      </c>
      <c r="U337" s="27">
        <v>10642721</v>
      </c>
      <c r="V337" s="26">
        <v>3978712</v>
      </c>
      <c r="W337" s="26">
        <v>6357956</v>
      </c>
      <c r="X337" s="31">
        <v>10336668</v>
      </c>
      <c r="Y337" s="16">
        <v>4112668</v>
      </c>
      <c r="Z337" s="16">
        <v>6283476</v>
      </c>
      <c r="AA337" s="31">
        <v>10396144</v>
      </c>
      <c r="AB337" s="32">
        <v>3952053</v>
      </c>
      <c r="AC337" s="16">
        <v>6130838</v>
      </c>
      <c r="AD337" s="31">
        <v>10082891</v>
      </c>
      <c r="AE337" s="16">
        <v>3897137</v>
      </c>
      <c r="AF337" s="16">
        <v>6058053</v>
      </c>
      <c r="AG337" s="31">
        <v>9955190</v>
      </c>
      <c r="AH337" s="16">
        <v>3813283</v>
      </c>
      <c r="AI337" s="16">
        <v>5882275</v>
      </c>
      <c r="AJ337" s="31">
        <v>9695558</v>
      </c>
      <c r="AK337" s="16">
        <v>3846659</v>
      </c>
      <c r="AL337" s="16">
        <v>5802377</v>
      </c>
      <c r="AM337" s="31">
        <v>9649036</v>
      </c>
      <c r="AN337" s="16">
        <v>3795606</v>
      </c>
      <c r="AO337" s="16">
        <v>5987570</v>
      </c>
      <c r="AP337" s="31">
        <v>9783176</v>
      </c>
      <c r="AQ337" s="42"/>
      <c r="AR337" s="43"/>
      <c r="AS337" s="42"/>
      <c r="AT337" s="42"/>
    </row>
    <row r="338" spans="1:46" ht="12.9" customHeight="1" x14ac:dyDescent="0.25">
      <c r="A338" s="28" t="s">
        <v>706</v>
      </c>
      <c r="B338" s="29" t="s">
        <v>707</v>
      </c>
      <c r="C338" s="30" t="s">
        <v>184</v>
      </c>
      <c r="D338" s="40">
        <v>141562</v>
      </c>
      <c r="E338" s="26">
        <v>45995</v>
      </c>
      <c r="F338" s="26">
        <f t="shared" si="10"/>
        <v>187557</v>
      </c>
      <c r="G338" s="40">
        <v>148837</v>
      </c>
      <c r="H338" s="26">
        <v>58137</v>
      </c>
      <c r="I338" s="27">
        <f t="shared" si="11"/>
        <v>206974</v>
      </c>
      <c r="J338" s="40">
        <v>148285</v>
      </c>
      <c r="K338" s="26">
        <v>52576</v>
      </c>
      <c r="L338" s="27">
        <v>200861</v>
      </c>
      <c r="M338" s="26">
        <v>166729</v>
      </c>
      <c r="N338" s="26">
        <v>54116</v>
      </c>
      <c r="O338" s="27">
        <v>220845</v>
      </c>
      <c r="P338" s="26">
        <v>150881</v>
      </c>
      <c r="Q338" s="26">
        <v>56339</v>
      </c>
      <c r="R338" s="27">
        <v>207220</v>
      </c>
      <c r="S338" s="26">
        <v>150881</v>
      </c>
      <c r="T338" s="26">
        <v>57457</v>
      </c>
      <c r="U338" s="27">
        <v>208338</v>
      </c>
      <c r="V338" s="26">
        <v>146093</v>
      </c>
      <c r="W338" s="26">
        <v>49138</v>
      </c>
      <c r="X338" s="31">
        <v>195231</v>
      </c>
      <c r="Y338" s="16">
        <v>161944</v>
      </c>
      <c r="Z338" s="16">
        <v>41265</v>
      </c>
      <c r="AA338" s="31">
        <v>203209</v>
      </c>
      <c r="AB338" s="32">
        <v>161944</v>
      </c>
      <c r="AC338" s="16">
        <v>46597</v>
      </c>
      <c r="AD338" s="31">
        <v>208541</v>
      </c>
      <c r="AE338" s="16">
        <v>161944</v>
      </c>
      <c r="AF338" s="16">
        <v>44308</v>
      </c>
      <c r="AG338" s="31">
        <v>206252</v>
      </c>
      <c r="AH338" s="16">
        <v>161078</v>
      </c>
      <c r="AI338" s="16">
        <v>72885</v>
      </c>
      <c r="AJ338" s="31">
        <v>233963</v>
      </c>
      <c r="AK338" s="16">
        <v>161639</v>
      </c>
      <c r="AL338" s="16">
        <v>54627</v>
      </c>
      <c r="AM338" s="31">
        <v>216266</v>
      </c>
      <c r="AN338" s="16">
        <v>157129</v>
      </c>
      <c r="AO338" s="16">
        <v>54562</v>
      </c>
      <c r="AP338" s="31">
        <v>211691</v>
      </c>
      <c r="AQ338" s="42"/>
      <c r="AR338" s="43"/>
      <c r="AS338" s="42"/>
      <c r="AT338" s="42"/>
    </row>
    <row r="339" spans="1:46" ht="12.9" customHeight="1" x14ac:dyDescent="0.25">
      <c r="A339" s="28" t="s">
        <v>708</v>
      </c>
      <c r="B339" s="29" t="s">
        <v>709</v>
      </c>
      <c r="C339" s="30" t="s">
        <v>184</v>
      </c>
      <c r="D339" s="40">
        <v>1142</v>
      </c>
      <c r="E339" s="26">
        <v>539</v>
      </c>
      <c r="F339" s="26">
        <f t="shared" si="10"/>
        <v>1681</v>
      </c>
      <c r="G339" s="40">
        <v>1379</v>
      </c>
      <c r="H339" s="26">
        <v>1238</v>
      </c>
      <c r="I339" s="27">
        <f t="shared" si="11"/>
        <v>2617</v>
      </c>
      <c r="J339" s="40">
        <v>1071</v>
      </c>
      <c r="K339" s="26">
        <v>657</v>
      </c>
      <c r="L339" s="27">
        <v>1728</v>
      </c>
      <c r="M339" s="26">
        <v>849</v>
      </c>
      <c r="N339" s="26">
        <v>550</v>
      </c>
      <c r="O339" s="27">
        <v>1399</v>
      </c>
      <c r="P339" s="26">
        <v>989</v>
      </c>
      <c r="Q339" s="26">
        <v>671</v>
      </c>
      <c r="R339" s="27">
        <v>1660</v>
      </c>
      <c r="S339" s="26">
        <v>719</v>
      </c>
      <c r="T339" s="26">
        <v>556</v>
      </c>
      <c r="U339" s="27">
        <v>1275</v>
      </c>
      <c r="V339" s="26">
        <v>751</v>
      </c>
      <c r="W339" s="26">
        <v>600</v>
      </c>
      <c r="X339" s="31">
        <v>1351</v>
      </c>
      <c r="Y339" s="16">
        <v>948</v>
      </c>
      <c r="Z339" s="16">
        <v>493</v>
      </c>
      <c r="AA339" s="31">
        <v>1441</v>
      </c>
      <c r="AB339" s="32">
        <v>755</v>
      </c>
      <c r="AC339" s="16">
        <v>344</v>
      </c>
      <c r="AD339" s="31">
        <v>1099</v>
      </c>
      <c r="AE339" s="16">
        <v>755</v>
      </c>
      <c r="AF339" s="16">
        <v>344</v>
      </c>
      <c r="AG339" s="31">
        <v>1099</v>
      </c>
      <c r="AH339" s="16">
        <v>738</v>
      </c>
      <c r="AI339" s="16">
        <v>578</v>
      </c>
      <c r="AJ339" s="31">
        <v>1316</v>
      </c>
      <c r="AK339" s="16">
        <v>1447</v>
      </c>
      <c r="AL339" s="16">
        <v>645</v>
      </c>
      <c r="AM339" s="31">
        <v>2092</v>
      </c>
      <c r="AN339" s="16">
        <v>934</v>
      </c>
      <c r="AO339" s="16">
        <v>538</v>
      </c>
      <c r="AP339" s="31">
        <v>1472</v>
      </c>
      <c r="AQ339" s="42"/>
      <c r="AR339" s="43"/>
      <c r="AS339" s="42"/>
      <c r="AT339" s="42"/>
    </row>
    <row r="340" spans="1:46" ht="12.9" customHeight="1" x14ac:dyDescent="0.25">
      <c r="A340" s="28" t="s">
        <v>710</v>
      </c>
      <c r="B340" s="29" t="s">
        <v>711</v>
      </c>
      <c r="C340" s="30" t="s">
        <v>62</v>
      </c>
      <c r="D340" s="40">
        <v>21280</v>
      </c>
      <c r="E340" s="26">
        <v>12709</v>
      </c>
      <c r="F340" s="26">
        <f t="shared" si="10"/>
        <v>33989</v>
      </c>
      <c r="G340" s="40">
        <v>20844</v>
      </c>
      <c r="H340" s="26">
        <v>8826</v>
      </c>
      <c r="I340" s="27">
        <f t="shared" si="11"/>
        <v>29670</v>
      </c>
      <c r="J340" s="40">
        <v>23580</v>
      </c>
      <c r="K340" s="26">
        <v>14015</v>
      </c>
      <c r="L340" s="27">
        <v>37595</v>
      </c>
      <c r="M340" s="26">
        <v>22282</v>
      </c>
      <c r="N340" s="26">
        <v>14635</v>
      </c>
      <c r="O340" s="27">
        <v>36917</v>
      </c>
      <c r="P340" s="26">
        <v>22990</v>
      </c>
      <c r="Q340" s="26">
        <v>15104</v>
      </c>
      <c r="R340" s="27">
        <v>38094</v>
      </c>
      <c r="S340" s="26">
        <v>23010</v>
      </c>
      <c r="T340" s="26">
        <v>15479</v>
      </c>
      <c r="U340" s="27">
        <v>38489</v>
      </c>
      <c r="V340" s="26">
        <v>22269</v>
      </c>
      <c r="W340" s="26">
        <v>14586</v>
      </c>
      <c r="X340" s="31">
        <v>36855</v>
      </c>
      <c r="Y340" s="16">
        <v>29512.800000000003</v>
      </c>
      <c r="Z340" s="16">
        <v>16959</v>
      </c>
      <c r="AA340" s="31">
        <v>46471.8</v>
      </c>
      <c r="AB340" s="32">
        <v>21254</v>
      </c>
      <c r="AC340" s="16">
        <v>5105</v>
      </c>
      <c r="AD340" s="31">
        <v>26359</v>
      </c>
      <c r="AE340" s="16">
        <v>23507</v>
      </c>
      <c r="AF340" s="16">
        <v>13267</v>
      </c>
      <c r="AG340" s="31">
        <v>36774</v>
      </c>
      <c r="AH340" s="16">
        <v>28949</v>
      </c>
      <c r="AI340" s="16">
        <v>13414</v>
      </c>
      <c r="AJ340" s="31">
        <v>42363</v>
      </c>
      <c r="AK340" s="16">
        <v>25442</v>
      </c>
      <c r="AL340" s="16">
        <v>9128</v>
      </c>
      <c r="AM340" s="31">
        <v>34570</v>
      </c>
      <c r="AN340" s="16">
        <v>29160</v>
      </c>
      <c r="AO340" s="16">
        <v>3838</v>
      </c>
      <c r="AP340" s="31">
        <v>32998</v>
      </c>
      <c r="AQ340" s="42"/>
      <c r="AR340" s="43"/>
      <c r="AS340" s="42"/>
      <c r="AT340" s="42"/>
    </row>
    <row r="341" spans="1:46" ht="12.9" customHeight="1" x14ac:dyDescent="0.25">
      <c r="A341" s="28" t="s">
        <v>712</v>
      </c>
      <c r="B341" s="29" t="s">
        <v>713</v>
      </c>
      <c r="C341" s="30" t="s">
        <v>215</v>
      </c>
      <c r="D341" s="40">
        <v>87045</v>
      </c>
      <c r="E341" s="26">
        <v>18590</v>
      </c>
      <c r="F341" s="26">
        <f t="shared" si="10"/>
        <v>105635</v>
      </c>
      <c r="G341" s="40">
        <v>86835</v>
      </c>
      <c r="H341" s="26">
        <v>18519</v>
      </c>
      <c r="I341" s="27">
        <f t="shared" si="11"/>
        <v>105354</v>
      </c>
      <c r="J341" s="40">
        <v>86625</v>
      </c>
      <c r="K341" s="26">
        <v>19719</v>
      </c>
      <c r="L341" s="27">
        <v>106344</v>
      </c>
      <c r="M341" s="26">
        <v>99960</v>
      </c>
      <c r="N341" s="26">
        <v>16013</v>
      </c>
      <c r="O341" s="27">
        <v>115973</v>
      </c>
      <c r="P341" s="26">
        <v>100080</v>
      </c>
      <c r="Q341" s="26">
        <v>17484</v>
      </c>
      <c r="R341" s="27">
        <v>117564</v>
      </c>
      <c r="S341" s="26">
        <v>99360</v>
      </c>
      <c r="T341" s="26">
        <v>18006</v>
      </c>
      <c r="U341" s="27">
        <v>117366</v>
      </c>
      <c r="V341" s="26">
        <v>98040</v>
      </c>
      <c r="W341" s="26">
        <v>17417</v>
      </c>
      <c r="X341" s="31">
        <v>115457</v>
      </c>
      <c r="Y341" s="16">
        <v>97680</v>
      </c>
      <c r="Z341" s="16">
        <v>16937</v>
      </c>
      <c r="AA341" s="31">
        <v>114617</v>
      </c>
      <c r="AB341" s="32">
        <v>97320</v>
      </c>
      <c r="AC341" s="16">
        <v>16228</v>
      </c>
      <c r="AD341" s="31">
        <v>113548</v>
      </c>
      <c r="AE341" s="16">
        <v>96120</v>
      </c>
      <c r="AF341" s="16">
        <v>16394</v>
      </c>
      <c r="AG341" s="31">
        <v>112514</v>
      </c>
      <c r="AH341" s="16">
        <v>93720</v>
      </c>
      <c r="AI341" s="16">
        <v>15895</v>
      </c>
      <c r="AJ341" s="31">
        <v>109615</v>
      </c>
      <c r="AK341" s="16">
        <v>91920</v>
      </c>
      <c r="AL341" s="16">
        <v>14831</v>
      </c>
      <c r="AM341" s="31">
        <v>106751</v>
      </c>
      <c r="AN341" s="16">
        <v>91920</v>
      </c>
      <c r="AO341" s="16">
        <v>15369</v>
      </c>
      <c r="AP341" s="31">
        <v>107289</v>
      </c>
      <c r="AQ341" s="42"/>
      <c r="AR341" s="43"/>
      <c r="AS341" s="42"/>
      <c r="AT341" s="42"/>
    </row>
    <row r="342" spans="1:46" ht="12.9" customHeight="1" x14ac:dyDescent="0.25">
      <c r="A342" s="28" t="s">
        <v>714</v>
      </c>
      <c r="B342" s="29" t="s">
        <v>715</v>
      </c>
      <c r="C342" s="30" t="s">
        <v>384</v>
      </c>
      <c r="D342" s="40">
        <v>8018</v>
      </c>
      <c r="E342" s="26">
        <v>2859</v>
      </c>
      <c r="F342" s="26">
        <f t="shared" si="10"/>
        <v>10877</v>
      </c>
      <c r="G342" s="40">
        <v>6547</v>
      </c>
      <c r="H342" s="26">
        <v>2745</v>
      </c>
      <c r="I342" s="27">
        <f t="shared" si="11"/>
        <v>9292</v>
      </c>
      <c r="J342" s="40">
        <v>6490</v>
      </c>
      <c r="K342" s="26">
        <v>2686</v>
      </c>
      <c r="L342" s="27">
        <v>9176</v>
      </c>
      <c r="M342" s="26">
        <v>8745</v>
      </c>
      <c r="N342" s="26">
        <v>3716</v>
      </c>
      <c r="O342" s="27">
        <v>12461</v>
      </c>
      <c r="P342" s="26">
        <v>6586</v>
      </c>
      <c r="Q342" s="26">
        <v>2820</v>
      </c>
      <c r="R342" s="27">
        <v>9406</v>
      </c>
      <c r="S342" s="26">
        <v>6601</v>
      </c>
      <c r="T342" s="26">
        <v>3180</v>
      </c>
      <c r="U342" s="27">
        <v>9781</v>
      </c>
      <c r="V342" s="26">
        <v>7131</v>
      </c>
      <c r="W342" s="26">
        <v>6494</v>
      </c>
      <c r="X342" s="31">
        <v>13625</v>
      </c>
      <c r="Y342" s="16">
        <v>7131</v>
      </c>
      <c r="Z342" s="16">
        <v>6254</v>
      </c>
      <c r="AA342" s="31">
        <v>13385</v>
      </c>
      <c r="AB342" s="32">
        <v>6559</v>
      </c>
      <c r="AC342" s="16">
        <v>5030</v>
      </c>
      <c r="AD342" s="31">
        <v>11589</v>
      </c>
      <c r="AE342" s="16">
        <v>7362</v>
      </c>
      <c r="AF342" s="16">
        <v>5664</v>
      </c>
      <c r="AG342" s="31">
        <v>13026</v>
      </c>
      <c r="AH342" s="16">
        <v>7362</v>
      </c>
      <c r="AI342" s="16">
        <v>5780</v>
      </c>
      <c r="AJ342" s="31">
        <v>13142</v>
      </c>
      <c r="AK342" s="16">
        <v>7279</v>
      </c>
      <c r="AL342" s="16">
        <v>5887</v>
      </c>
      <c r="AM342" s="31">
        <v>13166</v>
      </c>
      <c r="AN342" s="16">
        <v>7279</v>
      </c>
      <c r="AO342" s="16">
        <v>5678</v>
      </c>
      <c r="AP342" s="31">
        <v>12957</v>
      </c>
      <c r="AQ342" s="42"/>
      <c r="AR342" s="43"/>
      <c r="AS342" s="42"/>
      <c r="AT342" s="42"/>
    </row>
    <row r="343" spans="1:46" ht="12.9" customHeight="1" x14ac:dyDescent="0.25">
      <c r="A343" s="28" t="s">
        <v>716</v>
      </c>
      <c r="B343" s="29" t="s">
        <v>717</v>
      </c>
      <c r="C343" s="30" t="s">
        <v>184</v>
      </c>
      <c r="D343" s="40">
        <v>57872</v>
      </c>
      <c r="E343" s="26">
        <v>2256</v>
      </c>
      <c r="F343" s="26">
        <f t="shared" si="10"/>
        <v>60128</v>
      </c>
      <c r="G343" s="40">
        <v>58734</v>
      </c>
      <c r="H343" s="26">
        <v>2256</v>
      </c>
      <c r="I343" s="27">
        <f t="shared" si="11"/>
        <v>60990</v>
      </c>
      <c r="J343" s="40">
        <v>58734</v>
      </c>
      <c r="K343" s="26">
        <v>2256</v>
      </c>
      <c r="L343" s="27">
        <v>60990</v>
      </c>
      <c r="M343" s="26">
        <v>58968</v>
      </c>
      <c r="N343" s="26">
        <v>2256</v>
      </c>
      <c r="O343" s="27">
        <v>61224</v>
      </c>
      <c r="P343" s="26">
        <v>57954</v>
      </c>
      <c r="Q343" s="26">
        <v>7968</v>
      </c>
      <c r="R343" s="27">
        <v>65922</v>
      </c>
      <c r="S343" s="26">
        <v>57564</v>
      </c>
      <c r="T343" s="26">
        <v>7968</v>
      </c>
      <c r="U343" s="27">
        <v>65532</v>
      </c>
      <c r="V343" s="26">
        <v>57252</v>
      </c>
      <c r="W343" s="26">
        <v>8544</v>
      </c>
      <c r="X343" s="31">
        <v>65796</v>
      </c>
      <c r="Y343" s="16">
        <v>39636</v>
      </c>
      <c r="Z343" s="16">
        <v>3936</v>
      </c>
      <c r="AA343" s="31">
        <v>43572</v>
      </c>
      <c r="AB343" s="32">
        <v>39852</v>
      </c>
      <c r="AC343" s="16">
        <v>3936</v>
      </c>
      <c r="AD343" s="31">
        <v>43788</v>
      </c>
      <c r="AE343" s="16">
        <v>39528</v>
      </c>
      <c r="AF343" s="16">
        <v>3583</v>
      </c>
      <c r="AG343" s="31">
        <v>43111</v>
      </c>
      <c r="AH343" s="16">
        <v>39150</v>
      </c>
      <c r="AI343" s="16">
        <v>7165</v>
      </c>
      <c r="AJ343" s="31">
        <v>46315</v>
      </c>
      <c r="AK343" s="16">
        <v>39150</v>
      </c>
      <c r="AL343" s="16">
        <v>3175</v>
      </c>
      <c r="AM343" s="31">
        <v>42325</v>
      </c>
      <c r="AN343" s="16">
        <v>25848</v>
      </c>
      <c r="AO343" s="16">
        <v>3175</v>
      </c>
      <c r="AP343" s="31">
        <v>29023</v>
      </c>
      <c r="AQ343" s="42"/>
      <c r="AR343" s="43"/>
      <c r="AS343" s="42"/>
      <c r="AT343" s="42"/>
    </row>
    <row r="344" spans="1:46" ht="12.9" customHeight="1" x14ac:dyDescent="0.25">
      <c r="A344" s="28" t="s">
        <v>718</v>
      </c>
      <c r="B344" s="29" t="s">
        <v>719</v>
      </c>
      <c r="C344" s="30" t="s">
        <v>191</v>
      </c>
      <c r="D344" s="40">
        <v>74381</v>
      </c>
      <c r="E344" s="26">
        <v>23233</v>
      </c>
      <c r="F344" s="26">
        <f t="shared" si="10"/>
        <v>97614</v>
      </c>
      <c r="G344" s="40">
        <v>76485</v>
      </c>
      <c r="H344" s="26">
        <v>29722</v>
      </c>
      <c r="I344" s="27">
        <f t="shared" si="11"/>
        <v>106207</v>
      </c>
      <c r="J344" s="40">
        <v>93442</v>
      </c>
      <c r="K344" s="26">
        <v>29952</v>
      </c>
      <c r="L344" s="27">
        <v>123394</v>
      </c>
      <c r="M344" s="26">
        <v>83503</v>
      </c>
      <c r="N344" s="26">
        <v>25593</v>
      </c>
      <c r="O344" s="27">
        <v>109096</v>
      </c>
      <c r="P344" s="26">
        <v>81025</v>
      </c>
      <c r="Q344" s="26">
        <v>23389</v>
      </c>
      <c r="R344" s="27">
        <v>104414</v>
      </c>
      <c r="S344" s="26">
        <v>78079</v>
      </c>
      <c r="T344" s="26">
        <v>24864</v>
      </c>
      <c r="U344" s="27">
        <v>102943</v>
      </c>
      <c r="V344" s="26">
        <v>74065</v>
      </c>
      <c r="W344" s="26">
        <v>24582</v>
      </c>
      <c r="X344" s="31">
        <v>98647</v>
      </c>
      <c r="Y344" s="16">
        <v>73409</v>
      </c>
      <c r="Z344" s="16">
        <v>26600</v>
      </c>
      <c r="AA344" s="31">
        <v>100009</v>
      </c>
      <c r="AB344" s="32">
        <v>73147</v>
      </c>
      <c r="AC344" s="16">
        <v>24227</v>
      </c>
      <c r="AD344" s="31">
        <v>97374</v>
      </c>
      <c r="AE344" s="16">
        <v>72234</v>
      </c>
      <c r="AF344" s="16">
        <v>39534</v>
      </c>
      <c r="AG344" s="31">
        <v>111768</v>
      </c>
      <c r="AH344" s="16">
        <v>62156</v>
      </c>
      <c r="AI344" s="16">
        <v>28856</v>
      </c>
      <c r="AJ344" s="31">
        <v>91012</v>
      </c>
      <c r="AK344" s="16">
        <v>67030</v>
      </c>
      <c r="AL344" s="16">
        <v>29036</v>
      </c>
      <c r="AM344" s="31">
        <v>96066</v>
      </c>
      <c r="AN344" s="16">
        <v>64810.5</v>
      </c>
      <c r="AO344" s="16">
        <v>25590</v>
      </c>
      <c r="AP344" s="31">
        <v>90400.5</v>
      </c>
      <c r="AQ344" s="42"/>
      <c r="AR344" s="43"/>
      <c r="AS344" s="42"/>
      <c r="AT344" s="42"/>
    </row>
    <row r="345" spans="1:46" ht="12.9" customHeight="1" x14ac:dyDescent="0.25">
      <c r="A345" s="28" t="s">
        <v>720</v>
      </c>
      <c r="B345" s="29" t="s">
        <v>721</v>
      </c>
      <c r="C345" s="30" t="s">
        <v>42</v>
      </c>
      <c r="D345" s="40">
        <v>29484</v>
      </c>
      <c r="E345" s="26">
        <v>8643</v>
      </c>
      <c r="F345" s="26">
        <f t="shared" si="10"/>
        <v>38127</v>
      </c>
      <c r="G345" s="40">
        <v>25315</v>
      </c>
      <c r="H345" s="26">
        <v>6778</v>
      </c>
      <c r="I345" s="27">
        <f t="shared" si="11"/>
        <v>32093</v>
      </c>
      <c r="J345" s="40">
        <v>17250</v>
      </c>
      <c r="K345" s="26">
        <v>7756</v>
      </c>
      <c r="L345" s="27">
        <v>25006</v>
      </c>
      <c r="M345" s="26">
        <v>27945</v>
      </c>
      <c r="N345" s="26">
        <v>8649</v>
      </c>
      <c r="O345" s="27">
        <v>36594</v>
      </c>
      <c r="P345" s="26">
        <v>26168</v>
      </c>
      <c r="Q345" s="26">
        <v>9455</v>
      </c>
      <c r="R345" s="27">
        <v>35623</v>
      </c>
      <c r="S345" s="26">
        <v>23044</v>
      </c>
      <c r="T345" s="26">
        <v>11220</v>
      </c>
      <c r="U345" s="27">
        <v>34264</v>
      </c>
      <c r="V345" s="26">
        <v>24635</v>
      </c>
      <c r="W345" s="26">
        <v>11020</v>
      </c>
      <c r="X345" s="31">
        <v>35655</v>
      </c>
      <c r="Y345" s="16">
        <v>24635</v>
      </c>
      <c r="Z345" s="16">
        <v>11020</v>
      </c>
      <c r="AA345" s="31">
        <v>35655</v>
      </c>
      <c r="AB345" s="32">
        <v>25445</v>
      </c>
      <c r="AC345" s="16">
        <v>13342</v>
      </c>
      <c r="AD345" s="31">
        <v>38787</v>
      </c>
      <c r="AE345" s="16">
        <v>25445</v>
      </c>
      <c r="AF345" s="16">
        <v>13342</v>
      </c>
      <c r="AG345" s="31">
        <v>38787</v>
      </c>
      <c r="AH345" s="16">
        <v>25445</v>
      </c>
      <c r="AI345" s="16">
        <v>13342</v>
      </c>
      <c r="AJ345" s="31">
        <v>38787</v>
      </c>
      <c r="AK345" s="16">
        <v>25445</v>
      </c>
      <c r="AL345" s="16">
        <v>13342</v>
      </c>
      <c r="AM345" s="31">
        <v>38787</v>
      </c>
      <c r="AN345" s="16">
        <v>25445</v>
      </c>
      <c r="AO345" s="16">
        <v>13342</v>
      </c>
      <c r="AP345" s="31">
        <v>38787</v>
      </c>
      <c r="AQ345" s="42"/>
      <c r="AR345" s="43"/>
      <c r="AS345" s="42"/>
      <c r="AT345" s="42"/>
    </row>
    <row r="346" spans="1:46" ht="12.9" customHeight="1" x14ac:dyDescent="0.25">
      <c r="A346" s="28" t="s">
        <v>722</v>
      </c>
      <c r="B346" s="29" t="s">
        <v>723</v>
      </c>
      <c r="C346" s="30" t="s">
        <v>357</v>
      </c>
      <c r="D346" s="40">
        <v>3843</v>
      </c>
      <c r="E346" s="26">
        <v>701</v>
      </c>
      <c r="F346" s="26">
        <f t="shared" si="10"/>
        <v>4544</v>
      </c>
      <c r="G346" s="40">
        <v>4044</v>
      </c>
      <c r="H346" s="26">
        <v>707</v>
      </c>
      <c r="I346" s="27">
        <f t="shared" si="11"/>
        <v>4751</v>
      </c>
      <c r="J346" s="40">
        <v>4088</v>
      </c>
      <c r="K346" s="26">
        <v>432</v>
      </c>
      <c r="L346" s="27">
        <v>4520</v>
      </c>
      <c r="M346" s="26">
        <v>5313</v>
      </c>
      <c r="N346" s="26">
        <v>414</v>
      </c>
      <c r="O346" s="27">
        <v>5727</v>
      </c>
      <c r="P346" s="26">
        <v>6041</v>
      </c>
      <c r="Q346" s="26">
        <v>648</v>
      </c>
      <c r="R346" s="27">
        <v>6689</v>
      </c>
      <c r="S346" s="26">
        <v>4620</v>
      </c>
      <c r="T346" s="26">
        <v>553</v>
      </c>
      <c r="U346" s="27">
        <v>5173</v>
      </c>
      <c r="V346" s="26">
        <v>4976</v>
      </c>
      <c r="W346" s="26">
        <v>538</v>
      </c>
      <c r="X346" s="31">
        <v>5514</v>
      </c>
      <c r="Y346" s="16">
        <v>4895</v>
      </c>
      <c r="Z346" s="16">
        <v>456</v>
      </c>
      <c r="AA346" s="31">
        <v>5351</v>
      </c>
      <c r="AB346" s="32">
        <v>4602</v>
      </c>
      <c r="AC346" s="16">
        <v>378</v>
      </c>
      <c r="AD346" s="31">
        <v>4980</v>
      </c>
      <c r="AE346" s="16">
        <v>4024</v>
      </c>
      <c r="AF346" s="16">
        <v>608</v>
      </c>
      <c r="AG346" s="31">
        <v>4632</v>
      </c>
      <c r="AH346" s="16">
        <v>4030</v>
      </c>
      <c r="AI346" s="16">
        <v>625</v>
      </c>
      <c r="AJ346" s="31">
        <v>4655</v>
      </c>
      <c r="AK346" s="16">
        <v>5260</v>
      </c>
      <c r="AL346" s="16">
        <v>498</v>
      </c>
      <c r="AM346" s="31">
        <v>5758</v>
      </c>
      <c r="AN346" s="16">
        <v>5260</v>
      </c>
      <c r="AO346" s="16">
        <v>498</v>
      </c>
      <c r="AP346" s="31">
        <v>5758</v>
      </c>
      <c r="AQ346" s="42"/>
      <c r="AR346" s="43"/>
      <c r="AS346" s="42"/>
      <c r="AT346" s="42"/>
    </row>
    <row r="347" spans="1:46" ht="12.9" customHeight="1" x14ac:dyDescent="0.25">
      <c r="A347" s="28" t="s">
        <v>724</v>
      </c>
      <c r="B347" s="29" t="s">
        <v>725</v>
      </c>
      <c r="C347" s="30" t="s">
        <v>34</v>
      </c>
      <c r="D347" s="40">
        <v>37829</v>
      </c>
      <c r="E347" s="26">
        <v>8697</v>
      </c>
      <c r="F347" s="26">
        <f t="shared" si="10"/>
        <v>46526</v>
      </c>
      <c r="G347" s="40">
        <v>37481</v>
      </c>
      <c r="H347" s="26">
        <v>7458</v>
      </c>
      <c r="I347" s="27">
        <f t="shared" si="11"/>
        <v>44939</v>
      </c>
      <c r="J347" s="40">
        <v>37309</v>
      </c>
      <c r="K347" s="26">
        <v>8620</v>
      </c>
      <c r="L347" s="27">
        <v>45929</v>
      </c>
      <c r="M347" s="26">
        <v>40271</v>
      </c>
      <c r="N347" s="26">
        <v>10971</v>
      </c>
      <c r="O347" s="27">
        <v>51242</v>
      </c>
      <c r="P347" s="26">
        <v>40292</v>
      </c>
      <c r="Q347" s="26">
        <v>14409</v>
      </c>
      <c r="R347" s="27">
        <v>54701</v>
      </c>
      <c r="S347" s="26">
        <v>38001</v>
      </c>
      <c r="T347" s="26">
        <v>14550</v>
      </c>
      <c r="U347" s="27">
        <v>52551</v>
      </c>
      <c r="V347" s="26">
        <v>36337</v>
      </c>
      <c r="W347" s="26">
        <v>12412</v>
      </c>
      <c r="X347" s="31">
        <v>48749</v>
      </c>
      <c r="Y347" s="16">
        <v>36066</v>
      </c>
      <c r="Z347" s="16">
        <v>14641</v>
      </c>
      <c r="AA347" s="31">
        <v>50707</v>
      </c>
      <c r="AB347" s="32">
        <v>37433</v>
      </c>
      <c r="AC347" s="16">
        <v>14006</v>
      </c>
      <c r="AD347" s="31">
        <v>51439</v>
      </c>
      <c r="AE347" s="16">
        <v>36567</v>
      </c>
      <c r="AF347" s="16">
        <v>14431</v>
      </c>
      <c r="AG347" s="31">
        <v>50998</v>
      </c>
      <c r="AH347" s="16">
        <v>33528</v>
      </c>
      <c r="AI347" s="16">
        <v>14257</v>
      </c>
      <c r="AJ347" s="31">
        <v>47785</v>
      </c>
      <c r="AK347" s="16">
        <v>33229</v>
      </c>
      <c r="AL347" s="16">
        <v>12808</v>
      </c>
      <c r="AM347" s="31">
        <v>46037</v>
      </c>
      <c r="AN347" s="16">
        <v>32296</v>
      </c>
      <c r="AO347" s="16">
        <v>7367</v>
      </c>
      <c r="AP347" s="31">
        <v>39663</v>
      </c>
      <c r="AQ347" s="42"/>
      <c r="AR347" s="43"/>
      <c r="AS347" s="42"/>
      <c r="AT347" s="42"/>
    </row>
    <row r="348" spans="1:46" ht="12.9" customHeight="1" x14ac:dyDescent="0.25">
      <c r="A348" s="28" t="s">
        <v>726</v>
      </c>
      <c r="B348" s="29" t="s">
        <v>727</v>
      </c>
      <c r="C348" s="30" t="s">
        <v>26</v>
      </c>
      <c r="D348" s="40">
        <v>2260853</v>
      </c>
      <c r="E348" s="26">
        <v>1611563</v>
      </c>
      <c r="F348" s="26">
        <f t="shared" si="10"/>
        <v>3872416</v>
      </c>
      <c r="G348" s="40">
        <v>2256709</v>
      </c>
      <c r="H348" s="26">
        <v>1762874</v>
      </c>
      <c r="I348" s="27">
        <f t="shared" si="11"/>
        <v>4019583</v>
      </c>
      <c r="J348" s="40">
        <v>2298776</v>
      </c>
      <c r="K348" s="26">
        <v>1816792</v>
      </c>
      <c r="L348" s="27">
        <v>4115568</v>
      </c>
      <c r="M348" s="26">
        <v>2346041</v>
      </c>
      <c r="N348" s="26">
        <v>1743415</v>
      </c>
      <c r="O348" s="27">
        <v>4089456</v>
      </c>
      <c r="P348" s="26">
        <v>2462738</v>
      </c>
      <c r="Q348" s="26">
        <v>1657375</v>
      </c>
      <c r="R348" s="27">
        <v>4120113</v>
      </c>
      <c r="S348" s="26">
        <v>2262456</v>
      </c>
      <c r="T348" s="26">
        <v>1857574</v>
      </c>
      <c r="U348" s="27">
        <v>4120030</v>
      </c>
      <c r="V348" s="26">
        <v>2217414</v>
      </c>
      <c r="W348" s="26">
        <v>1881280</v>
      </c>
      <c r="X348" s="31">
        <v>4098694</v>
      </c>
      <c r="Y348" s="16">
        <v>2212091</v>
      </c>
      <c r="Z348" s="16">
        <v>1885547</v>
      </c>
      <c r="AA348" s="31">
        <v>4097638</v>
      </c>
      <c r="AB348" s="32">
        <v>2203808</v>
      </c>
      <c r="AC348" s="16">
        <v>1797288</v>
      </c>
      <c r="AD348" s="31">
        <v>4001096</v>
      </c>
      <c r="AE348" s="16">
        <v>2191241</v>
      </c>
      <c r="AF348" s="16">
        <v>1683601</v>
      </c>
      <c r="AG348" s="31">
        <v>3874842</v>
      </c>
      <c r="AH348" s="16">
        <v>2147753</v>
      </c>
      <c r="AI348" s="16">
        <v>1754235</v>
      </c>
      <c r="AJ348" s="31">
        <v>3901988</v>
      </c>
      <c r="AK348" s="16">
        <v>2179514</v>
      </c>
      <c r="AL348" s="16">
        <v>1926340</v>
      </c>
      <c r="AM348" s="31">
        <v>4105854</v>
      </c>
      <c r="AN348" s="16">
        <v>2051943</v>
      </c>
      <c r="AO348" s="16">
        <v>2339186</v>
      </c>
      <c r="AP348" s="31">
        <v>4391129</v>
      </c>
      <c r="AQ348" s="42"/>
      <c r="AR348" s="43"/>
      <c r="AS348" s="42"/>
      <c r="AT348" s="42"/>
    </row>
    <row r="349" spans="1:46" ht="12.9" customHeight="1" x14ac:dyDescent="0.25">
      <c r="A349" s="28" t="s">
        <v>728</v>
      </c>
      <c r="B349" s="29" t="s">
        <v>729</v>
      </c>
      <c r="C349" s="30" t="s">
        <v>281</v>
      </c>
      <c r="D349" s="40">
        <v>1849</v>
      </c>
      <c r="E349" s="26">
        <v>28945</v>
      </c>
      <c r="F349" s="26">
        <f t="shared" si="10"/>
        <v>30794</v>
      </c>
      <c r="G349" s="40">
        <v>1588</v>
      </c>
      <c r="H349" s="26">
        <v>30358</v>
      </c>
      <c r="I349" s="27">
        <f t="shared" si="11"/>
        <v>31946</v>
      </c>
      <c r="J349" s="40">
        <v>1615</v>
      </c>
      <c r="K349" s="26">
        <v>30661</v>
      </c>
      <c r="L349" s="27">
        <v>32276</v>
      </c>
      <c r="M349" s="26">
        <v>2407</v>
      </c>
      <c r="N349" s="26">
        <v>43261</v>
      </c>
      <c r="O349" s="27">
        <v>45668</v>
      </c>
      <c r="P349" s="26">
        <v>1789</v>
      </c>
      <c r="Q349" s="26">
        <v>16802</v>
      </c>
      <c r="R349" s="27">
        <v>18591</v>
      </c>
      <c r="S349" s="26">
        <v>1782</v>
      </c>
      <c r="T349" s="26">
        <v>993</v>
      </c>
      <c r="U349" s="27">
        <v>2775</v>
      </c>
      <c r="V349" s="26">
        <v>1644</v>
      </c>
      <c r="W349" s="26">
        <v>14571</v>
      </c>
      <c r="X349" s="31">
        <v>16215</v>
      </c>
      <c r="Y349" s="16">
        <v>13019</v>
      </c>
      <c r="Z349" s="16">
        <v>5352</v>
      </c>
      <c r="AA349" s="31">
        <v>18371</v>
      </c>
      <c r="AB349" s="32">
        <v>13019</v>
      </c>
      <c r="AC349" s="16">
        <v>5352</v>
      </c>
      <c r="AD349" s="31">
        <v>18371</v>
      </c>
      <c r="AE349" s="16">
        <v>13019</v>
      </c>
      <c r="AF349" s="16">
        <v>5352</v>
      </c>
      <c r="AG349" s="31">
        <v>18371</v>
      </c>
      <c r="AH349" s="16">
        <v>11424.097534281851</v>
      </c>
      <c r="AI349" s="16">
        <v>5352</v>
      </c>
      <c r="AJ349" s="31">
        <v>16776.097534281849</v>
      </c>
      <c r="AK349" s="16">
        <v>11424.097534281851</v>
      </c>
      <c r="AL349" s="16">
        <v>5352</v>
      </c>
      <c r="AM349" s="31">
        <v>16776.097534281849</v>
      </c>
      <c r="AN349" s="16">
        <v>11424.097534281851</v>
      </c>
      <c r="AO349" s="16">
        <v>5352</v>
      </c>
      <c r="AP349" s="31">
        <v>16776.097534281849</v>
      </c>
      <c r="AQ349" s="42"/>
      <c r="AR349" s="43"/>
      <c r="AS349" s="42"/>
      <c r="AT349" s="42"/>
    </row>
    <row r="350" spans="1:46" ht="12.9" customHeight="1" x14ac:dyDescent="0.25">
      <c r="A350" s="28" t="s">
        <v>730</v>
      </c>
      <c r="B350" s="29" t="s">
        <v>731</v>
      </c>
      <c r="C350" s="30" t="s">
        <v>42</v>
      </c>
      <c r="D350" s="40">
        <v>6016</v>
      </c>
      <c r="E350" s="26">
        <v>916</v>
      </c>
      <c r="F350" s="26">
        <f t="shared" si="10"/>
        <v>6932</v>
      </c>
      <c r="G350" s="40">
        <v>5859</v>
      </c>
      <c r="H350" s="26">
        <v>1217</v>
      </c>
      <c r="I350" s="27">
        <f t="shared" si="11"/>
        <v>7076</v>
      </c>
      <c r="J350" s="40">
        <v>5984</v>
      </c>
      <c r="K350" s="26">
        <v>705</v>
      </c>
      <c r="L350" s="27">
        <v>6689</v>
      </c>
      <c r="M350" s="26">
        <v>6388</v>
      </c>
      <c r="N350" s="26">
        <v>651</v>
      </c>
      <c r="O350" s="27">
        <v>7039</v>
      </c>
      <c r="P350" s="26">
        <v>6913</v>
      </c>
      <c r="Q350" s="26">
        <v>899</v>
      </c>
      <c r="R350" s="27">
        <v>7812</v>
      </c>
      <c r="S350" s="26">
        <v>6512</v>
      </c>
      <c r="T350" s="26">
        <v>1889</v>
      </c>
      <c r="U350" s="27">
        <v>8401</v>
      </c>
      <c r="V350" s="26">
        <v>5602</v>
      </c>
      <c r="W350" s="26">
        <v>2639</v>
      </c>
      <c r="X350" s="31">
        <v>8241</v>
      </c>
      <c r="Y350" s="16">
        <v>6282</v>
      </c>
      <c r="Z350" s="16">
        <v>4435</v>
      </c>
      <c r="AA350" s="31">
        <v>10717</v>
      </c>
      <c r="AB350" s="32">
        <v>5839</v>
      </c>
      <c r="AC350" s="16">
        <v>952</v>
      </c>
      <c r="AD350" s="31">
        <v>6791</v>
      </c>
      <c r="AE350" s="16">
        <v>5823</v>
      </c>
      <c r="AF350" s="16">
        <v>1345</v>
      </c>
      <c r="AG350" s="31">
        <v>7168</v>
      </c>
      <c r="AH350" s="16">
        <v>6572</v>
      </c>
      <c r="AI350" s="16">
        <v>5835</v>
      </c>
      <c r="AJ350" s="31">
        <v>12407</v>
      </c>
      <c r="AK350" s="16">
        <v>7052</v>
      </c>
      <c r="AL350" s="16">
        <v>1465</v>
      </c>
      <c r="AM350" s="31">
        <v>8517</v>
      </c>
      <c r="AN350" s="16">
        <v>8933</v>
      </c>
      <c r="AO350" s="16">
        <v>1407</v>
      </c>
      <c r="AP350" s="31">
        <v>10340</v>
      </c>
      <c r="AQ350" s="42"/>
      <c r="AR350" s="43"/>
      <c r="AS350" s="42"/>
      <c r="AT350" s="42"/>
    </row>
    <row r="351" spans="1:46" ht="12.9" customHeight="1" x14ac:dyDescent="0.25">
      <c r="A351" s="28" t="s">
        <v>732</v>
      </c>
      <c r="B351" s="29" t="s">
        <v>733</v>
      </c>
      <c r="C351" s="30" t="s">
        <v>281</v>
      </c>
      <c r="D351" s="40">
        <v>5500</v>
      </c>
      <c r="E351" s="26">
        <v>10</v>
      </c>
      <c r="F351" s="26">
        <f t="shared" si="10"/>
        <v>5510</v>
      </c>
      <c r="G351" s="40">
        <v>6116</v>
      </c>
      <c r="H351" s="26">
        <v>0</v>
      </c>
      <c r="I351" s="27">
        <f t="shared" si="11"/>
        <v>6116</v>
      </c>
      <c r="J351" s="40">
        <v>7029</v>
      </c>
      <c r="K351" s="26">
        <v>0</v>
      </c>
      <c r="L351" s="27">
        <v>7029</v>
      </c>
      <c r="M351" s="26">
        <v>5573</v>
      </c>
      <c r="N351" s="26">
        <v>0</v>
      </c>
      <c r="O351" s="27">
        <v>5573</v>
      </c>
      <c r="P351" s="26">
        <v>5858</v>
      </c>
      <c r="Q351" s="26">
        <v>0</v>
      </c>
      <c r="R351" s="27">
        <v>5858</v>
      </c>
      <c r="S351" s="26">
        <v>5148</v>
      </c>
      <c r="T351" s="26">
        <v>0</v>
      </c>
      <c r="U351" s="27">
        <v>5148</v>
      </c>
      <c r="V351" s="26">
        <v>5665</v>
      </c>
      <c r="W351" s="26">
        <v>0</v>
      </c>
      <c r="X351" s="31">
        <v>5665</v>
      </c>
      <c r="Y351" s="16">
        <v>5399</v>
      </c>
      <c r="Z351" s="16">
        <v>0</v>
      </c>
      <c r="AA351" s="31">
        <v>5399</v>
      </c>
      <c r="AB351" s="32">
        <v>5814</v>
      </c>
      <c r="AC351" s="16">
        <v>0</v>
      </c>
      <c r="AD351" s="31">
        <v>5814</v>
      </c>
      <c r="AE351" s="16">
        <v>5360</v>
      </c>
      <c r="AF351" s="16">
        <v>0</v>
      </c>
      <c r="AG351" s="31">
        <v>5360</v>
      </c>
      <c r="AH351" s="16">
        <v>5054</v>
      </c>
      <c r="AI351" s="16">
        <v>0</v>
      </c>
      <c r="AJ351" s="31">
        <v>5054</v>
      </c>
      <c r="AK351" s="16">
        <v>6480</v>
      </c>
      <c r="AL351" s="16">
        <v>0</v>
      </c>
      <c r="AM351" s="31">
        <v>6480</v>
      </c>
      <c r="AN351" s="16">
        <v>5583</v>
      </c>
      <c r="AO351" s="16">
        <v>0</v>
      </c>
      <c r="AP351" s="31">
        <v>5583</v>
      </c>
      <c r="AQ351" s="42"/>
      <c r="AR351" s="43"/>
      <c r="AS351" s="42"/>
      <c r="AT351" s="42"/>
    </row>
    <row r="352" spans="1:46" ht="12.9" customHeight="1" x14ac:dyDescent="0.25">
      <c r="A352" s="28" t="s">
        <v>734</v>
      </c>
      <c r="B352" s="29" t="s">
        <v>735</v>
      </c>
      <c r="C352" s="30" t="s">
        <v>249</v>
      </c>
      <c r="D352" s="40">
        <v>6993</v>
      </c>
      <c r="E352" s="26">
        <v>6914</v>
      </c>
      <c r="F352" s="26">
        <f t="shared" si="10"/>
        <v>13907</v>
      </c>
      <c r="G352" s="40">
        <v>7853</v>
      </c>
      <c r="H352" s="26">
        <v>8405</v>
      </c>
      <c r="I352" s="27">
        <f t="shared" si="11"/>
        <v>16258</v>
      </c>
      <c r="J352" s="40">
        <v>7878</v>
      </c>
      <c r="K352" s="26">
        <v>11001</v>
      </c>
      <c r="L352" s="27">
        <v>18879</v>
      </c>
      <c r="M352" s="26">
        <v>9194</v>
      </c>
      <c r="N352" s="26">
        <v>12014</v>
      </c>
      <c r="O352" s="27">
        <v>21208</v>
      </c>
      <c r="P352" s="26">
        <v>8510</v>
      </c>
      <c r="Q352" s="26">
        <v>16222</v>
      </c>
      <c r="R352" s="27">
        <v>24732</v>
      </c>
      <c r="S352" s="26">
        <v>7761</v>
      </c>
      <c r="T352" s="26">
        <v>17660</v>
      </c>
      <c r="U352" s="27">
        <v>25421</v>
      </c>
      <c r="V352" s="26">
        <v>8376</v>
      </c>
      <c r="W352" s="26">
        <v>13848</v>
      </c>
      <c r="X352" s="31">
        <v>22224</v>
      </c>
      <c r="Y352" s="16">
        <v>9449</v>
      </c>
      <c r="Z352" s="16">
        <v>14835</v>
      </c>
      <c r="AA352" s="31">
        <v>24284</v>
      </c>
      <c r="AB352" s="32">
        <v>8911</v>
      </c>
      <c r="AC352" s="16">
        <v>16880</v>
      </c>
      <c r="AD352" s="31">
        <v>25791</v>
      </c>
      <c r="AE352" s="16">
        <v>8720</v>
      </c>
      <c r="AF352" s="16">
        <v>16091</v>
      </c>
      <c r="AG352" s="31">
        <v>24811</v>
      </c>
      <c r="AH352" s="16">
        <v>9647</v>
      </c>
      <c r="AI352" s="16">
        <v>17439</v>
      </c>
      <c r="AJ352" s="31">
        <v>27086</v>
      </c>
      <c r="AK352" s="16">
        <v>7656</v>
      </c>
      <c r="AL352" s="16">
        <v>13852</v>
      </c>
      <c r="AM352" s="31">
        <v>21508</v>
      </c>
      <c r="AN352" s="16">
        <v>7656</v>
      </c>
      <c r="AO352" s="16">
        <v>13670</v>
      </c>
      <c r="AP352" s="31">
        <v>21326</v>
      </c>
      <c r="AQ352" s="42"/>
      <c r="AR352" s="43"/>
      <c r="AS352" s="42"/>
      <c r="AT352" s="42"/>
    </row>
    <row r="353" spans="1:46" ht="12.9" customHeight="1" x14ac:dyDescent="0.25">
      <c r="A353" s="28" t="s">
        <v>736</v>
      </c>
      <c r="B353" s="29" t="s">
        <v>737</v>
      </c>
      <c r="C353" s="30" t="s">
        <v>26</v>
      </c>
      <c r="D353" s="40">
        <v>83858</v>
      </c>
      <c r="E353" s="26">
        <v>106785</v>
      </c>
      <c r="F353" s="26">
        <f t="shared" si="10"/>
        <v>190643</v>
      </c>
      <c r="G353" s="40">
        <v>91179</v>
      </c>
      <c r="H353" s="26">
        <v>108579</v>
      </c>
      <c r="I353" s="27">
        <f t="shared" si="11"/>
        <v>199758</v>
      </c>
      <c r="J353" s="40">
        <v>99057</v>
      </c>
      <c r="K353" s="26">
        <v>105550</v>
      </c>
      <c r="L353" s="27">
        <v>204607</v>
      </c>
      <c r="M353" s="26">
        <v>110576</v>
      </c>
      <c r="N353" s="26">
        <v>78902</v>
      </c>
      <c r="O353" s="27">
        <v>189478</v>
      </c>
      <c r="P353" s="26">
        <v>102948</v>
      </c>
      <c r="Q353" s="26">
        <v>76023</v>
      </c>
      <c r="R353" s="27">
        <v>178971</v>
      </c>
      <c r="S353" s="26">
        <v>102823</v>
      </c>
      <c r="T353" s="26">
        <v>79622</v>
      </c>
      <c r="U353" s="27">
        <v>182445</v>
      </c>
      <c r="V353" s="26">
        <v>90351</v>
      </c>
      <c r="W353" s="26">
        <v>70821</v>
      </c>
      <c r="X353" s="31">
        <v>161172</v>
      </c>
      <c r="Y353" s="16">
        <v>96893</v>
      </c>
      <c r="Z353" s="16">
        <v>79061</v>
      </c>
      <c r="AA353" s="31">
        <v>175954</v>
      </c>
      <c r="AB353" s="32">
        <v>89081</v>
      </c>
      <c r="AC353" s="16">
        <v>79209</v>
      </c>
      <c r="AD353" s="31">
        <v>168290</v>
      </c>
      <c r="AE353" s="16">
        <v>89193</v>
      </c>
      <c r="AF353" s="16">
        <v>87198</v>
      </c>
      <c r="AG353" s="31">
        <v>176391</v>
      </c>
      <c r="AH353" s="16">
        <v>92537</v>
      </c>
      <c r="AI353" s="16">
        <v>78090</v>
      </c>
      <c r="AJ353" s="31">
        <v>170627</v>
      </c>
      <c r="AK353" s="16">
        <v>90161</v>
      </c>
      <c r="AL353" s="16">
        <v>64869</v>
      </c>
      <c r="AM353" s="31">
        <v>155030</v>
      </c>
      <c r="AN353" s="16">
        <v>99089</v>
      </c>
      <c r="AO353" s="16">
        <v>74470</v>
      </c>
      <c r="AP353" s="31">
        <v>173559</v>
      </c>
      <c r="AQ353" s="42"/>
      <c r="AR353" s="43"/>
      <c r="AS353" s="42"/>
      <c r="AT353" s="42"/>
    </row>
    <row r="354" spans="1:46" ht="12.9" customHeight="1" x14ac:dyDescent="0.25">
      <c r="A354" s="28" t="s">
        <v>738</v>
      </c>
      <c r="B354" s="29" t="s">
        <v>739</v>
      </c>
      <c r="C354" s="30" t="s">
        <v>59</v>
      </c>
      <c r="D354" s="40">
        <v>34049</v>
      </c>
      <c r="E354" s="26">
        <v>471408</v>
      </c>
      <c r="F354" s="26">
        <f t="shared" si="10"/>
        <v>505457</v>
      </c>
      <c r="G354" s="40">
        <v>37366</v>
      </c>
      <c r="H354" s="26">
        <v>409722</v>
      </c>
      <c r="I354" s="27">
        <f t="shared" si="11"/>
        <v>447088</v>
      </c>
      <c r="J354" s="40">
        <v>47420</v>
      </c>
      <c r="K354" s="26">
        <v>498437</v>
      </c>
      <c r="L354" s="27">
        <v>545857</v>
      </c>
      <c r="M354" s="26">
        <v>42795</v>
      </c>
      <c r="N354" s="26">
        <v>534951</v>
      </c>
      <c r="O354" s="27">
        <v>577746</v>
      </c>
      <c r="P354" s="26">
        <v>38950</v>
      </c>
      <c r="Q354" s="26">
        <v>688734</v>
      </c>
      <c r="R354" s="27">
        <v>727684</v>
      </c>
      <c r="S354" s="26">
        <v>33417</v>
      </c>
      <c r="T354" s="26">
        <v>676594</v>
      </c>
      <c r="U354" s="27">
        <v>710011</v>
      </c>
      <c r="V354" s="26">
        <v>30074</v>
      </c>
      <c r="W354" s="26">
        <v>547325</v>
      </c>
      <c r="X354" s="31">
        <v>577399</v>
      </c>
      <c r="Y354" s="16">
        <v>30847</v>
      </c>
      <c r="Z354" s="16">
        <v>612240</v>
      </c>
      <c r="AA354" s="31">
        <v>643087</v>
      </c>
      <c r="AB354" s="32">
        <v>29623</v>
      </c>
      <c r="AC354" s="16">
        <v>477379</v>
      </c>
      <c r="AD354" s="31">
        <v>507002</v>
      </c>
      <c r="AE354" s="16">
        <v>32634</v>
      </c>
      <c r="AF354" s="16">
        <v>442207</v>
      </c>
      <c r="AG354" s="31">
        <v>474841</v>
      </c>
      <c r="AH354" s="16">
        <v>25575</v>
      </c>
      <c r="AI354" s="16">
        <v>50565</v>
      </c>
      <c r="AJ354" s="31">
        <v>76140</v>
      </c>
      <c r="AK354" s="16">
        <v>26633</v>
      </c>
      <c r="AL354" s="16">
        <v>406431</v>
      </c>
      <c r="AM354" s="31">
        <v>433064</v>
      </c>
      <c r="AN354" s="16">
        <v>30457</v>
      </c>
      <c r="AO354" s="16">
        <v>547017</v>
      </c>
      <c r="AP354" s="31">
        <v>577474</v>
      </c>
      <c r="AQ354" s="42"/>
      <c r="AR354" s="43"/>
      <c r="AS354" s="42"/>
      <c r="AT354" s="42"/>
    </row>
    <row r="355" spans="1:46" ht="12.9" customHeight="1" x14ac:dyDescent="0.25">
      <c r="A355" s="28" t="s">
        <v>740</v>
      </c>
      <c r="B355" s="29" t="s">
        <v>741</v>
      </c>
      <c r="C355" s="30" t="s">
        <v>184</v>
      </c>
      <c r="D355" s="40">
        <v>30878</v>
      </c>
      <c r="E355" s="26">
        <v>8274</v>
      </c>
      <c r="F355" s="26">
        <f t="shared" si="10"/>
        <v>39152</v>
      </c>
      <c r="G355" s="40">
        <v>31625</v>
      </c>
      <c r="H355" s="26">
        <v>8011</v>
      </c>
      <c r="I355" s="27">
        <f t="shared" si="11"/>
        <v>39636</v>
      </c>
      <c r="J355" s="40">
        <v>32643</v>
      </c>
      <c r="K355" s="26">
        <v>7805</v>
      </c>
      <c r="L355" s="27">
        <v>40448</v>
      </c>
      <c r="M355" s="26">
        <v>32611</v>
      </c>
      <c r="N355" s="26">
        <v>7805</v>
      </c>
      <c r="O355" s="27">
        <v>40416</v>
      </c>
      <c r="P355" s="26">
        <v>26805</v>
      </c>
      <c r="Q355" s="26">
        <v>5468</v>
      </c>
      <c r="R355" s="27">
        <v>32273</v>
      </c>
      <c r="S355" s="26">
        <v>29836</v>
      </c>
      <c r="T355" s="26">
        <v>7011</v>
      </c>
      <c r="U355" s="27">
        <v>36847</v>
      </c>
      <c r="V355" s="26">
        <v>28626</v>
      </c>
      <c r="W355" s="26">
        <v>8779</v>
      </c>
      <c r="X355" s="31">
        <v>37405</v>
      </c>
      <c r="Y355" s="16">
        <v>30155</v>
      </c>
      <c r="Z355" s="16">
        <v>8612</v>
      </c>
      <c r="AA355" s="31">
        <v>38767</v>
      </c>
      <c r="AB355" s="32">
        <v>28661.333333333332</v>
      </c>
      <c r="AC355" s="16">
        <v>6832</v>
      </c>
      <c r="AD355" s="31">
        <v>35493.333333333328</v>
      </c>
      <c r="AE355" s="16">
        <v>30159</v>
      </c>
      <c r="AF355" s="16">
        <v>7441</v>
      </c>
      <c r="AG355" s="31">
        <v>37600</v>
      </c>
      <c r="AH355" s="16">
        <v>30368</v>
      </c>
      <c r="AI355" s="16">
        <v>6820</v>
      </c>
      <c r="AJ355" s="31">
        <v>37188</v>
      </c>
      <c r="AK355" s="16">
        <v>32003</v>
      </c>
      <c r="AL355" s="16">
        <v>6966</v>
      </c>
      <c r="AM355" s="31">
        <v>38969</v>
      </c>
      <c r="AN355" s="16">
        <v>43742</v>
      </c>
      <c r="AO355" s="16">
        <v>9416</v>
      </c>
      <c r="AP355" s="31">
        <v>53158</v>
      </c>
      <c r="AQ355" s="42"/>
      <c r="AR355" s="43"/>
      <c r="AS355" s="42"/>
      <c r="AT355" s="42"/>
    </row>
    <row r="356" spans="1:46" ht="12.9" customHeight="1" x14ac:dyDescent="0.25">
      <c r="A356" s="28" t="s">
        <v>742</v>
      </c>
      <c r="B356" s="29" t="s">
        <v>743</v>
      </c>
      <c r="C356" s="30" t="s">
        <v>249</v>
      </c>
      <c r="D356" s="40">
        <v>7986</v>
      </c>
      <c r="E356" s="26">
        <v>4004</v>
      </c>
      <c r="F356" s="26">
        <f t="shared" si="10"/>
        <v>11990</v>
      </c>
      <c r="G356" s="40">
        <v>8752</v>
      </c>
      <c r="H356" s="26">
        <v>4477</v>
      </c>
      <c r="I356" s="27">
        <f t="shared" si="11"/>
        <v>13229</v>
      </c>
      <c r="J356" s="40">
        <v>8953</v>
      </c>
      <c r="K356" s="26">
        <v>4651</v>
      </c>
      <c r="L356" s="27">
        <v>13604</v>
      </c>
      <c r="M356" s="26">
        <v>11353</v>
      </c>
      <c r="N356" s="26">
        <v>3477</v>
      </c>
      <c r="O356" s="27">
        <v>14830</v>
      </c>
      <c r="P356" s="26">
        <v>9849</v>
      </c>
      <c r="Q356" s="26">
        <v>3456</v>
      </c>
      <c r="R356" s="27">
        <v>13305</v>
      </c>
      <c r="S356" s="26">
        <v>8822</v>
      </c>
      <c r="T356" s="26">
        <v>4023</v>
      </c>
      <c r="U356" s="27">
        <v>12845</v>
      </c>
      <c r="V356" s="26">
        <v>8539</v>
      </c>
      <c r="W356" s="26">
        <v>3757</v>
      </c>
      <c r="X356" s="31">
        <v>12296</v>
      </c>
      <c r="Y356" s="16">
        <v>9458</v>
      </c>
      <c r="Z356" s="16">
        <v>4190</v>
      </c>
      <c r="AA356" s="31">
        <v>13648</v>
      </c>
      <c r="AB356" s="32">
        <v>7972</v>
      </c>
      <c r="AC356" s="16">
        <v>3027</v>
      </c>
      <c r="AD356" s="31">
        <v>10999</v>
      </c>
      <c r="AE356" s="16">
        <v>9342</v>
      </c>
      <c r="AF356" s="16">
        <v>3599</v>
      </c>
      <c r="AG356" s="31">
        <v>12941</v>
      </c>
      <c r="AH356" s="16">
        <v>9212</v>
      </c>
      <c r="AI356" s="16">
        <v>3790</v>
      </c>
      <c r="AJ356" s="31">
        <v>13002</v>
      </c>
      <c r="AK356" s="16">
        <v>10536</v>
      </c>
      <c r="AL356" s="16">
        <v>3736</v>
      </c>
      <c r="AM356" s="31">
        <v>14272</v>
      </c>
      <c r="AN356" s="16">
        <v>10536</v>
      </c>
      <c r="AO356" s="16">
        <v>3736</v>
      </c>
      <c r="AP356" s="31">
        <v>14272</v>
      </c>
      <c r="AQ356" s="42"/>
      <c r="AR356" s="43"/>
      <c r="AS356" s="42"/>
      <c r="AT356" s="42"/>
    </row>
    <row r="357" spans="1:46" ht="12.9" customHeight="1" x14ac:dyDescent="0.25">
      <c r="A357" s="28" t="s">
        <v>744</v>
      </c>
      <c r="B357" s="29" t="s">
        <v>745</v>
      </c>
      <c r="C357" s="30" t="s">
        <v>110</v>
      </c>
      <c r="D357" s="40">
        <v>45599</v>
      </c>
      <c r="E357" s="26">
        <v>151594</v>
      </c>
      <c r="F357" s="26">
        <f t="shared" si="10"/>
        <v>197193</v>
      </c>
      <c r="G357" s="40">
        <v>29339</v>
      </c>
      <c r="H357" s="26">
        <v>145761</v>
      </c>
      <c r="I357" s="27">
        <f t="shared" si="11"/>
        <v>175100</v>
      </c>
      <c r="J357" s="40">
        <v>33765</v>
      </c>
      <c r="K357" s="26">
        <v>150756</v>
      </c>
      <c r="L357" s="27">
        <v>184521</v>
      </c>
      <c r="M357" s="26">
        <v>31104</v>
      </c>
      <c r="N357" s="26">
        <v>122608</v>
      </c>
      <c r="O357" s="27">
        <v>153712</v>
      </c>
      <c r="P357" s="26">
        <v>30801</v>
      </c>
      <c r="Q357" s="26">
        <v>123988</v>
      </c>
      <c r="R357" s="27">
        <v>154789</v>
      </c>
      <c r="S357" s="26">
        <v>22561</v>
      </c>
      <c r="T357" s="26">
        <v>138715</v>
      </c>
      <c r="U357" s="27">
        <v>161276</v>
      </c>
      <c r="V357" s="26">
        <v>32133</v>
      </c>
      <c r="W357" s="26">
        <v>96360</v>
      </c>
      <c r="X357" s="31">
        <v>128493</v>
      </c>
      <c r="Y357" s="16">
        <v>31486</v>
      </c>
      <c r="Z357" s="16">
        <v>113422</v>
      </c>
      <c r="AA357" s="31">
        <v>144908</v>
      </c>
      <c r="AB357" s="32">
        <v>28174</v>
      </c>
      <c r="AC357" s="16">
        <v>109671</v>
      </c>
      <c r="AD357" s="31">
        <v>137845</v>
      </c>
      <c r="AE357" s="16">
        <v>36427</v>
      </c>
      <c r="AF357" s="16">
        <v>87452</v>
      </c>
      <c r="AG357" s="31">
        <v>123879</v>
      </c>
      <c r="AH357" s="16">
        <v>42283</v>
      </c>
      <c r="AI357" s="16">
        <v>45031</v>
      </c>
      <c r="AJ357" s="31">
        <v>87314</v>
      </c>
      <c r="AK357" s="16">
        <v>25940</v>
      </c>
      <c r="AL357" s="16">
        <v>22475</v>
      </c>
      <c r="AM357" s="31">
        <v>48415</v>
      </c>
      <c r="AN357" s="16">
        <v>37464</v>
      </c>
      <c r="AO357" s="16">
        <v>29081</v>
      </c>
      <c r="AP357" s="31">
        <v>66545</v>
      </c>
      <c r="AQ357" s="42"/>
      <c r="AR357" s="43"/>
      <c r="AS357" s="42"/>
      <c r="AT357" s="42"/>
    </row>
    <row r="358" spans="1:46" ht="12.9" customHeight="1" x14ac:dyDescent="0.25">
      <c r="A358" s="28" t="s">
        <v>746</v>
      </c>
      <c r="B358" s="29" t="s">
        <v>747</v>
      </c>
      <c r="C358" s="30" t="s">
        <v>17</v>
      </c>
      <c r="D358" s="40">
        <v>13260</v>
      </c>
      <c r="E358" s="26">
        <v>18636</v>
      </c>
      <c r="F358" s="26">
        <f t="shared" si="10"/>
        <v>31896</v>
      </c>
      <c r="G358" s="40">
        <v>13103</v>
      </c>
      <c r="H358" s="26">
        <v>13299</v>
      </c>
      <c r="I358" s="27">
        <f t="shared" si="11"/>
        <v>26402</v>
      </c>
      <c r="J358" s="40">
        <v>14033</v>
      </c>
      <c r="K358" s="26">
        <v>14465</v>
      </c>
      <c r="L358" s="27">
        <v>28498</v>
      </c>
      <c r="M358" s="26">
        <v>13123</v>
      </c>
      <c r="N358" s="26">
        <v>12314</v>
      </c>
      <c r="O358" s="27">
        <v>25437</v>
      </c>
      <c r="P358" s="26">
        <v>13516</v>
      </c>
      <c r="Q358" s="26">
        <v>719</v>
      </c>
      <c r="R358" s="27">
        <v>14235</v>
      </c>
      <c r="S358" s="26">
        <v>12451</v>
      </c>
      <c r="T358" s="26">
        <v>766</v>
      </c>
      <c r="U358" s="27">
        <v>13217</v>
      </c>
      <c r="V358" s="26">
        <v>13152</v>
      </c>
      <c r="W358" s="26">
        <v>0</v>
      </c>
      <c r="X358" s="31">
        <v>13152</v>
      </c>
      <c r="Y358" s="16">
        <v>15089.333333333332</v>
      </c>
      <c r="Z358" s="16">
        <v>0</v>
      </c>
      <c r="AA358" s="31">
        <v>15089.333333333332</v>
      </c>
      <c r="AB358" s="32">
        <v>15089.333333333332</v>
      </c>
      <c r="AC358" s="16">
        <v>0</v>
      </c>
      <c r="AD358" s="31">
        <v>15089.333333333332</v>
      </c>
      <c r="AE358" s="16">
        <v>14902</v>
      </c>
      <c r="AF358" s="16">
        <v>0</v>
      </c>
      <c r="AG358" s="31">
        <v>14902</v>
      </c>
      <c r="AH358" s="16">
        <v>14975</v>
      </c>
      <c r="AI358" s="16">
        <v>0</v>
      </c>
      <c r="AJ358" s="31">
        <v>14975</v>
      </c>
      <c r="AK358" s="16">
        <v>15712</v>
      </c>
      <c r="AL358" s="16">
        <v>0</v>
      </c>
      <c r="AM358" s="31">
        <v>15712</v>
      </c>
      <c r="AN358" s="16">
        <v>19561</v>
      </c>
      <c r="AO358" s="16">
        <v>0</v>
      </c>
      <c r="AP358" s="31">
        <v>19561</v>
      </c>
      <c r="AQ358" s="42"/>
      <c r="AR358" s="43"/>
      <c r="AS358" s="42"/>
      <c r="AT358" s="42"/>
    </row>
    <row r="359" spans="1:46" ht="12.9" customHeight="1" x14ac:dyDescent="0.25">
      <c r="A359" s="28" t="s">
        <v>748</v>
      </c>
      <c r="B359" s="29" t="s">
        <v>749</v>
      </c>
      <c r="C359" s="30" t="s">
        <v>95</v>
      </c>
      <c r="D359" s="40">
        <v>46224</v>
      </c>
      <c r="E359" s="26">
        <v>10975</v>
      </c>
      <c r="F359" s="26">
        <f t="shared" si="10"/>
        <v>57199</v>
      </c>
      <c r="G359" s="40">
        <v>46224</v>
      </c>
      <c r="H359" s="26">
        <v>11032</v>
      </c>
      <c r="I359" s="27">
        <f t="shared" si="11"/>
        <v>57256</v>
      </c>
      <c r="J359" s="40">
        <v>46764</v>
      </c>
      <c r="K359" s="26">
        <v>10009</v>
      </c>
      <c r="L359" s="27">
        <v>56773</v>
      </c>
      <c r="M359" s="26">
        <v>46764</v>
      </c>
      <c r="N359" s="26">
        <v>3204</v>
      </c>
      <c r="O359" s="27">
        <v>49968</v>
      </c>
      <c r="P359" s="26">
        <v>46440</v>
      </c>
      <c r="Q359" s="26">
        <v>9990</v>
      </c>
      <c r="R359" s="27">
        <v>56430</v>
      </c>
      <c r="S359" s="26">
        <v>46332</v>
      </c>
      <c r="T359" s="26">
        <v>10004</v>
      </c>
      <c r="U359" s="27">
        <v>56336</v>
      </c>
      <c r="V359" s="26">
        <v>46224</v>
      </c>
      <c r="W359" s="26">
        <v>14853</v>
      </c>
      <c r="X359" s="31">
        <v>61077</v>
      </c>
      <c r="Y359" s="16">
        <v>45468</v>
      </c>
      <c r="Z359" s="16">
        <v>10640</v>
      </c>
      <c r="AA359" s="31">
        <v>56108</v>
      </c>
      <c r="AB359" s="32">
        <v>45360</v>
      </c>
      <c r="AC359" s="16">
        <v>12479</v>
      </c>
      <c r="AD359" s="31">
        <v>57839</v>
      </c>
      <c r="AE359" s="16">
        <v>44820</v>
      </c>
      <c r="AF359" s="16">
        <v>11244</v>
      </c>
      <c r="AG359" s="31">
        <v>56064</v>
      </c>
      <c r="AH359" s="16">
        <v>44712</v>
      </c>
      <c r="AI359" s="16">
        <v>11266</v>
      </c>
      <c r="AJ359" s="31">
        <v>55978</v>
      </c>
      <c r="AK359" s="16">
        <v>44928</v>
      </c>
      <c r="AL359" s="16">
        <v>12538</v>
      </c>
      <c r="AM359" s="31">
        <v>57466</v>
      </c>
      <c r="AN359" s="16">
        <v>44712</v>
      </c>
      <c r="AO359" s="16">
        <v>11681</v>
      </c>
      <c r="AP359" s="31">
        <v>56393</v>
      </c>
      <c r="AQ359" s="42"/>
      <c r="AR359" s="43"/>
      <c r="AS359" s="42"/>
      <c r="AT359" s="42"/>
    </row>
    <row r="360" spans="1:46" ht="12.9" customHeight="1" x14ac:dyDescent="0.25">
      <c r="A360" s="28" t="s">
        <v>750</v>
      </c>
      <c r="B360" s="29" t="s">
        <v>751</v>
      </c>
      <c r="C360" s="30" t="s">
        <v>281</v>
      </c>
      <c r="D360" s="40">
        <v>322027</v>
      </c>
      <c r="E360" s="26">
        <v>1510685</v>
      </c>
      <c r="F360" s="26">
        <f t="shared" si="10"/>
        <v>1832712</v>
      </c>
      <c r="G360" s="40">
        <v>253031</v>
      </c>
      <c r="H360" s="26">
        <v>1614672</v>
      </c>
      <c r="I360" s="27">
        <f t="shared" si="11"/>
        <v>1867703</v>
      </c>
      <c r="J360" s="40">
        <v>269491</v>
      </c>
      <c r="K360" s="26">
        <v>1668404</v>
      </c>
      <c r="L360" s="27">
        <v>1937895</v>
      </c>
      <c r="M360" s="26">
        <v>271845</v>
      </c>
      <c r="N360" s="26">
        <v>1762103</v>
      </c>
      <c r="O360" s="27">
        <v>2033948</v>
      </c>
      <c r="P360" s="26">
        <v>271919</v>
      </c>
      <c r="Q360" s="26">
        <v>1744787</v>
      </c>
      <c r="R360" s="27">
        <v>2016706</v>
      </c>
      <c r="S360" s="26">
        <v>245486</v>
      </c>
      <c r="T360" s="26">
        <v>1317867</v>
      </c>
      <c r="U360" s="27">
        <v>1563353</v>
      </c>
      <c r="V360" s="26">
        <v>261477</v>
      </c>
      <c r="W360" s="26">
        <v>1661678</v>
      </c>
      <c r="X360" s="31">
        <v>1923155</v>
      </c>
      <c r="Y360" s="16">
        <v>241592</v>
      </c>
      <c r="Z360" s="16">
        <v>1049557</v>
      </c>
      <c r="AA360" s="31">
        <v>1291149</v>
      </c>
      <c r="AB360" s="32">
        <v>241811</v>
      </c>
      <c r="AC360" s="16">
        <v>1403140</v>
      </c>
      <c r="AD360" s="31">
        <v>1644951</v>
      </c>
      <c r="AE360" s="16">
        <v>230657</v>
      </c>
      <c r="AF360" s="16">
        <v>1321406</v>
      </c>
      <c r="AG360" s="31">
        <v>1552063</v>
      </c>
      <c r="AH360" s="16">
        <v>225051</v>
      </c>
      <c r="AI360" s="16">
        <v>1229786</v>
      </c>
      <c r="AJ360" s="31">
        <v>1454837</v>
      </c>
      <c r="AK360" s="16">
        <v>228744</v>
      </c>
      <c r="AL360" s="16">
        <v>1174390</v>
      </c>
      <c r="AM360" s="31">
        <v>1403134</v>
      </c>
      <c r="AN360" s="16">
        <v>252874</v>
      </c>
      <c r="AO360" s="16">
        <v>1141483</v>
      </c>
      <c r="AP360" s="31">
        <v>1394357</v>
      </c>
      <c r="AQ360" s="42"/>
      <c r="AR360" s="43"/>
      <c r="AS360" s="42"/>
      <c r="AT360" s="42"/>
    </row>
    <row r="361" spans="1:46" ht="12.9" customHeight="1" x14ac:dyDescent="0.25">
      <c r="A361" s="28" t="s">
        <v>752</v>
      </c>
      <c r="B361" s="29" t="s">
        <v>753</v>
      </c>
      <c r="C361" s="30" t="s">
        <v>438</v>
      </c>
      <c r="D361" s="40">
        <v>2084</v>
      </c>
      <c r="E361" s="26">
        <v>120117</v>
      </c>
      <c r="F361" s="26">
        <f t="shared" si="10"/>
        <v>122201</v>
      </c>
      <c r="G361" s="40">
        <v>1984</v>
      </c>
      <c r="H361" s="26">
        <v>129979</v>
      </c>
      <c r="I361" s="27">
        <f t="shared" si="11"/>
        <v>131963</v>
      </c>
      <c r="J361" s="40">
        <v>2142</v>
      </c>
      <c r="K361" s="26">
        <v>145012</v>
      </c>
      <c r="L361" s="27">
        <v>147154</v>
      </c>
      <c r="M361" s="26">
        <v>2327</v>
      </c>
      <c r="N361" s="26">
        <v>146218</v>
      </c>
      <c r="O361" s="27">
        <v>148545</v>
      </c>
      <c r="P361" s="26">
        <v>2073</v>
      </c>
      <c r="Q361" s="26">
        <v>137328</v>
      </c>
      <c r="R361" s="27">
        <v>139401</v>
      </c>
      <c r="S361" s="26">
        <v>1856</v>
      </c>
      <c r="T361" s="26">
        <v>141759</v>
      </c>
      <c r="U361" s="27">
        <v>143615</v>
      </c>
      <c r="V361" s="26">
        <v>2044</v>
      </c>
      <c r="W361" s="26">
        <v>175619</v>
      </c>
      <c r="X361" s="31">
        <v>177663</v>
      </c>
      <c r="Y361" s="16">
        <v>2209</v>
      </c>
      <c r="Z361" s="16">
        <v>159690</v>
      </c>
      <c r="AA361" s="31">
        <v>161899</v>
      </c>
      <c r="AB361" s="32">
        <v>2040</v>
      </c>
      <c r="AC361" s="16">
        <v>150855</v>
      </c>
      <c r="AD361" s="31">
        <v>152895</v>
      </c>
      <c r="AE361" s="16">
        <v>1818</v>
      </c>
      <c r="AF361" s="16">
        <v>122985</v>
      </c>
      <c r="AG361" s="31">
        <v>124803</v>
      </c>
      <c r="AH361" s="16">
        <v>1435</v>
      </c>
      <c r="AI361" s="16">
        <v>122219</v>
      </c>
      <c r="AJ361" s="31">
        <v>123654</v>
      </c>
      <c r="AK361" s="16">
        <v>3075</v>
      </c>
      <c r="AL361" s="16">
        <v>110597</v>
      </c>
      <c r="AM361" s="31">
        <v>113672</v>
      </c>
      <c r="AN361" s="16">
        <v>1107</v>
      </c>
      <c r="AO361" s="16">
        <v>124674</v>
      </c>
      <c r="AP361" s="31">
        <v>125781</v>
      </c>
      <c r="AQ361" s="42"/>
      <c r="AR361" s="43"/>
      <c r="AS361" s="42"/>
      <c r="AT361" s="42"/>
    </row>
    <row r="362" spans="1:46" ht="12.9" customHeight="1" x14ac:dyDescent="0.25">
      <c r="A362" s="28" t="s">
        <v>754</v>
      </c>
      <c r="B362" s="29" t="s">
        <v>755</v>
      </c>
      <c r="C362" s="30" t="s">
        <v>113</v>
      </c>
      <c r="D362" s="40">
        <v>84856</v>
      </c>
      <c r="E362" s="26">
        <v>1396136</v>
      </c>
      <c r="F362" s="26">
        <f t="shared" si="10"/>
        <v>1480992</v>
      </c>
      <c r="G362" s="40">
        <v>90404</v>
      </c>
      <c r="H362" s="26">
        <v>1482262</v>
      </c>
      <c r="I362" s="27">
        <f t="shared" si="11"/>
        <v>1572666</v>
      </c>
      <c r="J362" s="40">
        <v>107531</v>
      </c>
      <c r="K362" s="26">
        <v>1451764</v>
      </c>
      <c r="L362" s="27">
        <v>1559295</v>
      </c>
      <c r="M362" s="26">
        <v>112297</v>
      </c>
      <c r="N362" s="26">
        <v>1674258</v>
      </c>
      <c r="O362" s="27">
        <v>1786555</v>
      </c>
      <c r="P362" s="26">
        <v>104644</v>
      </c>
      <c r="Q362" s="26">
        <v>1371332</v>
      </c>
      <c r="R362" s="27">
        <v>1475976</v>
      </c>
      <c r="S362" s="26">
        <v>108371</v>
      </c>
      <c r="T362" s="26">
        <v>1622172</v>
      </c>
      <c r="U362" s="27">
        <v>1730543</v>
      </c>
      <c r="V362" s="26">
        <v>96524</v>
      </c>
      <c r="W362" s="26">
        <v>1628461</v>
      </c>
      <c r="X362" s="31">
        <v>1724985</v>
      </c>
      <c r="Y362" s="16">
        <v>102677</v>
      </c>
      <c r="Z362" s="16">
        <v>1423740</v>
      </c>
      <c r="AA362" s="31">
        <v>1526417</v>
      </c>
      <c r="AB362" s="32">
        <v>101612</v>
      </c>
      <c r="AC362" s="16">
        <v>1285888</v>
      </c>
      <c r="AD362" s="31">
        <v>1387500</v>
      </c>
      <c r="AE362" s="16">
        <v>97077</v>
      </c>
      <c r="AF362" s="16">
        <v>1184256</v>
      </c>
      <c r="AG362" s="31">
        <v>1281333</v>
      </c>
      <c r="AH362" s="16">
        <v>96621</v>
      </c>
      <c r="AI362" s="16">
        <v>1181404</v>
      </c>
      <c r="AJ362" s="31">
        <v>1278025</v>
      </c>
      <c r="AK362" s="16">
        <v>87122</v>
      </c>
      <c r="AL362" s="16">
        <v>1042598</v>
      </c>
      <c r="AM362" s="31">
        <v>1129720</v>
      </c>
      <c r="AN362" s="16">
        <v>94979</v>
      </c>
      <c r="AO362" s="16">
        <v>1027797</v>
      </c>
      <c r="AP362" s="31">
        <v>1122776</v>
      </c>
      <c r="AQ362" s="42"/>
      <c r="AR362" s="43"/>
      <c r="AS362" s="42"/>
      <c r="AT362" s="42"/>
    </row>
    <row r="363" spans="1:46" ht="12.9" customHeight="1" x14ac:dyDescent="0.25">
      <c r="A363" s="28" t="s">
        <v>756</v>
      </c>
      <c r="B363" s="29" t="s">
        <v>757</v>
      </c>
      <c r="C363" s="30" t="s">
        <v>163</v>
      </c>
      <c r="D363" s="40">
        <v>46972</v>
      </c>
      <c r="E363" s="26">
        <v>26038</v>
      </c>
      <c r="F363" s="26">
        <f t="shared" si="10"/>
        <v>73010</v>
      </c>
      <c r="G363" s="40">
        <v>50002</v>
      </c>
      <c r="H363" s="26">
        <v>36267</v>
      </c>
      <c r="I363" s="27">
        <f t="shared" si="11"/>
        <v>86269</v>
      </c>
      <c r="J363" s="40">
        <v>51217</v>
      </c>
      <c r="K363" s="26">
        <v>40122</v>
      </c>
      <c r="L363" s="27">
        <v>91339</v>
      </c>
      <c r="M363" s="26">
        <v>51919</v>
      </c>
      <c r="N363" s="26">
        <v>11016</v>
      </c>
      <c r="O363" s="27">
        <v>62935</v>
      </c>
      <c r="P363" s="26">
        <v>52505</v>
      </c>
      <c r="Q363" s="26">
        <v>8497</v>
      </c>
      <c r="R363" s="27">
        <v>61002</v>
      </c>
      <c r="S363" s="26">
        <v>62748</v>
      </c>
      <c r="T363" s="26">
        <v>44919</v>
      </c>
      <c r="U363" s="27">
        <v>107667</v>
      </c>
      <c r="V363" s="26">
        <v>49467</v>
      </c>
      <c r="W363" s="26">
        <v>38797</v>
      </c>
      <c r="X363" s="31">
        <v>88264</v>
      </c>
      <c r="Y363" s="16">
        <v>55590</v>
      </c>
      <c r="Z363" s="16">
        <v>42051</v>
      </c>
      <c r="AA363" s="31">
        <v>97641</v>
      </c>
      <c r="AB363" s="32">
        <v>69089.702127659577</v>
      </c>
      <c r="AC363" s="16">
        <v>12012</v>
      </c>
      <c r="AD363" s="31">
        <v>81101.702127659577</v>
      </c>
      <c r="AE363" s="16">
        <v>55826</v>
      </c>
      <c r="AF363" s="16">
        <v>22013</v>
      </c>
      <c r="AG363" s="31">
        <v>77839</v>
      </c>
      <c r="AH363" s="16">
        <v>62548</v>
      </c>
      <c r="AI363" s="16">
        <v>23782</v>
      </c>
      <c r="AJ363" s="31">
        <v>86330</v>
      </c>
      <c r="AK363" s="16">
        <v>73775</v>
      </c>
      <c r="AL363" s="16">
        <v>18461</v>
      </c>
      <c r="AM363" s="31">
        <v>92236</v>
      </c>
      <c r="AN363" s="16">
        <v>73775</v>
      </c>
      <c r="AO363" s="16">
        <v>18461</v>
      </c>
      <c r="AP363" s="31">
        <v>92236</v>
      </c>
      <c r="AQ363" s="42"/>
      <c r="AR363" s="43"/>
      <c r="AS363" s="42"/>
      <c r="AT363" s="42"/>
    </row>
    <row r="364" spans="1:46" ht="12.9" customHeight="1" x14ac:dyDescent="0.25">
      <c r="A364" s="28" t="s">
        <v>758</v>
      </c>
      <c r="B364" s="29" t="s">
        <v>759</v>
      </c>
      <c r="C364" s="30" t="s">
        <v>194</v>
      </c>
      <c r="D364" s="40">
        <v>9278976</v>
      </c>
      <c r="E364" s="26">
        <v>2582886</v>
      </c>
      <c r="F364" s="26">
        <f t="shared" si="10"/>
        <v>11861862</v>
      </c>
      <c r="G364" s="40">
        <v>9338154</v>
      </c>
      <c r="H364" s="26">
        <v>2823075</v>
      </c>
      <c r="I364" s="27">
        <f t="shared" si="11"/>
        <v>12161229</v>
      </c>
      <c r="J364" s="40">
        <v>9149953</v>
      </c>
      <c r="K364" s="26">
        <v>3134285</v>
      </c>
      <c r="L364" s="27">
        <v>12284238</v>
      </c>
      <c r="M364" s="26">
        <v>9346311</v>
      </c>
      <c r="N364" s="26">
        <v>3102622</v>
      </c>
      <c r="O364" s="27">
        <v>12448933</v>
      </c>
      <c r="P364" s="26">
        <v>10988090</v>
      </c>
      <c r="Q364" s="26">
        <v>2689376</v>
      </c>
      <c r="R364" s="27">
        <v>13677466</v>
      </c>
      <c r="S364" s="26">
        <v>9076559</v>
      </c>
      <c r="T364" s="26">
        <v>3394843</v>
      </c>
      <c r="U364" s="27">
        <v>12471402</v>
      </c>
      <c r="V364" s="26">
        <v>9201088</v>
      </c>
      <c r="W364" s="26">
        <v>3095494</v>
      </c>
      <c r="X364" s="31">
        <v>12296582</v>
      </c>
      <c r="Y364" s="16">
        <v>8863511</v>
      </c>
      <c r="Z364" s="16">
        <v>2951176</v>
      </c>
      <c r="AA364" s="31">
        <v>11814687</v>
      </c>
      <c r="AB364" s="32">
        <v>8602234</v>
      </c>
      <c r="AC364" s="16">
        <v>2857747</v>
      </c>
      <c r="AD364" s="31">
        <v>11459981</v>
      </c>
      <c r="AE364" s="16">
        <v>8425410</v>
      </c>
      <c r="AF364" s="16">
        <v>2796513</v>
      </c>
      <c r="AG364" s="31">
        <v>11221923</v>
      </c>
      <c r="AH364" s="16">
        <v>8310016</v>
      </c>
      <c r="AI364" s="16">
        <v>2681298</v>
      </c>
      <c r="AJ364" s="31">
        <v>10991314</v>
      </c>
      <c r="AK364" s="16">
        <v>8462986</v>
      </c>
      <c r="AL364" s="16">
        <v>2682507</v>
      </c>
      <c r="AM364" s="31">
        <v>11145493</v>
      </c>
      <c r="AN364" s="16">
        <v>8794271</v>
      </c>
      <c r="AO364" s="16">
        <v>2521772</v>
      </c>
      <c r="AP364" s="31">
        <v>11316043</v>
      </c>
      <c r="AQ364" s="42"/>
      <c r="AR364" s="43"/>
      <c r="AS364" s="42"/>
      <c r="AT364" s="42"/>
    </row>
    <row r="365" spans="1:46" ht="12.9" customHeight="1" x14ac:dyDescent="0.25">
      <c r="A365" s="28" t="s">
        <v>760</v>
      </c>
      <c r="B365" s="29" t="s">
        <v>761</v>
      </c>
      <c r="C365" s="30" t="s">
        <v>153</v>
      </c>
      <c r="D365" s="40">
        <v>109370</v>
      </c>
      <c r="E365" s="26">
        <v>141241</v>
      </c>
      <c r="F365" s="26">
        <f t="shared" si="10"/>
        <v>250611</v>
      </c>
      <c r="G365" s="40">
        <v>134732</v>
      </c>
      <c r="H365" s="26">
        <v>152193</v>
      </c>
      <c r="I365" s="27">
        <f t="shared" si="11"/>
        <v>286925</v>
      </c>
      <c r="J365" s="40">
        <v>134732</v>
      </c>
      <c r="K365" s="26">
        <v>156089</v>
      </c>
      <c r="L365" s="27">
        <v>290821</v>
      </c>
      <c r="M365" s="26">
        <v>129039</v>
      </c>
      <c r="N365" s="26">
        <v>155021</v>
      </c>
      <c r="O365" s="27">
        <v>284060</v>
      </c>
      <c r="P365" s="26">
        <v>129039</v>
      </c>
      <c r="Q365" s="26">
        <v>148651</v>
      </c>
      <c r="R365" s="27">
        <v>277690</v>
      </c>
      <c r="S365" s="26">
        <v>121832</v>
      </c>
      <c r="T365" s="26">
        <v>155207</v>
      </c>
      <c r="U365" s="27">
        <v>277039</v>
      </c>
      <c r="V365" s="26">
        <v>117697</v>
      </c>
      <c r="W365" s="26">
        <v>157179</v>
      </c>
      <c r="X365" s="31">
        <v>274876</v>
      </c>
      <c r="Y365" s="16">
        <v>121967</v>
      </c>
      <c r="Z365" s="16">
        <v>160580</v>
      </c>
      <c r="AA365" s="31">
        <v>282547</v>
      </c>
      <c r="AB365" s="32">
        <v>126470</v>
      </c>
      <c r="AC365" s="16">
        <v>158261</v>
      </c>
      <c r="AD365" s="31">
        <v>284731</v>
      </c>
      <c r="AE365" s="16">
        <v>125191</v>
      </c>
      <c r="AF365" s="16">
        <v>166883</v>
      </c>
      <c r="AG365" s="31">
        <v>292074</v>
      </c>
      <c r="AH365" s="16">
        <v>123885</v>
      </c>
      <c r="AI365" s="16">
        <v>154433</v>
      </c>
      <c r="AJ365" s="31">
        <v>278318</v>
      </c>
      <c r="AK365" s="16">
        <v>124381</v>
      </c>
      <c r="AL365" s="16">
        <v>152043</v>
      </c>
      <c r="AM365" s="31">
        <v>276424</v>
      </c>
      <c r="AN365" s="16">
        <v>133154</v>
      </c>
      <c r="AO365" s="16">
        <v>139637</v>
      </c>
      <c r="AP365" s="31">
        <v>272791</v>
      </c>
      <c r="AQ365" s="42"/>
      <c r="AR365" s="43"/>
      <c r="AS365" s="42"/>
      <c r="AT365" s="42"/>
    </row>
    <row r="366" spans="1:46" ht="12.9" customHeight="1" x14ac:dyDescent="0.25">
      <c r="A366" s="28" t="s">
        <v>762</v>
      </c>
      <c r="B366" s="29" t="s">
        <v>763</v>
      </c>
      <c r="C366" s="30" t="s">
        <v>123</v>
      </c>
      <c r="D366" s="40">
        <v>172020</v>
      </c>
      <c r="E366" s="26">
        <v>621623</v>
      </c>
      <c r="F366" s="26">
        <f t="shared" si="10"/>
        <v>793643</v>
      </c>
      <c r="G366" s="40">
        <v>176758</v>
      </c>
      <c r="H366" s="26">
        <v>574372</v>
      </c>
      <c r="I366" s="27">
        <f t="shared" si="11"/>
        <v>751130</v>
      </c>
      <c r="J366" s="40">
        <v>182902</v>
      </c>
      <c r="K366" s="26">
        <v>397684</v>
      </c>
      <c r="L366" s="27">
        <v>580586</v>
      </c>
      <c r="M366" s="26">
        <v>188799</v>
      </c>
      <c r="N366" s="26">
        <v>482740</v>
      </c>
      <c r="O366" s="27">
        <v>671539</v>
      </c>
      <c r="P366" s="26">
        <v>174001</v>
      </c>
      <c r="Q366" s="26">
        <v>381775</v>
      </c>
      <c r="R366" s="27">
        <v>555776</v>
      </c>
      <c r="S366" s="26">
        <v>174001</v>
      </c>
      <c r="T366" s="26">
        <v>429755</v>
      </c>
      <c r="U366" s="27">
        <v>603756</v>
      </c>
      <c r="V366" s="26">
        <v>171622</v>
      </c>
      <c r="W366" s="26">
        <v>480910</v>
      </c>
      <c r="X366" s="31">
        <v>652532</v>
      </c>
      <c r="Y366" s="16">
        <v>173441</v>
      </c>
      <c r="Z366" s="16">
        <v>502402</v>
      </c>
      <c r="AA366" s="31">
        <v>675843</v>
      </c>
      <c r="AB366" s="32">
        <v>175160</v>
      </c>
      <c r="AC366" s="16">
        <v>516123</v>
      </c>
      <c r="AD366" s="31">
        <v>691283</v>
      </c>
      <c r="AE366" s="16">
        <v>173952</v>
      </c>
      <c r="AF366" s="16">
        <v>480745</v>
      </c>
      <c r="AG366" s="31">
        <v>654697</v>
      </c>
      <c r="AH366" s="16">
        <v>165946</v>
      </c>
      <c r="AI366" s="16">
        <v>455948</v>
      </c>
      <c r="AJ366" s="31">
        <v>621894</v>
      </c>
      <c r="AK366" s="16">
        <v>171774</v>
      </c>
      <c r="AL366" s="16">
        <v>381778</v>
      </c>
      <c r="AM366" s="31">
        <v>553552</v>
      </c>
      <c r="AN366" s="16">
        <v>171774</v>
      </c>
      <c r="AO366" s="16">
        <v>352942</v>
      </c>
      <c r="AP366" s="31">
        <v>524716</v>
      </c>
      <c r="AQ366" s="42"/>
      <c r="AR366" s="43"/>
      <c r="AS366" s="42"/>
      <c r="AT366" s="42"/>
    </row>
    <row r="367" spans="1:46" ht="12.9" customHeight="1" x14ac:dyDescent="0.25">
      <c r="A367" s="28" t="s">
        <v>764</v>
      </c>
      <c r="B367" s="29" t="s">
        <v>765</v>
      </c>
      <c r="C367" s="30" t="s">
        <v>153</v>
      </c>
      <c r="D367" s="40">
        <v>1436069</v>
      </c>
      <c r="E367" s="26">
        <v>2362082</v>
      </c>
      <c r="F367" s="26">
        <f t="shared" si="10"/>
        <v>3798151</v>
      </c>
      <c r="G367" s="40">
        <v>1468781</v>
      </c>
      <c r="H367" s="26">
        <v>2607663</v>
      </c>
      <c r="I367" s="27">
        <f t="shared" si="11"/>
        <v>4076444</v>
      </c>
      <c r="J367" s="40">
        <v>1537268</v>
      </c>
      <c r="K367" s="26">
        <v>2380952</v>
      </c>
      <c r="L367" s="27">
        <v>3918220</v>
      </c>
      <c r="M367" s="26">
        <v>1601000</v>
      </c>
      <c r="N367" s="26">
        <v>2242941</v>
      </c>
      <c r="O367" s="27">
        <v>3843941</v>
      </c>
      <c r="P367" s="26">
        <v>1616368</v>
      </c>
      <c r="Q367" s="26">
        <v>2082132</v>
      </c>
      <c r="R367" s="27">
        <v>3698500</v>
      </c>
      <c r="S367" s="26">
        <v>1537727</v>
      </c>
      <c r="T367" s="26">
        <v>2329561</v>
      </c>
      <c r="U367" s="27">
        <v>3867288</v>
      </c>
      <c r="V367" s="26">
        <v>1442368</v>
      </c>
      <c r="W367" s="26">
        <v>2360095</v>
      </c>
      <c r="X367" s="31">
        <v>3802463</v>
      </c>
      <c r="Y367" s="16">
        <v>1450353</v>
      </c>
      <c r="Z367" s="16">
        <v>2163195</v>
      </c>
      <c r="AA367" s="31">
        <v>3613548</v>
      </c>
      <c r="AB367" s="32">
        <v>1410500</v>
      </c>
      <c r="AC367" s="16">
        <v>1960854</v>
      </c>
      <c r="AD367" s="31">
        <v>3371354</v>
      </c>
      <c r="AE367" s="16">
        <v>1438564</v>
      </c>
      <c r="AF367" s="16">
        <v>1883050</v>
      </c>
      <c r="AG367" s="31">
        <v>3321614</v>
      </c>
      <c r="AH367" s="16">
        <v>1378568</v>
      </c>
      <c r="AI367" s="16">
        <v>1815784</v>
      </c>
      <c r="AJ367" s="31">
        <v>3194352</v>
      </c>
      <c r="AK367" s="16">
        <v>1362336</v>
      </c>
      <c r="AL367" s="16">
        <v>1763443</v>
      </c>
      <c r="AM367" s="31">
        <v>3125779</v>
      </c>
      <c r="AN367" s="16">
        <v>1415593</v>
      </c>
      <c r="AO367" s="16">
        <v>2684706</v>
      </c>
      <c r="AP367" s="31">
        <v>4100299</v>
      </c>
      <c r="AQ367" s="42"/>
      <c r="AR367" s="43"/>
      <c r="AS367" s="42"/>
      <c r="AT367" s="42"/>
    </row>
    <row r="368" spans="1:46" ht="12.9" customHeight="1" x14ac:dyDescent="0.25">
      <c r="A368" s="28" t="s">
        <v>766</v>
      </c>
      <c r="B368" s="29" t="s">
        <v>767</v>
      </c>
      <c r="C368" s="30" t="s">
        <v>8</v>
      </c>
      <c r="D368" s="40">
        <v>33365</v>
      </c>
      <c r="E368" s="26">
        <v>9929</v>
      </c>
      <c r="F368" s="26">
        <f t="shared" si="10"/>
        <v>43294</v>
      </c>
      <c r="G368" s="40">
        <v>35379</v>
      </c>
      <c r="H368" s="26">
        <v>9463</v>
      </c>
      <c r="I368" s="27">
        <f t="shared" si="11"/>
        <v>44842</v>
      </c>
      <c r="J368" s="40">
        <v>51082</v>
      </c>
      <c r="K368" s="26">
        <v>14512</v>
      </c>
      <c r="L368" s="27">
        <v>65594</v>
      </c>
      <c r="M368" s="26">
        <v>41778</v>
      </c>
      <c r="N368" s="26">
        <v>9514</v>
      </c>
      <c r="O368" s="27">
        <v>51292</v>
      </c>
      <c r="P368" s="26">
        <v>28184</v>
      </c>
      <c r="Q368" s="26">
        <v>5974</v>
      </c>
      <c r="R368" s="27">
        <v>34158</v>
      </c>
      <c r="S368" s="26">
        <v>34781</v>
      </c>
      <c r="T368" s="26">
        <v>8335</v>
      </c>
      <c r="U368" s="27">
        <v>43116</v>
      </c>
      <c r="V368" s="26">
        <v>33788</v>
      </c>
      <c r="W368" s="26">
        <v>8401</v>
      </c>
      <c r="X368" s="31">
        <v>42189</v>
      </c>
      <c r="Y368" s="16">
        <v>37493</v>
      </c>
      <c r="Z368" s="16">
        <v>9834</v>
      </c>
      <c r="AA368" s="31">
        <v>47327</v>
      </c>
      <c r="AB368" s="32">
        <v>38753</v>
      </c>
      <c r="AC368" s="16">
        <v>9487</v>
      </c>
      <c r="AD368" s="31">
        <v>48240</v>
      </c>
      <c r="AE368" s="16">
        <v>40928</v>
      </c>
      <c r="AF368" s="16">
        <v>8432</v>
      </c>
      <c r="AG368" s="31">
        <v>49360</v>
      </c>
      <c r="AH368" s="16">
        <v>40342</v>
      </c>
      <c r="AI368" s="16">
        <v>8718</v>
      </c>
      <c r="AJ368" s="31">
        <v>49060</v>
      </c>
      <c r="AK368" s="16">
        <v>43306</v>
      </c>
      <c r="AL368" s="16">
        <v>11564</v>
      </c>
      <c r="AM368" s="31">
        <v>54870</v>
      </c>
      <c r="AN368" s="16">
        <v>33611</v>
      </c>
      <c r="AO368" s="16">
        <v>4789</v>
      </c>
      <c r="AP368" s="31">
        <v>38400</v>
      </c>
      <c r="AQ368" s="42"/>
      <c r="AR368" s="43"/>
      <c r="AS368" s="42"/>
      <c r="AT368" s="42"/>
    </row>
    <row r="369" spans="1:46" ht="12.9" customHeight="1" x14ac:dyDescent="0.25">
      <c r="A369" s="28" t="s">
        <v>768</v>
      </c>
      <c r="B369" s="29" t="s">
        <v>769</v>
      </c>
      <c r="C369" s="30" t="s">
        <v>110</v>
      </c>
      <c r="D369" s="40">
        <v>28558</v>
      </c>
      <c r="E369" s="26">
        <v>14887</v>
      </c>
      <c r="F369" s="26">
        <f t="shared" si="10"/>
        <v>43445</v>
      </c>
      <c r="G369" s="40">
        <v>39125</v>
      </c>
      <c r="H369" s="26">
        <v>22977</v>
      </c>
      <c r="I369" s="27">
        <f t="shared" si="11"/>
        <v>62102</v>
      </c>
      <c r="J369" s="40">
        <v>29062</v>
      </c>
      <c r="K369" s="26">
        <v>18298</v>
      </c>
      <c r="L369" s="27">
        <v>47360</v>
      </c>
      <c r="M369" s="26">
        <v>32100</v>
      </c>
      <c r="N369" s="26">
        <v>20605</v>
      </c>
      <c r="O369" s="27">
        <v>52705</v>
      </c>
      <c r="P369" s="26">
        <v>34364</v>
      </c>
      <c r="Q369" s="26">
        <v>24772</v>
      </c>
      <c r="R369" s="27">
        <v>59136</v>
      </c>
      <c r="S369" s="26">
        <v>34799</v>
      </c>
      <c r="T369" s="26">
        <v>29260</v>
      </c>
      <c r="U369" s="27">
        <v>64059</v>
      </c>
      <c r="V369" s="26">
        <v>28002</v>
      </c>
      <c r="W369" s="26">
        <v>29761</v>
      </c>
      <c r="X369" s="31">
        <v>57763</v>
      </c>
      <c r="Y369" s="16">
        <v>34571</v>
      </c>
      <c r="Z369" s="16">
        <v>38101</v>
      </c>
      <c r="AA369" s="31">
        <v>72672</v>
      </c>
      <c r="AB369" s="32">
        <v>31886</v>
      </c>
      <c r="AC369" s="16">
        <v>21319</v>
      </c>
      <c r="AD369" s="31">
        <v>53205</v>
      </c>
      <c r="AE369" s="16">
        <v>28983</v>
      </c>
      <c r="AF369" s="16">
        <v>13740</v>
      </c>
      <c r="AG369" s="31">
        <v>42723</v>
      </c>
      <c r="AH369" s="16">
        <v>32357</v>
      </c>
      <c r="AI369" s="16">
        <v>10483</v>
      </c>
      <c r="AJ369" s="31">
        <v>42840</v>
      </c>
      <c r="AK369" s="16">
        <v>29136</v>
      </c>
      <c r="AL369" s="16">
        <v>14963</v>
      </c>
      <c r="AM369" s="31">
        <v>44099</v>
      </c>
      <c r="AN369" s="16">
        <v>37790</v>
      </c>
      <c r="AO369" s="16">
        <v>8447</v>
      </c>
      <c r="AP369" s="31">
        <v>46237</v>
      </c>
      <c r="AQ369" s="42"/>
      <c r="AR369" s="43"/>
      <c r="AS369" s="42"/>
      <c r="AT369" s="42"/>
    </row>
    <row r="370" spans="1:46" ht="12.9" customHeight="1" x14ac:dyDescent="0.25">
      <c r="A370" s="28" t="s">
        <v>770</v>
      </c>
      <c r="B370" s="29" t="s">
        <v>771</v>
      </c>
      <c r="C370" s="30" t="s">
        <v>14</v>
      </c>
      <c r="D370" s="40">
        <v>15912</v>
      </c>
      <c r="E370" s="26">
        <v>7871</v>
      </c>
      <c r="F370" s="26">
        <f t="shared" si="10"/>
        <v>23783</v>
      </c>
      <c r="G370" s="40">
        <v>11722</v>
      </c>
      <c r="H370" s="26">
        <v>7993</v>
      </c>
      <c r="I370" s="27">
        <f t="shared" si="11"/>
        <v>19715</v>
      </c>
      <c r="J370" s="40">
        <v>11754</v>
      </c>
      <c r="K370" s="26">
        <v>9000</v>
      </c>
      <c r="L370" s="27">
        <v>20754</v>
      </c>
      <c r="M370" s="26">
        <v>12166</v>
      </c>
      <c r="N370" s="26">
        <v>7988</v>
      </c>
      <c r="O370" s="27">
        <v>20154</v>
      </c>
      <c r="P370" s="26">
        <v>15935</v>
      </c>
      <c r="Q370" s="26">
        <v>9968</v>
      </c>
      <c r="R370" s="27">
        <v>25903</v>
      </c>
      <c r="S370" s="26">
        <v>13762</v>
      </c>
      <c r="T370" s="26">
        <v>14815</v>
      </c>
      <c r="U370" s="27">
        <v>28577</v>
      </c>
      <c r="V370" s="26">
        <v>13413</v>
      </c>
      <c r="W370" s="26">
        <v>11333</v>
      </c>
      <c r="X370" s="31">
        <v>24746</v>
      </c>
      <c r="Y370" s="16">
        <v>11873</v>
      </c>
      <c r="Z370" s="16">
        <v>14007</v>
      </c>
      <c r="AA370" s="31">
        <v>25880</v>
      </c>
      <c r="AB370" s="32">
        <v>13424</v>
      </c>
      <c r="AC370" s="16">
        <v>19788</v>
      </c>
      <c r="AD370" s="31">
        <v>33212</v>
      </c>
      <c r="AE370" s="16">
        <v>16658</v>
      </c>
      <c r="AF370" s="16">
        <v>8216</v>
      </c>
      <c r="AG370" s="31">
        <v>24874</v>
      </c>
      <c r="AH370" s="16">
        <v>17621</v>
      </c>
      <c r="AI370" s="16">
        <v>8216</v>
      </c>
      <c r="AJ370" s="31">
        <v>25837</v>
      </c>
      <c r="AK370" s="16">
        <v>17621</v>
      </c>
      <c r="AL370" s="16">
        <v>7644</v>
      </c>
      <c r="AM370" s="31">
        <v>25265</v>
      </c>
      <c r="AN370" s="16">
        <v>17621</v>
      </c>
      <c r="AO370" s="16">
        <v>12810</v>
      </c>
      <c r="AP370" s="31">
        <v>30431</v>
      </c>
      <c r="AQ370" s="42"/>
      <c r="AR370" s="43"/>
      <c r="AS370" s="42"/>
      <c r="AT370" s="42"/>
    </row>
    <row r="371" spans="1:46" ht="12.9" customHeight="1" x14ac:dyDescent="0.25">
      <c r="A371" s="28" t="s">
        <v>772</v>
      </c>
      <c r="B371" s="29" t="s">
        <v>773</v>
      </c>
      <c r="C371" s="30" t="s">
        <v>215</v>
      </c>
      <c r="D371" s="40">
        <v>58828</v>
      </c>
      <c r="E371" s="26">
        <v>50695</v>
      </c>
      <c r="F371" s="26">
        <f t="shared" si="10"/>
        <v>109523</v>
      </c>
      <c r="G371" s="40">
        <v>60010</v>
      </c>
      <c r="H371" s="26">
        <v>55219</v>
      </c>
      <c r="I371" s="27">
        <f t="shared" si="11"/>
        <v>115229</v>
      </c>
      <c r="J371" s="40">
        <v>67392</v>
      </c>
      <c r="K371" s="26">
        <v>49178</v>
      </c>
      <c r="L371" s="27">
        <v>116570</v>
      </c>
      <c r="M371" s="26">
        <v>68248</v>
      </c>
      <c r="N371" s="26">
        <v>44987</v>
      </c>
      <c r="O371" s="27">
        <v>113235</v>
      </c>
      <c r="P371" s="26">
        <v>69777</v>
      </c>
      <c r="Q371" s="26">
        <v>46680</v>
      </c>
      <c r="R371" s="27">
        <v>116457</v>
      </c>
      <c r="S371" s="26">
        <v>64819</v>
      </c>
      <c r="T371" s="26">
        <v>56022</v>
      </c>
      <c r="U371" s="27">
        <v>120841</v>
      </c>
      <c r="V371" s="26">
        <v>60900</v>
      </c>
      <c r="W371" s="26">
        <v>52574</v>
      </c>
      <c r="X371" s="31">
        <v>113474</v>
      </c>
      <c r="Y371" s="16">
        <v>60544</v>
      </c>
      <c r="Z371" s="16">
        <v>48232</v>
      </c>
      <c r="AA371" s="31">
        <v>108776</v>
      </c>
      <c r="AB371" s="32">
        <v>62034</v>
      </c>
      <c r="AC371" s="16">
        <v>46001</v>
      </c>
      <c r="AD371" s="31">
        <v>108035</v>
      </c>
      <c r="AE371" s="16">
        <v>63584</v>
      </c>
      <c r="AF371" s="16">
        <v>47828</v>
      </c>
      <c r="AG371" s="31">
        <v>111412</v>
      </c>
      <c r="AH371" s="16">
        <v>60537</v>
      </c>
      <c r="AI371" s="16">
        <v>36178</v>
      </c>
      <c r="AJ371" s="31">
        <v>96715</v>
      </c>
      <c r="AK371" s="16">
        <v>59644</v>
      </c>
      <c r="AL371" s="16">
        <v>18763</v>
      </c>
      <c r="AM371" s="31">
        <v>78407</v>
      </c>
      <c r="AN371" s="16">
        <v>65367</v>
      </c>
      <c r="AO371" s="16">
        <v>33392</v>
      </c>
      <c r="AP371" s="31">
        <v>98759</v>
      </c>
      <c r="AQ371" s="42"/>
      <c r="AR371" s="43"/>
      <c r="AS371" s="42"/>
      <c r="AT371" s="42"/>
    </row>
    <row r="372" spans="1:46" ht="12.9" customHeight="1" x14ac:dyDescent="0.25">
      <c r="A372" s="28" t="s">
        <v>774</v>
      </c>
      <c r="B372" s="29" t="s">
        <v>775</v>
      </c>
      <c r="C372" s="30" t="s">
        <v>281</v>
      </c>
      <c r="D372" s="40">
        <v>3793</v>
      </c>
      <c r="E372" s="26">
        <v>40290</v>
      </c>
      <c r="F372" s="26">
        <f t="shared" si="10"/>
        <v>44083</v>
      </c>
      <c r="G372" s="40">
        <v>3626</v>
      </c>
      <c r="H372" s="26">
        <v>50648</v>
      </c>
      <c r="I372" s="27">
        <f t="shared" si="11"/>
        <v>54274</v>
      </c>
      <c r="J372" s="40">
        <v>4020</v>
      </c>
      <c r="K372" s="26">
        <v>50499</v>
      </c>
      <c r="L372" s="27">
        <v>54519</v>
      </c>
      <c r="M372" s="26">
        <v>4527</v>
      </c>
      <c r="N372" s="26">
        <v>49299</v>
      </c>
      <c r="O372" s="27">
        <v>53826</v>
      </c>
      <c r="P372" s="26">
        <v>4594</v>
      </c>
      <c r="Q372" s="26">
        <v>44727</v>
      </c>
      <c r="R372" s="27">
        <v>49321</v>
      </c>
      <c r="S372" s="26">
        <v>3872</v>
      </c>
      <c r="T372" s="26">
        <v>48016</v>
      </c>
      <c r="U372" s="27">
        <v>51888</v>
      </c>
      <c r="V372" s="26">
        <v>3808</v>
      </c>
      <c r="W372" s="26">
        <v>28953</v>
      </c>
      <c r="X372" s="31">
        <v>32761</v>
      </c>
      <c r="Y372" s="16">
        <v>4111</v>
      </c>
      <c r="Z372" s="16">
        <v>40467</v>
      </c>
      <c r="AA372" s="31">
        <v>44578</v>
      </c>
      <c r="AB372" s="32">
        <v>3977</v>
      </c>
      <c r="AC372" s="16">
        <v>41875</v>
      </c>
      <c r="AD372" s="31">
        <v>45852</v>
      </c>
      <c r="AE372" s="16">
        <v>3954</v>
      </c>
      <c r="AF372" s="16">
        <v>52857</v>
      </c>
      <c r="AG372" s="31">
        <v>56811</v>
      </c>
      <c r="AH372" s="16">
        <v>3758</v>
      </c>
      <c r="AI372" s="16">
        <v>52176</v>
      </c>
      <c r="AJ372" s="31">
        <v>55934</v>
      </c>
      <c r="AK372" s="16">
        <v>4216</v>
      </c>
      <c r="AL372" s="16">
        <v>51940</v>
      </c>
      <c r="AM372" s="31">
        <v>56156</v>
      </c>
      <c r="AN372" s="16">
        <v>5432</v>
      </c>
      <c r="AO372" s="16">
        <v>27</v>
      </c>
      <c r="AP372" s="31">
        <v>5459</v>
      </c>
      <c r="AQ372" s="42"/>
      <c r="AR372" s="43"/>
      <c r="AS372" s="42"/>
      <c r="AT372" s="42"/>
    </row>
    <row r="373" spans="1:46" ht="12.9" customHeight="1" x14ac:dyDescent="0.25">
      <c r="A373" s="28" t="s">
        <v>776</v>
      </c>
      <c r="B373" s="29" t="s">
        <v>777</v>
      </c>
      <c r="C373" s="30" t="s">
        <v>59</v>
      </c>
      <c r="D373" s="40">
        <v>18107</v>
      </c>
      <c r="E373" s="26">
        <v>13528</v>
      </c>
      <c r="F373" s="26">
        <f t="shared" si="10"/>
        <v>31635</v>
      </c>
      <c r="G373" s="40">
        <v>20356</v>
      </c>
      <c r="H373" s="26">
        <v>9619</v>
      </c>
      <c r="I373" s="27">
        <f t="shared" si="11"/>
        <v>29975</v>
      </c>
      <c r="J373" s="40">
        <v>21095</v>
      </c>
      <c r="K373" s="26">
        <v>9884</v>
      </c>
      <c r="L373" s="27">
        <v>30979</v>
      </c>
      <c r="M373" s="26">
        <v>21861</v>
      </c>
      <c r="N373" s="26">
        <v>7863</v>
      </c>
      <c r="O373" s="27">
        <v>29724</v>
      </c>
      <c r="P373" s="26">
        <v>21203</v>
      </c>
      <c r="Q373" s="26">
        <v>8501</v>
      </c>
      <c r="R373" s="27">
        <v>29704</v>
      </c>
      <c r="S373" s="26">
        <v>20943</v>
      </c>
      <c r="T373" s="26">
        <v>8460</v>
      </c>
      <c r="U373" s="27">
        <v>29403</v>
      </c>
      <c r="V373" s="26">
        <v>21281</v>
      </c>
      <c r="W373" s="26">
        <v>10037</v>
      </c>
      <c r="X373" s="31">
        <v>31318</v>
      </c>
      <c r="Y373" s="16">
        <v>20900</v>
      </c>
      <c r="Z373" s="16">
        <v>8667</v>
      </c>
      <c r="AA373" s="31">
        <v>29567</v>
      </c>
      <c r="AB373" s="32">
        <v>20642</v>
      </c>
      <c r="AC373" s="16">
        <v>8779</v>
      </c>
      <c r="AD373" s="31">
        <v>29421</v>
      </c>
      <c r="AE373" s="16">
        <v>17510</v>
      </c>
      <c r="AF373" s="16">
        <v>8294</v>
      </c>
      <c r="AG373" s="31">
        <v>25804</v>
      </c>
      <c r="AH373" s="16">
        <v>17519</v>
      </c>
      <c r="AI373" s="16">
        <v>10965</v>
      </c>
      <c r="AJ373" s="31">
        <v>28484</v>
      </c>
      <c r="AK373" s="16">
        <v>18783</v>
      </c>
      <c r="AL373" s="16">
        <v>10022</v>
      </c>
      <c r="AM373" s="31">
        <v>28805</v>
      </c>
      <c r="AN373" s="16">
        <v>20232</v>
      </c>
      <c r="AO373" s="16">
        <v>6108</v>
      </c>
      <c r="AP373" s="31">
        <v>26340</v>
      </c>
      <c r="AQ373" s="42"/>
      <c r="AR373" s="43"/>
      <c r="AS373" s="42"/>
      <c r="AT373" s="42"/>
    </row>
    <row r="374" spans="1:46" ht="12.9" customHeight="1" x14ac:dyDescent="0.25">
      <c r="A374" s="28" t="s">
        <v>778</v>
      </c>
      <c r="B374" s="29" t="s">
        <v>779</v>
      </c>
      <c r="C374" s="30" t="s">
        <v>23</v>
      </c>
      <c r="D374" s="40">
        <v>123001</v>
      </c>
      <c r="E374" s="26">
        <v>194341</v>
      </c>
      <c r="F374" s="26">
        <f t="shared" si="10"/>
        <v>317342</v>
      </c>
      <c r="G374" s="40">
        <v>122583</v>
      </c>
      <c r="H374" s="26">
        <v>198586</v>
      </c>
      <c r="I374" s="27">
        <f t="shared" si="11"/>
        <v>321169</v>
      </c>
      <c r="J374" s="40">
        <v>125512</v>
      </c>
      <c r="K374" s="26">
        <v>216909</v>
      </c>
      <c r="L374" s="27">
        <v>342421</v>
      </c>
      <c r="M374" s="26">
        <v>132340</v>
      </c>
      <c r="N374" s="26">
        <v>148591</v>
      </c>
      <c r="O374" s="27">
        <v>280931</v>
      </c>
      <c r="P374" s="26">
        <v>136208</v>
      </c>
      <c r="Q374" s="26">
        <v>182047</v>
      </c>
      <c r="R374" s="27">
        <v>318255</v>
      </c>
      <c r="S374" s="26">
        <v>130355</v>
      </c>
      <c r="T374" s="26">
        <v>231507</v>
      </c>
      <c r="U374" s="27">
        <v>361862</v>
      </c>
      <c r="V374" s="26">
        <v>129248</v>
      </c>
      <c r="W374" s="26">
        <v>235087</v>
      </c>
      <c r="X374" s="31">
        <v>364335</v>
      </c>
      <c r="Y374" s="16">
        <v>136256</v>
      </c>
      <c r="Z374" s="16">
        <v>220385.33333333331</v>
      </c>
      <c r="AA374" s="31">
        <v>356641.33333333331</v>
      </c>
      <c r="AB374" s="32">
        <v>130552</v>
      </c>
      <c r="AC374" s="16">
        <v>206385</v>
      </c>
      <c r="AD374" s="31">
        <v>336937</v>
      </c>
      <c r="AE374" s="16">
        <v>130321</v>
      </c>
      <c r="AF374" s="16">
        <v>219187</v>
      </c>
      <c r="AG374" s="31">
        <v>349508</v>
      </c>
      <c r="AH374" s="16">
        <v>148243</v>
      </c>
      <c r="AI374" s="16">
        <v>239747</v>
      </c>
      <c r="AJ374" s="31">
        <v>387990</v>
      </c>
      <c r="AK374" s="16">
        <v>144266</v>
      </c>
      <c r="AL374" s="16">
        <v>255064</v>
      </c>
      <c r="AM374" s="31">
        <v>399330</v>
      </c>
      <c r="AN374" s="16">
        <v>144483</v>
      </c>
      <c r="AO374" s="16">
        <v>201724</v>
      </c>
      <c r="AP374" s="31">
        <v>346207</v>
      </c>
      <c r="AQ374" s="42"/>
      <c r="AR374" s="43"/>
      <c r="AS374" s="42"/>
      <c r="AT374" s="42"/>
    </row>
    <row r="375" spans="1:46" ht="12.9" customHeight="1" x14ac:dyDescent="0.25">
      <c r="A375" s="28" t="s">
        <v>780</v>
      </c>
      <c r="B375" s="29" t="s">
        <v>781</v>
      </c>
      <c r="C375" s="30" t="s">
        <v>153</v>
      </c>
      <c r="D375" s="40">
        <v>29662</v>
      </c>
      <c r="E375" s="26">
        <v>39520</v>
      </c>
      <c r="F375" s="26">
        <f t="shared" si="10"/>
        <v>69182</v>
      </c>
      <c r="G375" s="40">
        <v>30167</v>
      </c>
      <c r="H375" s="26">
        <v>36602</v>
      </c>
      <c r="I375" s="27">
        <f t="shared" si="11"/>
        <v>66769</v>
      </c>
      <c r="J375" s="40">
        <v>30905</v>
      </c>
      <c r="K375" s="26">
        <v>37796</v>
      </c>
      <c r="L375" s="27">
        <v>68701</v>
      </c>
      <c r="M375" s="26">
        <v>32388</v>
      </c>
      <c r="N375" s="26">
        <v>38985</v>
      </c>
      <c r="O375" s="27">
        <v>71373</v>
      </c>
      <c r="P375" s="26">
        <v>36019</v>
      </c>
      <c r="Q375" s="26">
        <v>28695</v>
      </c>
      <c r="R375" s="27">
        <v>64714</v>
      </c>
      <c r="S375" s="26">
        <v>31780</v>
      </c>
      <c r="T375" s="26">
        <v>36908</v>
      </c>
      <c r="U375" s="27">
        <v>68688</v>
      </c>
      <c r="V375" s="26">
        <v>29823</v>
      </c>
      <c r="W375" s="26">
        <v>30781</v>
      </c>
      <c r="X375" s="31">
        <v>60604</v>
      </c>
      <c r="Y375" s="16">
        <v>30279</v>
      </c>
      <c r="Z375" s="16">
        <v>38111</v>
      </c>
      <c r="AA375" s="31">
        <v>68390</v>
      </c>
      <c r="AB375" s="32">
        <v>32568</v>
      </c>
      <c r="AC375" s="16">
        <v>35813</v>
      </c>
      <c r="AD375" s="31">
        <v>68381</v>
      </c>
      <c r="AE375" s="16">
        <v>33708</v>
      </c>
      <c r="AF375" s="16">
        <v>39110</v>
      </c>
      <c r="AG375" s="31">
        <v>72818</v>
      </c>
      <c r="AH375" s="16">
        <v>30860</v>
      </c>
      <c r="AI375" s="16">
        <v>36442</v>
      </c>
      <c r="AJ375" s="31">
        <v>67302</v>
      </c>
      <c r="AK375" s="16">
        <v>33839</v>
      </c>
      <c r="AL375" s="16">
        <v>29284</v>
      </c>
      <c r="AM375" s="31">
        <v>63123</v>
      </c>
      <c r="AN375" s="16">
        <v>35783</v>
      </c>
      <c r="AO375" s="16">
        <v>29468</v>
      </c>
      <c r="AP375" s="31">
        <v>65251</v>
      </c>
      <c r="AQ375" s="42"/>
      <c r="AR375" s="43"/>
      <c r="AS375" s="42"/>
      <c r="AT375" s="42"/>
    </row>
    <row r="376" spans="1:46" ht="12.9" customHeight="1" x14ac:dyDescent="0.25">
      <c r="A376" s="28" t="s">
        <v>782</v>
      </c>
      <c r="B376" s="29" t="s">
        <v>783</v>
      </c>
      <c r="C376" s="30" t="s">
        <v>39</v>
      </c>
      <c r="D376" s="40">
        <v>23760</v>
      </c>
      <c r="E376" s="26">
        <v>3432</v>
      </c>
      <c r="F376" s="26">
        <f t="shared" si="10"/>
        <v>27192</v>
      </c>
      <c r="G376" s="40">
        <v>23640</v>
      </c>
      <c r="H376" s="26">
        <v>3432</v>
      </c>
      <c r="I376" s="27">
        <f t="shared" si="11"/>
        <v>27072</v>
      </c>
      <c r="J376" s="40">
        <v>23520</v>
      </c>
      <c r="K376" s="26">
        <v>3432</v>
      </c>
      <c r="L376" s="27">
        <v>26952</v>
      </c>
      <c r="M376" s="26">
        <v>23400</v>
      </c>
      <c r="N376" s="26">
        <v>3432</v>
      </c>
      <c r="O376" s="27">
        <v>26832</v>
      </c>
      <c r="P376" s="26">
        <v>23400</v>
      </c>
      <c r="Q376" s="26">
        <v>3312</v>
      </c>
      <c r="R376" s="27">
        <v>26712</v>
      </c>
      <c r="S376" s="26">
        <v>23400</v>
      </c>
      <c r="T376" s="26">
        <v>3552</v>
      </c>
      <c r="U376" s="27">
        <v>26952</v>
      </c>
      <c r="V376" s="26">
        <v>23280</v>
      </c>
      <c r="W376" s="26">
        <v>3432</v>
      </c>
      <c r="X376" s="31">
        <v>26712</v>
      </c>
      <c r="Y376" s="16">
        <v>23280</v>
      </c>
      <c r="Z376" s="16">
        <v>3312</v>
      </c>
      <c r="AA376" s="31">
        <v>26592</v>
      </c>
      <c r="AB376" s="32">
        <v>18960</v>
      </c>
      <c r="AC376" s="16">
        <v>3012</v>
      </c>
      <c r="AD376" s="31">
        <v>21972</v>
      </c>
      <c r="AE376" s="16">
        <v>16740</v>
      </c>
      <c r="AF376" s="16">
        <v>756</v>
      </c>
      <c r="AG376" s="31">
        <v>17496</v>
      </c>
      <c r="AH376" s="16">
        <v>16308</v>
      </c>
      <c r="AI376" s="16">
        <v>660</v>
      </c>
      <c r="AJ376" s="31">
        <v>16968</v>
      </c>
      <c r="AK376" s="16">
        <v>16308</v>
      </c>
      <c r="AL376" s="16">
        <v>756</v>
      </c>
      <c r="AM376" s="31">
        <v>17064</v>
      </c>
      <c r="AN376" s="16">
        <v>15552</v>
      </c>
      <c r="AO376" s="16">
        <v>648</v>
      </c>
      <c r="AP376" s="31">
        <v>16200</v>
      </c>
      <c r="AQ376" s="42"/>
      <c r="AR376" s="43"/>
      <c r="AS376" s="42"/>
      <c r="AT376" s="42"/>
    </row>
    <row r="377" spans="1:46" ht="12.9" customHeight="1" x14ac:dyDescent="0.25">
      <c r="A377" s="28" t="s">
        <v>784</v>
      </c>
      <c r="B377" s="29" t="s">
        <v>785</v>
      </c>
      <c r="C377" s="30" t="s">
        <v>274</v>
      </c>
      <c r="D377" s="40">
        <v>10344</v>
      </c>
      <c r="E377" s="26">
        <v>52962</v>
      </c>
      <c r="F377" s="26">
        <f t="shared" si="10"/>
        <v>63306</v>
      </c>
      <c r="G377" s="40">
        <v>16126</v>
      </c>
      <c r="H377" s="26">
        <v>52997</v>
      </c>
      <c r="I377" s="27">
        <f t="shared" si="11"/>
        <v>69123</v>
      </c>
      <c r="J377" s="40">
        <v>13337</v>
      </c>
      <c r="K377" s="26">
        <v>68187</v>
      </c>
      <c r="L377" s="27">
        <v>81524</v>
      </c>
      <c r="M377" s="26">
        <v>10181</v>
      </c>
      <c r="N377" s="26">
        <v>69461</v>
      </c>
      <c r="O377" s="27">
        <v>79642</v>
      </c>
      <c r="P377" s="26">
        <v>9190</v>
      </c>
      <c r="Q377" s="26">
        <v>77271</v>
      </c>
      <c r="R377" s="27">
        <v>86461</v>
      </c>
      <c r="S377" s="26">
        <v>8768</v>
      </c>
      <c r="T377" s="26">
        <v>86026</v>
      </c>
      <c r="U377" s="27">
        <v>94794</v>
      </c>
      <c r="V377" s="26">
        <v>8224</v>
      </c>
      <c r="W377" s="26">
        <v>70783</v>
      </c>
      <c r="X377" s="31">
        <v>79007</v>
      </c>
      <c r="Y377" s="16">
        <v>8907</v>
      </c>
      <c r="Z377" s="16">
        <v>76347</v>
      </c>
      <c r="AA377" s="31">
        <v>85254</v>
      </c>
      <c r="AB377" s="32">
        <v>7937</v>
      </c>
      <c r="AC377" s="16">
        <v>67359</v>
      </c>
      <c r="AD377" s="31">
        <v>75296</v>
      </c>
      <c r="AE377" s="16">
        <v>8076</v>
      </c>
      <c r="AF377" s="16">
        <v>65547</v>
      </c>
      <c r="AG377" s="31">
        <v>73623</v>
      </c>
      <c r="AH377" s="16">
        <v>7954</v>
      </c>
      <c r="AI377" s="16">
        <v>48163</v>
      </c>
      <c r="AJ377" s="31">
        <v>56117</v>
      </c>
      <c r="AK377" s="16">
        <v>8492</v>
      </c>
      <c r="AL377" s="16">
        <v>59661</v>
      </c>
      <c r="AM377" s="31">
        <v>68153</v>
      </c>
      <c r="AN377" s="16">
        <v>8738</v>
      </c>
      <c r="AO377" s="16">
        <v>49765</v>
      </c>
      <c r="AP377" s="31">
        <v>58503</v>
      </c>
      <c r="AQ377" s="42"/>
      <c r="AR377" s="43"/>
      <c r="AS377" s="42"/>
      <c r="AT377" s="42"/>
    </row>
    <row r="378" spans="1:46" ht="12.9" customHeight="1" x14ac:dyDescent="0.25">
      <c r="A378" s="28" t="s">
        <v>786</v>
      </c>
      <c r="B378" s="29" t="s">
        <v>787</v>
      </c>
      <c r="C378" s="30" t="s">
        <v>42</v>
      </c>
      <c r="D378" s="40">
        <v>14061</v>
      </c>
      <c r="E378" s="26">
        <v>50071</v>
      </c>
      <c r="F378" s="26">
        <f t="shared" si="10"/>
        <v>64132</v>
      </c>
      <c r="G378" s="40">
        <v>11575</v>
      </c>
      <c r="H378" s="26">
        <v>49466</v>
      </c>
      <c r="I378" s="27">
        <f t="shared" si="11"/>
        <v>61041</v>
      </c>
      <c r="J378" s="40">
        <v>12167</v>
      </c>
      <c r="K378" s="26">
        <v>42780</v>
      </c>
      <c r="L378" s="27">
        <v>54947</v>
      </c>
      <c r="M378" s="26">
        <v>14011</v>
      </c>
      <c r="N378" s="26">
        <v>48503</v>
      </c>
      <c r="O378" s="27">
        <v>62514</v>
      </c>
      <c r="P378" s="26">
        <v>14483</v>
      </c>
      <c r="Q378" s="26">
        <v>53140</v>
      </c>
      <c r="R378" s="27">
        <v>67623</v>
      </c>
      <c r="S378" s="26">
        <v>13141</v>
      </c>
      <c r="T378" s="26">
        <v>71407</v>
      </c>
      <c r="U378" s="27">
        <v>84548</v>
      </c>
      <c r="V378" s="26">
        <v>12881</v>
      </c>
      <c r="W378" s="26">
        <v>72712</v>
      </c>
      <c r="X378" s="31">
        <v>85593</v>
      </c>
      <c r="Y378" s="16">
        <v>13194</v>
      </c>
      <c r="Z378" s="16">
        <v>60377</v>
      </c>
      <c r="AA378" s="31">
        <v>73571</v>
      </c>
      <c r="AB378" s="32">
        <v>13596</v>
      </c>
      <c r="AC378" s="16">
        <v>73926</v>
      </c>
      <c r="AD378" s="31">
        <v>87522</v>
      </c>
      <c r="AE378" s="16">
        <v>15889</v>
      </c>
      <c r="AF378" s="16">
        <v>61584</v>
      </c>
      <c r="AG378" s="31">
        <v>77473</v>
      </c>
      <c r="AH378" s="16">
        <v>12771</v>
      </c>
      <c r="AI378" s="16">
        <v>63117</v>
      </c>
      <c r="AJ378" s="31">
        <v>75888</v>
      </c>
      <c r="AK378" s="16">
        <v>13462</v>
      </c>
      <c r="AL378" s="16">
        <v>4304</v>
      </c>
      <c r="AM378" s="31">
        <v>17766</v>
      </c>
      <c r="AN378" s="16">
        <v>15123</v>
      </c>
      <c r="AO378" s="16">
        <v>63866</v>
      </c>
      <c r="AP378" s="31">
        <v>78989</v>
      </c>
      <c r="AQ378" s="42"/>
      <c r="AR378" s="43"/>
      <c r="AS378" s="42"/>
      <c r="AT378" s="42"/>
    </row>
    <row r="379" spans="1:46" ht="12.9" customHeight="1" x14ac:dyDescent="0.25">
      <c r="A379" s="28" t="s">
        <v>788</v>
      </c>
      <c r="B379" s="29" t="s">
        <v>789</v>
      </c>
      <c r="C379" s="30" t="s">
        <v>42</v>
      </c>
      <c r="D379" s="40">
        <v>128664</v>
      </c>
      <c r="E379" s="26">
        <v>182687</v>
      </c>
      <c r="F379" s="26">
        <f t="shared" si="10"/>
        <v>311351</v>
      </c>
      <c r="G379" s="40">
        <v>126310</v>
      </c>
      <c r="H379" s="26">
        <v>202373</v>
      </c>
      <c r="I379" s="27">
        <f t="shared" si="11"/>
        <v>328683</v>
      </c>
      <c r="J379" s="40">
        <v>131870</v>
      </c>
      <c r="K379" s="26">
        <v>190624</v>
      </c>
      <c r="L379" s="27">
        <v>322494</v>
      </c>
      <c r="M379" s="26">
        <v>141466</v>
      </c>
      <c r="N379" s="26">
        <v>221013</v>
      </c>
      <c r="O379" s="27">
        <v>362479</v>
      </c>
      <c r="P379" s="26">
        <v>154157</v>
      </c>
      <c r="Q379" s="26">
        <v>176618</v>
      </c>
      <c r="R379" s="27">
        <v>330775</v>
      </c>
      <c r="S379" s="26">
        <v>164128</v>
      </c>
      <c r="T379" s="26">
        <v>222997</v>
      </c>
      <c r="U379" s="27">
        <v>387125</v>
      </c>
      <c r="V379" s="26">
        <v>168585</v>
      </c>
      <c r="W379" s="26">
        <v>150693</v>
      </c>
      <c r="X379" s="31">
        <v>319278</v>
      </c>
      <c r="Y379" s="16">
        <v>168585</v>
      </c>
      <c r="Z379" s="16">
        <v>175513</v>
      </c>
      <c r="AA379" s="31">
        <v>344098</v>
      </c>
      <c r="AB379" s="32">
        <v>102083</v>
      </c>
      <c r="AC379" s="16">
        <v>72618</v>
      </c>
      <c r="AD379" s="31">
        <v>174701</v>
      </c>
      <c r="AE379" s="16">
        <v>96203</v>
      </c>
      <c r="AF379" s="16">
        <v>72870</v>
      </c>
      <c r="AG379" s="31">
        <v>169073</v>
      </c>
      <c r="AH379" s="16">
        <v>96203</v>
      </c>
      <c r="AI379" s="16">
        <v>79461</v>
      </c>
      <c r="AJ379" s="31">
        <v>175664</v>
      </c>
      <c r="AK379" s="16">
        <v>92567</v>
      </c>
      <c r="AL379" s="16">
        <v>158464</v>
      </c>
      <c r="AM379" s="31">
        <v>251031</v>
      </c>
      <c r="AN379" s="16">
        <v>92720</v>
      </c>
      <c r="AO379" s="16">
        <v>166698.33333333334</v>
      </c>
      <c r="AP379" s="31">
        <v>259418.33333333334</v>
      </c>
      <c r="AQ379" s="42"/>
      <c r="AR379" s="43"/>
      <c r="AS379" s="42"/>
      <c r="AT379" s="42"/>
    </row>
    <row r="380" spans="1:46" ht="12.9" customHeight="1" x14ac:dyDescent="0.25">
      <c r="A380" s="28" t="s">
        <v>790</v>
      </c>
      <c r="B380" s="29" t="s">
        <v>791</v>
      </c>
      <c r="C380" s="30" t="s">
        <v>166</v>
      </c>
      <c r="D380" s="40">
        <v>49820</v>
      </c>
      <c r="E380" s="26">
        <v>9693</v>
      </c>
      <c r="F380" s="26">
        <f t="shared" si="10"/>
        <v>59513</v>
      </c>
      <c r="G380" s="40">
        <v>49820</v>
      </c>
      <c r="H380" s="26">
        <v>9693</v>
      </c>
      <c r="I380" s="27">
        <f t="shared" si="11"/>
        <v>59513</v>
      </c>
      <c r="J380" s="40">
        <v>49820</v>
      </c>
      <c r="K380" s="26">
        <v>6600</v>
      </c>
      <c r="L380" s="27">
        <v>56420</v>
      </c>
      <c r="M380" s="26">
        <v>47000</v>
      </c>
      <c r="N380" s="26">
        <v>5750</v>
      </c>
      <c r="O380" s="27">
        <v>52750</v>
      </c>
      <c r="P380" s="26">
        <v>47000</v>
      </c>
      <c r="Q380" s="26">
        <v>4318</v>
      </c>
      <c r="R380" s="27">
        <v>51318</v>
      </c>
      <c r="S380" s="26">
        <v>56400</v>
      </c>
      <c r="T380" s="26">
        <v>2420</v>
      </c>
      <c r="U380" s="27">
        <v>58820</v>
      </c>
      <c r="V380" s="26">
        <v>56400</v>
      </c>
      <c r="W380" s="26">
        <v>20490</v>
      </c>
      <c r="X380" s="31">
        <v>76890</v>
      </c>
      <c r="Y380" s="16">
        <v>55200</v>
      </c>
      <c r="Z380" s="16">
        <v>7589</v>
      </c>
      <c r="AA380" s="31">
        <v>62789</v>
      </c>
      <c r="AB380" s="32">
        <v>49464</v>
      </c>
      <c r="AC380" s="16">
        <v>21396</v>
      </c>
      <c r="AD380" s="31">
        <v>70860</v>
      </c>
      <c r="AE380" s="16">
        <v>49464</v>
      </c>
      <c r="AF380" s="16">
        <v>4862</v>
      </c>
      <c r="AG380" s="31">
        <v>54326</v>
      </c>
      <c r="AH380" s="16">
        <v>41313</v>
      </c>
      <c r="AI380" s="16">
        <v>3095</v>
      </c>
      <c r="AJ380" s="31">
        <v>44408</v>
      </c>
      <c r="AK380" s="16">
        <v>41312.501465931746</v>
      </c>
      <c r="AL380" s="16">
        <v>2016.6173913043478</v>
      </c>
      <c r="AM380" s="31">
        <v>43329.118857236092</v>
      </c>
      <c r="AN380" s="16">
        <v>41312.501465931746</v>
      </c>
      <c r="AO380" s="16">
        <v>1646.6173913043478</v>
      </c>
      <c r="AP380" s="31">
        <v>42959.118857236092</v>
      </c>
      <c r="AQ380" s="42"/>
      <c r="AR380" s="43"/>
      <c r="AS380" s="42"/>
      <c r="AT380" s="42"/>
    </row>
    <row r="381" spans="1:46" ht="12.9" customHeight="1" x14ac:dyDescent="0.25">
      <c r="A381" s="28" t="s">
        <v>792</v>
      </c>
      <c r="B381" s="29" t="s">
        <v>793</v>
      </c>
      <c r="C381" s="30" t="s">
        <v>215</v>
      </c>
      <c r="D381" s="40">
        <v>121184</v>
      </c>
      <c r="E381" s="26">
        <v>24771</v>
      </c>
      <c r="F381" s="26">
        <f t="shared" si="10"/>
        <v>145955</v>
      </c>
      <c r="G381" s="40">
        <v>108652</v>
      </c>
      <c r="H381" s="26">
        <v>13968</v>
      </c>
      <c r="I381" s="27">
        <f t="shared" si="11"/>
        <v>122620</v>
      </c>
      <c r="J381" s="40">
        <v>122169</v>
      </c>
      <c r="K381" s="26">
        <v>21393</v>
      </c>
      <c r="L381" s="27">
        <v>143562</v>
      </c>
      <c r="M381" s="26">
        <v>129857</v>
      </c>
      <c r="N381" s="26">
        <v>19712</v>
      </c>
      <c r="O381" s="27">
        <v>149569</v>
      </c>
      <c r="P381" s="26">
        <v>113028</v>
      </c>
      <c r="Q381" s="26">
        <v>12566</v>
      </c>
      <c r="R381" s="27">
        <v>125594</v>
      </c>
      <c r="S381" s="26">
        <v>124603</v>
      </c>
      <c r="T381" s="26">
        <v>24680</v>
      </c>
      <c r="U381" s="27">
        <v>149283</v>
      </c>
      <c r="V381" s="26">
        <v>119898</v>
      </c>
      <c r="W381" s="26">
        <v>21353</v>
      </c>
      <c r="X381" s="31">
        <v>141251</v>
      </c>
      <c r="Y381" s="16">
        <v>122629</v>
      </c>
      <c r="Z381" s="16">
        <v>22733</v>
      </c>
      <c r="AA381" s="31">
        <v>145362</v>
      </c>
      <c r="AB381" s="32">
        <v>131364</v>
      </c>
      <c r="AC381" s="16">
        <v>22812</v>
      </c>
      <c r="AD381" s="31">
        <v>154176</v>
      </c>
      <c r="AE381" s="16">
        <v>119488</v>
      </c>
      <c r="AF381" s="16">
        <v>23255</v>
      </c>
      <c r="AG381" s="31">
        <v>142743</v>
      </c>
      <c r="AH381" s="16">
        <v>120841</v>
      </c>
      <c r="AI381" s="16">
        <v>21663</v>
      </c>
      <c r="AJ381" s="31">
        <v>142504</v>
      </c>
      <c r="AK381" s="16">
        <v>133410</v>
      </c>
      <c r="AL381" s="16">
        <v>20176</v>
      </c>
      <c r="AM381" s="31">
        <v>153586</v>
      </c>
      <c r="AN381" s="16">
        <v>122818</v>
      </c>
      <c r="AO381" s="16">
        <v>8675</v>
      </c>
      <c r="AP381" s="31">
        <v>131493</v>
      </c>
      <c r="AQ381" s="42"/>
      <c r="AR381" s="43"/>
      <c r="AS381" s="42"/>
      <c r="AT381" s="42"/>
    </row>
    <row r="382" spans="1:46" ht="12.9" customHeight="1" x14ac:dyDescent="0.25">
      <c r="A382" s="28" t="s">
        <v>794</v>
      </c>
      <c r="B382" s="29" t="s">
        <v>795</v>
      </c>
      <c r="C382" s="30" t="s">
        <v>153</v>
      </c>
      <c r="D382" s="40">
        <v>45360</v>
      </c>
      <c r="E382" s="26">
        <v>36311</v>
      </c>
      <c r="F382" s="26">
        <f t="shared" si="10"/>
        <v>81671</v>
      </c>
      <c r="G382" s="40">
        <v>48827</v>
      </c>
      <c r="H382" s="26">
        <v>14467</v>
      </c>
      <c r="I382" s="27">
        <f t="shared" si="11"/>
        <v>63294</v>
      </c>
      <c r="J382" s="40">
        <v>46959</v>
      </c>
      <c r="K382" s="26">
        <v>9757</v>
      </c>
      <c r="L382" s="27">
        <v>56716</v>
      </c>
      <c r="M382" s="26">
        <v>48109</v>
      </c>
      <c r="N382" s="26">
        <v>8944</v>
      </c>
      <c r="O382" s="27">
        <v>57053</v>
      </c>
      <c r="P382" s="26">
        <v>48109</v>
      </c>
      <c r="Q382" s="26">
        <v>8030</v>
      </c>
      <c r="R382" s="27">
        <v>56139</v>
      </c>
      <c r="S382" s="26">
        <v>41101</v>
      </c>
      <c r="T382" s="26">
        <v>7932</v>
      </c>
      <c r="U382" s="27">
        <v>49033</v>
      </c>
      <c r="V382" s="26">
        <v>40026</v>
      </c>
      <c r="W382" s="26">
        <v>7731</v>
      </c>
      <c r="X382" s="31">
        <v>47757</v>
      </c>
      <c r="Y382" s="16">
        <v>41766</v>
      </c>
      <c r="Z382" s="16">
        <v>7500</v>
      </c>
      <c r="AA382" s="31">
        <v>49266</v>
      </c>
      <c r="AB382" s="32">
        <v>44597</v>
      </c>
      <c r="AC382" s="16">
        <v>7053</v>
      </c>
      <c r="AD382" s="31">
        <v>51650</v>
      </c>
      <c r="AE382" s="16">
        <v>46355</v>
      </c>
      <c r="AF382" s="16">
        <v>7798</v>
      </c>
      <c r="AG382" s="31">
        <v>54153</v>
      </c>
      <c r="AH382" s="16">
        <v>47254</v>
      </c>
      <c r="AI382" s="16">
        <v>28630</v>
      </c>
      <c r="AJ382" s="31">
        <v>75884</v>
      </c>
      <c r="AK382" s="16">
        <v>34943</v>
      </c>
      <c r="AL382" s="16">
        <v>20854</v>
      </c>
      <c r="AM382" s="31">
        <v>55797</v>
      </c>
      <c r="AN382" s="16">
        <v>40180</v>
      </c>
      <c r="AO382" s="16">
        <v>4594</v>
      </c>
      <c r="AP382" s="31">
        <v>44774</v>
      </c>
      <c r="AQ382" s="42"/>
      <c r="AR382" s="43"/>
      <c r="AS382" s="42"/>
      <c r="AT382" s="42"/>
    </row>
    <row r="383" spans="1:46" ht="12.9" customHeight="1" x14ac:dyDescent="0.25">
      <c r="A383" s="28" t="s">
        <v>796</v>
      </c>
      <c r="B383" s="29" t="s">
        <v>797</v>
      </c>
      <c r="C383" s="30" t="s">
        <v>23</v>
      </c>
      <c r="D383" s="40">
        <v>29400</v>
      </c>
      <c r="E383" s="26">
        <v>5467</v>
      </c>
      <c r="F383" s="26">
        <f t="shared" si="10"/>
        <v>34867</v>
      </c>
      <c r="G383" s="40">
        <v>32132</v>
      </c>
      <c r="H383" s="26">
        <v>6005</v>
      </c>
      <c r="I383" s="27">
        <f t="shared" si="11"/>
        <v>38137</v>
      </c>
      <c r="J383" s="40">
        <v>37822</v>
      </c>
      <c r="K383" s="26">
        <v>5080</v>
      </c>
      <c r="L383" s="27">
        <v>42902</v>
      </c>
      <c r="M383" s="26">
        <v>38768</v>
      </c>
      <c r="N383" s="26">
        <v>8181.333333333333</v>
      </c>
      <c r="O383" s="27">
        <v>46949.333333333336</v>
      </c>
      <c r="P383" s="26">
        <v>43739</v>
      </c>
      <c r="Q383" s="26">
        <v>8152</v>
      </c>
      <c r="R383" s="27">
        <v>51891</v>
      </c>
      <c r="S383" s="26">
        <v>36238</v>
      </c>
      <c r="T383" s="26">
        <v>7241</v>
      </c>
      <c r="U383" s="27">
        <v>43479</v>
      </c>
      <c r="V383" s="26">
        <v>33922</v>
      </c>
      <c r="W383" s="26">
        <v>8768</v>
      </c>
      <c r="X383" s="31">
        <v>42690</v>
      </c>
      <c r="Y383" s="16">
        <v>33922</v>
      </c>
      <c r="Z383" s="16">
        <v>8768</v>
      </c>
      <c r="AA383" s="31">
        <v>42690</v>
      </c>
      <c r="AB383" s="32">
        <v>33336</v>
      </c>
      <c r="AC383" s="16">
        <v>5424</v>
      </c>
      <c r="AD383" s="31">
        <v>38760</v>
      </c>
      <c r="AE383" s="16">
        <v>33336</v>
      </c>
      <c r="AF383" s="16">
        <v>5424</v>
      </c>
      <c r="AG383" s="31">
        <v>38760</v>
      </c>
      <c r="AH383" s="16">
        <v>33336</v>
      </c>
      <c r="AI383" s="16">
        <v>5424</v>
      </c>
      <c r="AJ383" s="31">
        <v>38760</v>
      </c>
      <c r="AK383" s="16">
        <v>44480.130169172931</v>
      </c>
      <c r="AL383" s="16">
        <v>768.37793733681463</v>
      </c>
      <c r="AM383" s="31">
        <v>45248.508106509747</v>
      </c>
      <c r="AN383" s="16">
        <v>44480.130169172931</v>
      </c>
      <c r="AO383" s="16">
        <v>768.37793733681463</v>
      </c>
      <c r="AP383" s="31">
        <v>45248.508106509747</v>
      </c>
      <c r="AQ383" s="42"/>
      <c r="AR383" s="43"/>
      <c r="AS383" s="42"/>
      <c r="AT383" s="42"/>
    </row>
    <row r="384" spans="1:46" ht="12.9" customHeight="1" x14ac:dyDescent="0.25">
      <c r="A384" s="28" t="s">
        <v>798</v>
      </c>
      <c r="B384" s="29" t="s">
        <v>799</v>
      </c>
      <c r="C384" s="30" t="s">
        <v>95</v>
      </c>
      <c r="D384" s="40">
        <v>11232</v>
      </c>
      <c r="E384" s="26">
        <v>9533</v>
      </c>
      <c r="F384" s="26">
        <f t="shared" si="10"/>
        <v>20765</v>
      </c>
      <c r="G384" s="40">
        <v>15444</v>
      </c>
      <c r="H384" s="26">
        <v>9677</v>
      </c>
      <c r="I384" s="27">
        <f t="shared" si="11"/>
        <v>25121</v>
      </c>
      <c r="J384" s="40">
        <v>15444</v>
      </c>
      <c r="K384" s="26">
        <v>4349</v>
      </c>
      <c r="L384" s="27">
        <v>19793</v>
      </c>
      <c r="M384" s="26">
        <v>17700</v>
      </c>
      <c r="N384" s="26">
        <v>6425</v>
      </c>
      <c r="O384" s="27">
        <v>24125</v>
      </c>
      <c r="P384" s="26">
        <v>17130</v>
      </c>
      <c r="Q384" s="26">
        <v>6995</v>
      </c>
      <c r="R384" s="27">
        <v>24125</v>
      </c>
      <c r="S384" s="26">
        <v>17060</v>
      </c>
      <c r="T384" s="26">
        <v>7256</v>
      </c>
      <c r="U384" s="27">
        <v>24316</v>
      </c>
      <c r="V384" s="26">
        <v>16878</v>
      </c>
      <c r="W384" s="26">
        <v>7179</v>
      </c>
      <c r="X384" s="31">
        <v>24057</v>
      </c>
      <c r="Y384" s="16">
        <v>11232</v>
      </c>
      <c r="Z384" s="16">
        <v>6896</v>
      </c>
      <c r="AA384" s="31">
        <v>18128</v>
      </c>
      <c r="AB384" s="32">
        <v>11232</v>
      </c>
      <c r="AC384" s="16">
        <v>5528</v>
      </c>
      <c r="AD384" s="31">
        <v>16760</v>
      </c>
      <c r="AE384" s="16">
        <v>11232</v>
      </c>
      <c r="AF384" s="16">
        <v>15848</v>
      </c>
      <c r="AG384" s="31">
        <v>27080</v>
      </c>
      <c r="AH384" s="16">
        <v>11232</v>
      </c>
      <c r="AI384" s="16">
        <v>5528</v>
      </c>
      <c r="AJ384" s="31">
        <v>16760</v>
      </c>
      <c r="AK384" s="16">
        <v>11232</v>
      </c>
      <c r="AL384" s="16">
        <v>5528</v>
      </c>
      <c r="AM384" s="31">
        <v>16760</v>
      </c>
      <c r="AN384" s="16">
        <v>11232</v>
      </c>
      <c r="AO384" s="16">
        <v>5528</v>
      </c>
      <c r="AP384" s="31">
        <v>16760</v>
      </c>
      <c r="AQ384" s="42"/>
      <c r="AR384" s="43"/>
      <c r="AS384" s="42"/>
      <c r="AT384" s="42"/>
    </row>
    <row r="385" spans="1:46" ht="12.9" customHeight="1" x14ac:dyDescent="0.25">
      <c r="A385" s="28" t="s">
        <v>800</v>
      </c>
      <c r="B385" s="29" t="s">
        <v>801</v>
      </c>
      <c r="C385" s="30" t="s">
        <v>438</v>
      </c>
      <c r="D385" s="40">
        <v>5433</v>
      </c>
      <c r="E385" s="26">
        <v>4125</v>
      </c>
      <c r="F385" s="26">
        <f t="shared" si="10"/>
        <v>9558</v>
      </c>
      <c r="G385" s="40">
        <v>6578</v>
      </c>
      <c r="H385" s="26">
        <v>13671</v>
      </c>
      <c r="I385" s="27">
        <f t="shared" si="11"/>
        <v>20249</v>
      </c>
      <c r="J385" s="40">
        <v>6578</v>
      </c>
      <c r="K385" s="26">
        <v>14704</v>
      </c>
      <c r="L385" s="27">
        <v>21282</v>
      </c>
      <c r="M385" s="26">
        <v>4476</v>
      </c>
      <c r="N385" s="26">
        <v>9969</v>
      </c>
      <c r="O385" s="27">
        <v>14445</v>
      </c>
      <c r="P385" s="26">
        <v>4476</v>
      </c>
      <c r="Q385" s="26">
        <v>9346</v>
      </c>
      <c r="R385" s="27">
        <v>13822</v>
      </c>
      <c r="S385" s="26">
        <v>4476</v>
      </c>
      <c r="T385" s="26">
        <v>13465</v>
      </c>
      <c r="U385" s="27">
        <v>17941</v>
      </c>
      <c r="V385" s="26">
        <v>4862</v>
      </c>
      <c r="W385" s="26">
        <v>7898</v>
      </c>
      <c r="X385" s="31">
        <v>12760</v>
      </c>
      <c r="Y385" s="16">
        <v>5017</v>
      </c>
      <c r="Z385" s="16">
        <v>11169</v>
      </c>
      <c r="AA385" s="31">
        <v>16186</v>
      </c>
      <c r="AB385" s="32">
        <v>6750</v>
      </c>
      <c r="AC385" s="16">
        <v>11286</v>
      </c>
      <c r="AD385" s="31">
        <v>18036</v>
      </c>
      <c r="AE385" s="16">
        <v>6750</v>
      </c>
      <c r="AF385" s="16">
        <v>8173</v>
      </c>
      <c r="AG385" s="31">
        <v>14923</v>
      </c>
      <c r="AH385" s="16">
        <v>4652</v>
      </c>
      <c r="AI385" s="16">
        <v>34401</v>
      </c>
      <c r="AJ385" s="31">
        <v>39053</v>
      </c>
      <c r="AK385" s="16">
        <v>4306</v>
      </c>
      <c r="AL385" s="16">
        <v>37434</v>
      </c>
      <c r="AM385" s="31">
        <v>41740</v>
      </c>
      <c r="AN385" s="16">
        <v>5892</v>
      </c>
      <c r="AO385" s="16">
        <v>28155</v>
      </c>
      <c r="AP385" s="31">
        <v>34047</v>
      </c>
      <c r="AQ385" s="42"/>
      <c r="AR385" s="43"/>
      <c r="AS385" s="42"/>
      <c r="AT385" s="42"/>
    </row>
    <row r="386" spans="1:46" ht="12.9" customHeight="1" x14ac:dyDescent="0.25">
      <c r="A386" s="28" t="s">
        <v>802</v>
      </c>
      <c r="B386" s="29" t="s">
        <v>803</v>
      </c>
      <c r="C386" s="30" t="s">
        <v>26</v>
      </c>
      <c r="D386" s="40">
        <v>472924</v>
      </c>
      <c r="E386" s="26">
        <v>174038</v>
      </c>
      <c r="F386" s="26">
        <f t="shared" si="10"/>
        <v>646962</v>
      </c>
      <c r="G386" s="40">
        <v>478060</v>
      </c>
      <c r="H386" s="26">
        <v>144871</v>
      </c>
      <c r="I386" s="27">
        <f t="shared" si="11"/>
        <v>622931</v>
      </c>
      <c r="J386" s="40">
        <v>489846</v>
      </c>
      <c r="K386" s="26">
        <v>154975</v>
      </c>
      <c r="L386" s="27">
        <v>644821</v>
      </c>
      <c r="M386" s="26">
        <v>511871</v>
      </c>
      <c r="N386" s="26">
        <v>156197</v>
      </c>
      <c r="O386" s="27">
        <v>668068</v>
      </c>
      <c r="P386" s="26">
        <v>567084</v>
      </c>
      <c r="Q386" s="26">
        <v>138182</v>
      </c>
      <c r="R386" s="27">
        <v>705266</v>
      </c>
      <c r="S386" s="26">
        <v>498311</v>
      </c>
      <c r="T386" s="26">
        <v>177426</v>
      </c>
      <c r="U386" s="27">
        <v>675737</v>
      </c>
      <c r="V386" s="26">
        <v>504249</v>
      </c>
      <c r="W386" s="26">
        <v>179942</v>
      </c>
      <c r="X386" s="31">
        <v>684191</v>
      </c>
      <c r="Y386" s="16">
        <v>515488</v>
      </c>
      <c r="Z386" s="16">
        <v>184106</v>
      </c>
      <c r="AA386" s="31">
        <v>699594</v>
      </c>
      <c r="AB386" s="32">
        <v>501929</v>
      </c>
      <c r="AC386" s="16">
        <v>181003</v>
      </c>
      <c r="AD386" s="31">
        <v>682932</v>
      </c>
      <c r="AE386" s="16">
        <v>553958</v>
      </c>
      <c r="AF386" s="16">
        <v>170789</v>
      </c>
      <c r="AG386" s="31">
        <v>724747</v>
      </c>
      <c r="AH386" s="16">
        <v>497177</v>
      </c>
      <c r="AI386" s="16">
        <v>718254</v>
      </c>
      <c r="AJ386" s="31">
        <v>1215431</v>
      </c>
      <c r="AK386" s="16">
        <v>505497</v>
      </c>
      <c r="AL386" s="16">
        <v>604819</v>
      </c>
      <c r="AM386" s="31">
        <v>1110316</v>
      </c>
      <c r="AN386" s="16">
        <v>522588</v>
      </c>
      <c r="AO386" s="16">
        <v>687738</v>
      </c>
      <c r="AP386" s="31">
        <v>1210326</v>
      </c>
      <c r="AQ386" s="42"/>
      <c r="AR386" s="43"/>
      <c r="AS386" s="42"/>
      <c r="AT386" s="42"/>
    </row>
    <row r="387" spans="1:46" ht="12.9" customHeight="1" x14ac:dyDescent="0.25">
      <c r="A387" s="28" t="s">
        <v>804</v>
      </c>
      <c r="B387" s="29" t="s">
        <v>805</v>
      </c>
      <c r="C387" s="30" t="s">
        <v>274</v>
      </c>
      <c r="D387" s="40">
        <v>354665</v>
      </c>
      <c r="E387" s="26">
        <v>98461</v>
      </c>
      <c r="F387" s="26">
        <f t="shared" si="10"/>
        <v>453126</v>
      </c>
      <c r="G387" s="40">
        <v>382960</v>
      </c>
      <c r="H387" s="26">
        <v>108782</v>
      </c>
      <c r="I387" s="27">
        <f t="shared" si="11"/>
        <v>491742</v>
      </c>
      <c r="J387" s="40">
        <v>351475</v>
      </c>
      <c r="K387" s="26">
        <v>117395</v>
      </c>
      <c r="L387" s="27">
        <v>468870</v>
      </c>
      <c r="M387" s="26">
        <v>358275</v>
      </c>
      <c r="N387" s="26">
        <v>116599</v>
      </c>
      <c r="O387" s="27">
        <v>474874</v>
      </c>
      <c r="P387" s="26">
        <v>358356</v>
      </c>
      <c r="Q387" s="26">
        <v>110142</v>
      </c>
      <c r="R387" s="27">
        <v>468498</v>
      </c>
      <c r="S387" s="26">
        <v>335820</v>
      </c>
      <c r="T387" s="26">
        <v>132703</v>
      </c>
      <c r="U387" s="27">
        <v>468523</v>
      </c>
      <c r="V387" s="26">
        <v>365157</v>
      </c>
      <c r="W387" s="26">
        <v>114796</v>
      </c>
      <c r="X387" s="31">
        <v>479953</v>
      </c>
      <c r="Y387" s="16">
        <v>313946</v>
      </c>
      <c r="Z387" s="16">
        <v>130667</v>
      </c>
      <c r="AA387" s="31">
        <v>444613</v>
      </c>
      <c r="AB387" s="32">
        <v>306923</v>
      </c>
      <c r="AC387" s="16">
        <v>111928</v>
      </c>
      <c r="AD387" s="31">
        <v>418851</v>
      </c>
      <c r="AE387" s="16">
        <v>301526</v>
      </c>
      <c r="AF387" s="16">
        <v>111014</v>
      </c>
      <c r="AG387" s="31">
        <v>412540</v>
      </c>
      <c r="AH387" s="16">
        <v>296333</v>
      </c>
      <c r="AI387" s="16">
        <v>115069</v>
      </c>
      <c r="AJ387" s="31">
        <v>411402</v>
      </c>
      <c r="AK387" s="16">
        <v>323281</v>
      </c>
      <c r="AL387" s="16">
        <v>102971</v>
      </c>
      <c r="AM387" s="31">
        <v>426252</v>
      </c>
      <c r="AN387" s="16">
        <v>330916</v>
      </c>
      <c r="AO387" s="16">
        <v>91189</v>
      </c>
      <c r="AP387" s="31">
        <v>422105</v>
      </c>
      <c r="AQ387" s="42"/>
      <c r="AR387" s="43"/>
      <c r="AS387" s="42"/>
      <c r="AT387" s="42"/>
    </row>
    <row r="388" spans="1:46" ht="12.9" customHeight="1" x14ac:dyDescent="0.25">
      <c r="A388" s="28" t="s">
        <v>806</v>
      </c>
      <c r="B388" s="29" t="s">
        <v>807</v>
      </c>
      <c r="C388" s="30" t="s">
        <v>274</v>
      </c>
      <c r="D388" s="40">
        <v>20507</v>
      </c>
      <c r="E388" s="26">
        <v>9096</v>
      </c>
      <c r="F388" s="26">
        <f t="shared" si="10"/>
        <v>29603</v>
      </c>
      <c r="G388" s="40">
        <v>25877</v>
      </c>
      <c r="H388" s="26">
        <v>8194</v>
      </c>
      <c r="I388" s="27">
        <f t="shared" si="11"/>
        <v>34071</v>
      </c>
      <c r="J388" s="40">
        <v>33735</v>
      </c>
      <c r="K388" s="26">
        <v>10463</v>
      </c>
      <c r="L388" s="27">
        <v>44198</v>
      </c>
      <c r="M388" s="26">
        <v>38146</v>
      </c>
      <c r="N388" s="26">
        <v>13165</v>
      </c>
      <c r="O388" s="27">
        <v>51311</v>
      </c>
      <c r="P388" s="26">
        <v>33807</v>
      </c>
      <c r="Q388" s="26">
        <v>9691</v>
      </c>
      <c r="R388" s="27">
        <v>43498</v>
      </c>
      <c r="S388" s="26">
        <v>29827</v>
      </c>
      <c r="T388" s="26">
        <v>8282</v>
      </c>
      <c r="U388" s="27">
        <v>38109</v>
      </c>
      <c r="V388" s="26">
        <v>28269</v>
      </c>
      <c r="W388" s="26">
        <v>8035</v>
      </c>
      <c r="X388" s="31">
        <v>36304</v>
      </c>
      <c r="Y388" s="16">
        <v>28285</v>
      </c>
      <c r="Z388" s="16">
        <v>10055</v>
      </c>
      <c r="AA388" s="31">
        <v>38340</v>
      </c>
      <c r="AB388" s="32">
        <v>27699</v>
      </c>
      <c r="AC388" s="16">
        <v>9056</v>
      </c>
      <c r="AD388" s="31">
        <v>36755</v>
      </c>
      <c r="AE388" s="16">
        <v>22321</v>
      </c>
      <c r="AF388" s="16">
        <v>13262</v>
      </c>
      <c r="AG388" s="31">
        <v>35583</v>
      </c>
      <c r="AH388" s="16">
        <v>23824</v>
      </c>
      <c r="AI388" s="16">
        <v>16153</v>
      </c>
      <c r="AJ388" s="31">
        <v>39977</v>
      </c>
      <c r="AK388" s="16">
        <v>22842</v>
      </c>
      <c r="AL388" s="16">
        <v>19200</v>
      </c>
      <c r="AM388" s="31">
        <v>42042</v>
      </c>
      <c r="AN388" s="16">
        <v>23425</v>
      </c>
      <c r="AO388" s="16">
        <v>16508</v>
      </c>
      <c r="AP388" s="31">
        <v>39933</v>
      </c>
      <c r="AQ388" s="42"/>
      <c r="AR388" s="43"/>
      <c r="AS388" s="42"/>
      <c r="AT388" s="42"/>
    </row>
    <row r="389" spans="1:46" ht="12.9" customHeight="1" x14ac:dyDescent="0.25">
      <c r="A389" s="28" t="s">
        <v>808</v>
      </c>
      <c r="B389" s="29" t="s">
        <v>809</v>
      </c>
      <c r="C389" s="30" t="s">
        <v>384</v>
      </c>
      <c r="D389" s="40">
        <v>31630</v>
      </c>
      <c r="E389" s="26">
        <v>12400</v>
      </c>
      <c r="F389" s="26">
        <f t="shared" si="10"/>
        <v>44030</v>
      </c>
      <c r="G389" s="40">
        <v>31980</v>
      </c>
      <c r="H389" s="26">
        <v>11357</v>
      </c>
      <c r="I389" s="27">
        <f t="shared" si="11"/>
        <v>43337</v>
      </c>
      <c r="J389" s="40">
        <v>35681</v>
      </c>
      <c r="K389" s="26">
        <v>14783</v>
      </c>
      <c r="L389" s="27">
        <v>50464</v>
      </c>
      <c r="M389" s="26">
        <v>31350</v>
      </c>
      <c r="N389" s="26">
        <v>7055</v>
      </c>
      <c r="O389" s="27">
        <v>38405</v>
      </c>
      <c r="P389" s="26">
        <v>33223</v>
      </c>
      <c r="Q389" s="26">
        <v>7715</v>
      </c>
      <c r="R389" s="27">
        <v>40938</v>
      </c>
      <c r="S389" s="26">
        <v>38209</v>
      </c>
      <c r="T389" s="26">
        <v>8705</v>
      </c>
      <c r="U389" s="27">
        <v>46914</v>
      </c>
      <c r="V389" s="26">
        <v>31602</v>
      </c>
      <c r="W389" s="26">
        <v>8922</v>
      </c>
      <c r="X389" s="31">
        <v>40524</v>
      </c>
      <c r="Y389" s="16">
        <v>32040</v>
      </c>
      <c r="Z389" s="16">
        <v>15085</v>
      </c>
      <c r="AA389" s="31">
        <v>47125</v>
      </c>
      <c r="AB389" s="32">
        <v>30965</v>
      </c>
      <c r="AC389" s="16">
        <v>9979</v>
      </c>
      <c r="AD389" s="31">
        <v>40944</v>
      </c>
      <c r="AE389" s="16">
        <v>29547</v>
      </c>
      <c r="AF389" s="16">
        <v>8136</v>
      </c>
      <c r="AG389" s="31">
        <v>37683</v>
      </c>
      <c r="AH389" s="16">
        <v>28231</v>
      </c>
      <c r="AI389" s="16">
        <v>7202</v>
      </c>
      <c r="AJ389" s="31">
        <v>35433</v>
      </c>
      <c r="AK389" s="16">
        <v>28077</v>
      </c>
      <c r="AL389" s="16">
        <v>6399</v>
      </c>
      <c r="AM389" s="31">
        <v>34476</v>
      </c>
      <c r="AN389" s="16">
        <v>53444.875000000007</v>
      </c>
      <c r="AO389" s="16">
        <v>6903</v>
      </c>
      <c r="AP389" s="31">
        <v>60347.875000000007</v>
      </c>
      <c r="AQ389" s="42"/>
      <c r="AR389" s="43"/>
      <c r="AS389" s="42"/>
      <c r="AT389" s="42"/>
    </row>
    <row r="390" spans="1:46" ht="12.9" customHeight="1" x14ac:dyDescent="0.25">
      <c r="A390" s="28" t="s">
        <v>810</v>
      </c>
      <c r="B390" s="29" t="s">
        <v>811</v>
      </c>
      <c r="C390" s="30" t="s">
        <v>23</v>
      </c>
      <c r="D390" s="40">
        <v>391810</v>
      </c>
      <c r="E390" s="26">
        <v>97707</v>
      </c>
      <c r="F390" s="26">
        <f t="shared" si="10"/>
        <v>489517</v>
      </c>
      <c r="G390" s="40">
        <v>417936</v>
      </c>
      <c r="H390" s="26">
        <v>98568</v>
      </c>
      <c r="I390" s="27">
        <f t="shared" si="11"/>
        <v>516504</v>
      </c>
      <c r="J390" s="40">
        <v>455174</v>
      </c>
      <c r="K390" s="26">
        <v>123658</v>
      </c>
      <c r="L390" s="27">
        <v>578832</v>
      </c>
      <c r="M390" s="26">
        <v>449658</v>
      </c>
      <c r="N390" s="26">
        <v>106047</v>
      </c>
      <c r="O390" s="27">
        <v>555705</v>
      </c>
      <c r="P390" s="26">
        <v>423057</v>
      </c>
      <c r="Q390" s="26">
        <v>81503</v>
      </c>
      <c r="R390" s="27">
        <v>504560</v>
      </c>
      <c r="S390" s="26">
        <v>439962</v>
      </c>
      <c r="T390" s="26">
        <v>113731</v>
      </c>
      <c r="U390" s="27">
        <v>553693</v>
      </c>
      <c r="V390" s="26">
        <v>435167</v>
      </c>
      <c r="W390" s="26">
        <v>108482</v>
      </c>
      <c r="X390" s="31">
        <v>543649</v>
      </c>
      <c r="Y390" s="16">
        <v>452505</v>
      </c>
      <c r="Z390" s="16">
        <v>117333</v>
      </c>
      <c r="AA390" s="31">
        <v>569838</v>
      </c>
      <c r="AB390" s="32">
        <v>467133</v>
      </c>
      <c r="AC390" s="16">
        <v>118769</v>
      </c>
      <c r="AD390" s="31">
        <v>585902</v>
      </c>
      <c r="AE390" s="16">
        <v>439735</v>
      </c>
      <c r="AF390" s="16">
        <v>114385</v>
      </c>
      <c r="AG390" s="31">
        <v>554120</v>
      </c>
      <c r="AH390" s="16">
        <v>428923</v>
      </c>
      <c r="AI390" s="16">
        <v>108154</v>
      </c>
      <c r="AJ390" s="31">
        <v>537077</v>
      </c>
      <c r="AK390" s="16">
        <v>414564.60367239872</v>
      </c>
      <c r="AL390" s="16">
        <v>102678</v>
      </c>
      <c r="AM390" s="31">
        <v>517242.60367239872</v>
      </c>
      <c r="AN390" s="16">
        <v>443469</v>
      </c>
      <c r="AO390" s="16">
        <v>97161</v>
      </c>
      <c r="AP390" s="31">
        <v>540630</v>
      </c>
      <c r="AQ390" s="42"/>
      <c r="AR390" s="43"/>
      <c r="AS390" s="42"/>
      <c r="AT390" s="42"/>
    </row>
    <row r="391" spans="1:46" ht="12.9" customHeight="1" x14ac:dyDescent="0.25">
      <c r="A391" s="28" t="s">
        <v>812</v>
      </c>
      <c r="B391" s="29" t="s">
        <v>813</v>
      </c>
      <c r="C391" s="30" t="s">
        <v>34</v>
      </c>
      <c r="D391" s="40">
        <v>13941</v>
      </c>
      <c r="E391" s="26">
        <v>1699</v>
      </c>
      <c r="F391" s="26">
        <f t="shared" si="10"/>
        <v>15640</v>
      </c>
      <c r="G391" s="40">
        <v>13438</v>
      </c>
      <c r="H391" s="26">
        <v>1163</v>
      </c>
      <c r="I391" s="27">
        <f t="shared" si="11"/>
        <v>14601</v>
      </c>
      <c r="J391" s="40">
        <v>14716</v>
      </c>
      <c r="K391" s="26">
        <v>2937</v>
      </c>
      <c r="L391" s="27">
        <v>17653</v>
      </c>
      <c r="M391" s="26">
        <v>14716</v>
      </c>
      <c r="N391" s="26">
        <v>2016</v>
      </c>
      <c r="O391" s="27">
        <v>16732</v>
      </c>
      <c r="P391" s="26">
        <v>14933</v>
      </c>
      <c r="Q391" s="26">
        <v>1532</v>
      </c>
      <c r="R391" s="27">
        <v>16465</v>
      </c>
      <c r="S391" s="26">
        <v>14345</v>
      </c>
      <c r="T391" s="26">
        <v>1623</v>
      </c>
      <c r="U391" s="27">
        <v>15968</v>
      </c>
      <c r="V391" s="26">
        <v>13695</v>
      </c>
      <c r="W391" s="26">
        <v>15880</v>
      </c>
      <c r="X391" s="31">
        <v>29575</v>
      </c>
      <c r="Y391" s="16">
        <v>14096</v>
      </c>
      <c r="Z391" s="16">
        <v>711</v>
      </c>
      <c r="AA391" s="31">
        <v>14807</v>
      </c>
      <c r="AB391" s="32">
        <v>14629</v>
      </c>
      <c r="AC391" s="16">
        <v>684</v>
      </c>
      <c r="AD391" s="31">
        <v>15313</v>
      </c>
      <c r="AE391" s="16">
        <v>15246</v>
      </c>
      <c r="AF391" s="16">
        <v>1013</v>
      </c>
      <c r="AG391" s="31">
        <v>16259</v>
      </c>
      <c r="AH391" s="16">
        <v>15438</v>
      </c>
      <c r="AI391" s="16">
        <v>1716</v>
      </c>
      <c r="AJ391" s="31">
        <v>17154</v>
      </c>
      <c r="AK391" s="16">
        <v>15126</v>
      </c>
      <c r="AL391" s="16">
        <v>1100</v>
      </c>
      <c r="AM391" s="31">
        <v>16226</v>
      </c>
      <c r="AN391" s="16">
        <v>18556</v>
      </c>
      <c r="AO391" s="16">
        <v>48458</v>
      </c>
      <c r="AP391" s="31">
        <v>67014</v>
      </c>
      <c r="AQ391" s="42"/>
      <c r="AR391" s="43"/>
      <c r="AS391" s="42"/>
      <c r="AT391" s="42"/>
    </row>
    <row r="392" spans="1:46" ht="12.9" customHeight="1" x14ac:dyDescent="0.25">
      <c r="A392" s="28" t="s">
        <v>814</v>
      </c>
      <c r="B392" s="29" t="s">
        <v>815</v>
      </c>
      <c r="C392" s="30" t="s">
        <v>95</v>
      </c>
      <c r="D392" s="40">
        <v>38115</v>
      </c>
      <c r="E392" s="26">
        <v>9019</v>
      </c>
      <c r="F392" s="26">
        <f t="shared" si="10"/>
        <v>47134</v>
      </c>
      <c r="G392" s="40">
        <v>38115</v>
      </c>
      <c r="H392" s="26">
        <v>4943</v>
      </c>
      <c r="I392" s="27">
        <f t="shared" si="11"/>
        <v>43058</v>
      </c>
      <c r="J392" s="40">
        <v>31915</v>
      </c>
      <c r="K392" s="26">
        <v>9089</v>
      </c>
      <c r="L392" s="27">
        <v>41004</v>
      </c>
      <c r="M392" s="26">
        <v>31114</v>
      </c>
      <c r="N392" s="26">
        <v>8161</v>
      </c>
      <c r="O392" s="27">
        <v>39275</v>
      </c>
      <c r="P392" s="26">
        <v>31114</v>
      </c>
      <c r="Q392" s="26">
        <v>8517</v>
      </c>
      <c r="R392" s="27">
        <v>39631</v>
      </c>
      <c r="S392" s="26">
        <v>30532</v>
      </c>
      <c r="T392" s="26">
        <v>10351</v>
      </c>
      <c r="U392" s="27">
        <v>40883</v>
      </c>
      <c r="V392" s="26">
        <v>17061</v>
      </c>
      <c r="W392" s="26">
        <v>11167</v>
      </c>
      <c r="X392" s="31">
        <v>28228</v>
      </c>
      <c r="Y392" s="16">
        <v>18848</v>
      </c>
      <c r="Z392" s="16">
        <v>10844</v>
      </c>
      <c r="AA392" s="31">
        <v>29692</v>
      </c>
      <c r="AB392" s="32">
        <v>15898</v>
      </c>
      <c r="AC392" s="16">
        <v>14349</v>
      </c>
      <c r="AD392" s="31">
        <v>30247</v>
      </c>
      <c r="AE392" s="16">
        <v>15898</v>
      </c>
      <c r="AF392" s="16">
        <v>15138</v>
      </c>
      <c r="AG392" s="31">
        <v>31036</v>
      </c>
      <c r="AH392" s="16">
        <v>13069</v>
      </c>
      <c r="AI392" s="16">
        <v>13201</v>
      </c>
      <c r="AJ392" s="31">
        <v>26270</v>
      </c>
      <c r="AK392" s="16">
        <v>18328</v>
      </c>
      <c r="AL392" s="16">
        <v>14832</v>
      </c>
      <c r="AM392" s="31">
        <v>33160</v>
      </c>
      <c r="AN392" s="16">
        <v>18328</v>
      </c>
      <c r="AO392" s="16">
        <v>15149</v>
      </c>
      <c r="AP392" s="31">
        <v>33477</v>
      </c>
      <c r="AQ392" s="42"/>
      <c r="AR392" s="43"/>
      <c r="AS392" s="42"/>
      <c r="AT392" s="42"/>
    </row>
    <row r="393" spans="1:46" ht="12.9" customHeight="1" x14ac:dyDescent="0.25">
      <c r="A393" s="28" t="s">
        <v>816</v>
      </c>
      <c r="B393" s="29" t="s">
        <v>817</v>
      </c>
      <c r="C393" s="30" t="s">
        <v>34</v>
      </c>
      <c r="D393" s="40">
        <v>6547004</v>
      </c>
      <c r="E393" s="26">
        <v>3983674</v>
      </c>
      <c r="F393" s="26">
        <f t="shared" ref="F393:F456" si="12">+D393+E393</f>
        <v>10530678</v>
      </c>
      <c r="G393" s="40">
        <v>6527914</v>
      </c>
      <c r="H393" s="26">
        <v>4088530</v>
      </c>
      <c r="I393" s="27">
        <f t="shared" si="11"/>
        <v>10616444</v>
      </c>
      <c r="J393" s="40">
        <v>6601763</v>
      </c>
      <c r="K393" s="26">
        <v>4200130</v>
      </c>
      <c r="L393" s="27">
        <v>10801893</v>
      </c>
      <c r="M393" s="26">
        <v>6690449</v>
      </c>
      <c r="N393" s="26">
        <v>3793639</v>
      </c>
      <c r="O393" s="27">
        <v>10484088</v>
      </c>
      <c r="P393" s="26">
        <v>6822123</v>
      </c>
      <c r="Q393" s="26">
        <v>3331228</v>
      </c>
      <c r="R393" s="27">
        <v>10153351</v>
      </c>
      <c r="S393" s="26">
        <v>6422015</v>
      </c>
      <c r="T393" s="26">
        <v>4265033</v>
      </c>
      <c r="U393" s="27">
        <v>10687048</v>
      </c>
      <c r="V393" s="26">
        <v>6345728</v>
      </c>
      <c r="W393" s="26">
        <v>4356917</v>
      </c>
      <c r="X393" s="31">
        <v>10702645</v>
      </c>
      <c r="Y393" s="16">
        <v>6358624</v>
      </c>
      <c r="Z393" s="16">
        <v>4144685</v>
      </c>
      <c r="AA393" s="31">
        <v>10503309</v>
      </c>
      <c r="AB393" s="32">
        <v>6280759</v>
      </c>
      <c r="AC393" s="16">
        <v>4246624</v>
      </c>
      <c r="AD393" s="31">
        <v>10527383</v>
      </c>
      <c r="AE393" s="16">
        <v>6358082</v>
      </c>
      <c r="AF393" s="16">
        <v>4349061</v>
      </c>
      <c r="AG393" s="31">
        <v>10707143</v>
      </c>
      <c r="AH393" s="16">
        <v>6298449</v>
      </c>
      <c r="AI393" s="16">
        <v>4325641</v>
      </c>
      <c r="AJ393" s="31">
        <v>10624090</v>
      </c>
      <c r="AK393" s="16">
        <v>6411711</v>
      </c>
      <c r="AL393" s="16">
        <v>4357274</v>
      </c>
      <c r="AM393" s="31">
        <v>10768985</v>
      </c>
      <c r="AN393" s="16">
        <v>6779793</v>
      </c>
      <c r="AO393" s="16">
        <v>4245994</v>
      </c>
      <c r="AP393" s="31">
        <v>11025787</v>
      </c>
      <c r="AQ393" s="42"/>
      <c r="AR393" s="43"/>
      <c r="AS393" s="42"/>
      <c r="AT393" s="42"/>
    </row>
    <row r="394" spans="1:46" ht="12.9" customHeight="1" x14ac:dyDescent="0.25">
      <c r="A394" s="28" t="s">
        <v>818</v>
      </c>
      <c r="B394" s="29" t="s">
        <v>819</v>
      </c>
      <c r="C394" s="30" t="s">
        <v>23</v>
      </c>
      <c r="D394" s="40">
        <v>44560</v>
      </c>
      <c r="E394" s="26">
        <v>113353</v>
      </c>
      <c r="F394" s="26">
        <f t="shared" si="12"/>
        <v>157913</v>
      </c>
      <c r="G394" s="40">
        <v>52061</v>
      </c>
      <c r="H394" s="26">
        <v>118857</v>
      </c>
      <c r="I394" s="27">
        <f t="shared" ref="I394:I457" si="13">+G394+H394</f>
        <v>170918</v>
      </c>
      <c r="J394" s="40">
        <v>60802</v>
      </c>
      <c r="K394" s="26">
        <v>116626</v>
      </c>
      <c r="L394" s="27">
        <v>177428</v>
      </c>
      <c r="M394" s="26">
        <v>58832</v>
      </c>
      <c r="N394" s="26">
        <v>109361</v>
      </c>
      <c r="O394" s="27">
        <v>168193</v>
      </c>
      <c r="P394" s="26">
        <v>62225</v>
      </c>
      <c r="Q394" s="26">
        <v>121570</v>
      </c>
      <c r="R394" s="27">
        <v>183795</v>
      </c>
      <c r="S394" s="26">
        <v>59205</v>
      </c>
      <c r="T394" s="26">
        <v>129158</v>
      </c>
      <c r="U394" s="27">
        <v>188363</v>
      </c>
      <c r="V394" s="26">
        <v>59899</v>
      </c>
      <c r="W394" s="26">
        <v>114869</v>
      </c>
      <c r="X394" s="31">
        <v>174768</v>
      </c>
      <c r="Y394" s="16">
        <v>61333</v>
      </c>
      <c r="Z394" s="16">
        <v>127101</v>
      </c>
      <c r="AA394" s="31">
        <v>188434</v>
      </c>
      <c r="AB394" s="32">
        <v>64594</v>
      </c>
      <c r="AC394" s="16">
        <v>120816</v>
      </c>
      <c r="AD394" s="31">
        <v>185410</v>
      </c>
      <c r="AE394" s="16">
        <v>59991</v>
      </c>
      <c r="AF394" s="16">
        <v>54796</v>
      </c>
      <c r="AG394" s="31">
        <v>114787</v>
      </c>
      <c r="AH394" s="16">
        <v>59955</v>
      </c>
      <c r="AI394" s="16">
        <v>51310</v>
      </c>
      <c r="AJ394" s="31">
        <v>111265</v>
      </c>
      <c r="AK394" s="16">
        <v>58262</v>
      </c>
      <c r="AL394" s="16">
        <v>31095</v>
      </c>
      <c r="AM394" s="31">
        <v>89357</v>
      </c>
      <c r="AN394" s="16">
        <v>68073</v>
      </c>
      <c r="AO394" s="16">
        <v>76234</v>
      </c>
      <c r="AP394" s="31">
        <v>144307</v>
      </c>
      <c r="AQ394" s="42"/>
      <c r="AR394" s="43"/>
      <c r="AS394" s="42"/>
      <c r="AT394" s="42"/>
    </row>
    <row r="395" spans="1:46" ht="12.9" customHeight="1" x14ac:dyDescent="0.25">
      <c r="A395" s="28" t="s">
        <v>820</v>
      </c>
      <c r="B395" s="29" t="s">
        <v>821</v>
      </c>
      <c r="C395" s="30" t="s">
        <v>110</v>
      </c>
      <c r="D395" s="40">
        <v>39168</v>
      </c>
      <c r="E395" s="26">
        <v>11055</v>
      </c>
      <c r="F395" s="26">
        <f t="shared" si="12"/>
        <v>50223</v>
      </c>
      <c r="G395" s="40">
        <v>39888</v>
      </c>
      <c r="H395" s="26">
        <v>9919</v>
      </c>
      <c r="I395" s="27">
        <f t="shared" si="13"/>
        <v>49807</v>
      </c>
      <c r="J395" s="40">
        <v>40032</v>
      </c>
      <c r="K395" s="26">
        <v>9915</v>
      </c>
      <c r="L395" s="27">
        <v>49947</v>
      </c>
      <c r="M395" s="26">
        <v>28801</v>
      </c>
      <c r="N395" s="26">
        <v>14674</v>
      </c>
      <c r="O395" s="27">
        <v>43475</v>
      </c>
      <c r="P395" s="26">
        <v>31104</v>
      </c>
      <c r="Q395" s="26">
        <v>14087</v>
      </c>
      <c r="R395" s="27">
        <v>45191</v>
      </c>
      <c r="S395" s="26">
        <v>31104</v>
      </c>
      <c r="T395" s="26">
        <v>14207</v>
      </c>
      <c r="U395" s="27">
        <v>45311</v>
      </c>
      <c r="V395" s="26">
        <v>31104</v>
      </c>
      <c r="W395" s="26">
        <v>14934</v>
      </c>
      <c r="X395" s="31">
        <v>46038</v>
      </c>
      <c r="Y395" s="16">
        <v>31104</v>
      </c>
      <c r="Z395" s="16">
        <v>14103</v>
      </c>
      <c r="AA395" s="31">
        <v>45207</v>
      </c>
      <c r="AB395" s="32">
        <v>31104</v>
      </c>
      <c r="AC395" s="16">
        <v>13899</v>
      </c>
      <c r="AD395" s="31">
        <v>45003</v>
      </c>
      <c r="AE395" s="16">
        <v>29808</v>
      </c>
      <c r="AF395" s="16">
        <v>13597</v>
      </c>
      <c r="AG395" s="31">
        <v>43405</v>
      </c>
      <c r="AH395" s="16">
        <v>29808</v>
      </c>
      <c r="AI395" s="16">
        <v>13579</v>
      </c>
      <c r="AJ395" s="31">
        <v>43387</v>
      </c>
      <c r="AK395" s="16">
        <v>59616</v>
      </c>
      <c r="AL395" s="16">
        <v>26582</v>
      </c>
      <c r="AM395" s="31">
        <v>86198</v>
      </c>
      <c r="AN395" s="16">
        <v>59616</v>
      </c>
      <c r="AO395" s="16">
        <v>26582</v>
      </c>
      <c r="AP395" s="31">
        <v>86198</v>
      </c>
      <c r="AQ395" s="42"/>
      <c r="AR395" s="43"/>
      <c r="AS395" s="42"/>
      <c r="AT395" s="42"/>
    </row>
    <row r="396" spans="1:46" ht="12.9" customHeight="1" x14ac:dyDescent="0.25">
      <c r="A396" s="28" t="s">
        <v>822</v>
      </c>
      <c r="B396" s="29" t="s">
        <v>823</v>
      </c>
      <c r="C396" s="30" t="s">
        <v>26</v>
      </c>
      <c r="D396" s="40">
        <v>712612</v>
      </c>
      <c r="E396" s="26">
        <v>163310</v>
      </c>
      <c r="F396" s="26">
        <f t="shared" si="12"/>
        <v>875922</v>
      </c>
      <c r="G396" s="40">
        <v>763315</v>
      </c>
      <c r="H396" s="26">
        <v>154418</v>
      </c>
      <c r="I396" s="27">
        <f t="shared" si="13"/>
        <v>917733</v>
      </c>
      <c r="J396" s="40">
        <v>803642</v>
      </c>
      <c r="K396" s="26">
        <v>157489</v>
      </c>
      <c r="L396" s="27">
        <v>961131</v>
      </c>
      <c r="M396" s="26">
        <v>816591</v>
      </c>
      <c r="N396" s="26">
        <v>147197</v>
      </c>
      <c r="O396" s="27">
        <v>963788</v>
      </c>
      <c r="P396" s="26">
        <v>797690</v>
      </c>
      <c r="Q396" s="26">
        <v>160455</v>
      </c>
      <c r="R396" s="27">
        <v>958145</v>
      </c>
      <c r="S396" s="26">
        <v>757301</v>
      </c>
      <c r="T396" s="26">
        <v>186520</v>
      </c>
      <c r="U396" s="27">
        <v>943821</v>
      </c>
      <c r="V396" s="26">
        <v>725460</v>
      </c>
      <c r="W396" s="26">
        <v>211291</v>
      </c>
      <c r="X396" s="31">
        <v>936751</v>
      </c>
      <c r="Y396" s="16">
        <v>755586</v>
      </c>
      <c r="Z396" s="16">
        <v>174160</v>
      </c>
      <c r="AA396" s="31">
        <v>929746</v>
      </c>
      <c r="AB396" s="32">
        <v>698302</v>
      </c>
      <c r="AC396" s="16">
        <v>168497</v>
      </c>
      <c r="AD396" s="31">
        <v>866799</v>
      </c>
      <c r="AE396" s="16">
        <v>682867</v>
      </c>
      <c r="AF396" s="16">
        <v>149545</v>
      </c>
      <c r="AG396" s="31">
        <v>832412</v>
      </c>
      <c r="AH396" s="16">
        <v>654905</v>
      </c>
      <c r="AI396" s="16">
        <v>168135</v>
      </c>
      <c r="AJ396" s="31">
        <v>823040</v>
      </c>
      <c r="AK396" s="16">
        <v>674732</v>
      </c>
      <c r="AL396" s="16">
        <v>158756</v>
      </c>
      <c r="AM396" s="31">
        <v>833488</v>
      </c>
      <c r="AN396" s="16">
        <v>746900</v>
      </c>
      <c r="AO396" s="16">
        <v>182257</v>
      </c>
      <c r="AP396" s="31">
        <v>929157</v>
      </c>
      <c r="AQ396" s="42"/>
      <c r="AR396" s="43"/>
      <c r="AS396" s="42"/>
      <c r="AT396" s="42"/>
    </row>
    <row r="397" spans="1:46" ht="12.9" customHeight="1" x14ac:dyDescent="0.25">
      <c r="A397" s="28" t="s">
        <v>824</v>
      </c>
      <c r="B397" s="29" t="s">
        <v>825</v>
      </c>
      <c r="C397" s="30" t="s">
        <v>26</v>
      </c>
      <c r="D397" s="40">
        <v>259064</v>
      </c>
      <c r="E397" s="26">
        <v>239847</v>
      </c>
      <c r="F397" s="26">
        <f t="shared" si="12"/>
        <v>498911</v>
      </c>
      <c r="G397" s="40">
        <v>285523</v>
      </c>
      <c r="H397" s="26">
        <v>237711</v>
      </c>
      <c r="I397" s="27">
        <f t="shared" si="13"/>
        <v>523234</v>
      </c>
      <c r="J397" s="40">
        <v>314513</v>
      </c>
      <c r="K397" s="26">
        <v>261116</v>
      </c>
      <c r="L397" s="27">
        <v>575629</v>
      </c>
      <c r="M397" s="26">
        <v>319214</v>
      </c>
      <c r="N397" s="26">
        <v>252110</v>
      </c>
      <c r="O397" s="27">
        <v>571324</v>
      </c>
      <c r="P397" s="26">
        <v>287988</v>
      </c>
      <c r="Q397" s="26">
        <v>267334</v>
      </c>
      <c r="R397" s="27">
        <v>555322</v>
      </c>
      <c r="S397" s="26">
        <v>287988</v>
      </c>
      <c r="T397" s="26">
        <v>285988</v>
      </c>
      <c r="U397" s="27">
        <v>573976</v>
      </c>
      <c r="V397" s="26">
        <v>266089</v>
      </c>
      <c r="W397" s="26">
        <v>279497</v>
      </c>
      <c r="X397" s="31">
        <v>545586</v>
      </c>
      <c r="Y397" s="16">
        <v>278124</v>
      </c>
      <c r="Z397" s="16">
        <v>275532</v>
      </c>
      <c r="AA397" s="31">
        <v>553656</v>
      </c>
      <c r="AB397" s="32">
        <v>293247</v>
      </c>
      <c r="AC397" s="16">
        <v>294167</v>
      </c>
      <c r="AD397" s="31">
        <v>587414</v>
      </c>
      <c r="AE397" s="16">
        <v>286034</v>
      </c>
      <c r="AF397" s="16">
        <v>267394</v>
      </c>
      <c r="AG397" s="31">
        <v>553428</v>
      </c>
      <c r="AH397" s="16">
        <v>278807</v>
      </c>
      <c r="AI397" s="16">
        <v>240481</v>
      </c>
      <c r="AJ397" s="31">
        <v>519288</v>
      </c>
      <c r="AK397" s="16">
        <v>279700</v>
      </c>
      <c r="AL397" s="16">
        <v>264100</v>
      </c>
      <c r="AM397" s="31">
        <v>543800</v>
      </c>
      <c r="AN397" s="16">
        <v>339757</v>
      </c>
      <c r="AO397" s="16">
        <v>301388</v>
      </c>
      <c r="AP397" s="31">
        <v>641145</v>
      </c>
      <c r="AQ397" s="42"/>
      <c r="AR397" s="43"/>
      <c r="AS397" s="42"/>
      <c r="AT397" s="42"/>
    </row>
    <row r="398" spans="1:46" ht="12.9" customHeight="1" x14ac:dyDescent="0.25">
      <c r="A398" s="28" t="s">
        <v>826</v>
      </c>
      <c r="B398" s="29" t="s">
        <v>827</v>
      </c>
      <c r="C398" s="30" t="s">
        <v>8</v>
      </c>
      <c r="D398" s="40">
        <v>3000</v>
      </c>
      <c r="E398" s="26">
        <v>355</v>
      </c>
      <c r="F398" s="26">
        <f t="shared" si="12"/>
        <v>3355</v>
      </c>
      <c r="G398" s="40">
        <v>5448</v>
      </c>
      <c r="H398" s="26">
        <v>293</v>
      </c>
      <c r="I398" s="27">
        <f t="shared" si="13"/>
        <v>5741</v>
      </c>
      <c r="J398" s="40">
        <v>6261</v>
      </c>
      <c r="K398" s="26">
        <v>198</v>
      </c>
      <c r="L398" s="27">
        <v>6459</v>
      </c>
      <c r="M398" s="26">
        <v>3869</v>
      </c>
      <c r="N398" s="26">
        <v>612</v>
      </c>
      <c r="O398" s="27">
        <v>4481</v>
      </c>
      <c r="P398" s="26">
        <v>4656</v>
      </c>
      <c r="Q398" s="26">
        <v>480</v>
      </c>
      <c r="R398" s="27">
        <v>5136</v>
      </c>
      <c r="S398" s="26">
        <v>4255</v>
      </c>
      <c r="T398" s="26">
        <v>499</v>
      </c>
      <c r="U398" s="27">
        <v>4754</v>
      </c>
      <c r="V398" s="26">
        <v>3816</v>
      </c>
      <c r="W398" s="26">
        <v>331</v>
      </c>
      <c r="X398" s="31">
        <v>4147</v>
      </c>
      <c r="Y398" s="16">
        <v>3640</v>
      </c>
      <c r="Z398" s="16">
        <v>550</v>
      </c>
      <c r="AA398" s="31">
        <v>4190</v>
      </c>
      <c r="AB398" s="32">
        <v>3553</v>
      </c>
      <c r="AC398" s="16">
        <v>430</v>
      </c>
      <c r="AD398" s="31">
        <v>3983</v>
      </c>
      <c r="AE398" s="16">
        <v>6886</v>
      </c>
      <c r="AF398" s="16">
        <v>0</v>
      </c>
      <c r="AG398" s="31">
        <v>6886</v>
      </c>
      <c r="AH398" s="16">
        <v>4016</v>
      </c>
      <c r="AI398" s="16">
        <v>98</v>
      </c>
      <c r="AJ398" s="31">
        <v>4114</v>
      </c>
      <c r="AK398" s="16">
        <v>4016</v>
      </c>
      <c r="AL398" s="16">
        <v>98</v>
      </c>
      <c r="AM398" s="31">
        <v>4114</v>
      </c>
      <c r="AN398" s="16">
        <v>4405</v>
      </c>
      <c r="AO398" s="16">
        <v>180</v>
      </c>
      <c r="AP398" s="31">
        <v>4585</v>
      </c>
      <c r="AQ398" s="42"/>
      <c r="AR398" s="43"/>
      <c r="AS398" s="42"/>
      <c r="AT398" s="42"/>
    </row>
    <row r="399" spans="1:46" ht="12.9" customHeight="1" x14ac:dyDescent="0.25">
      <c r="A399" s="28" t="s">
        <v>828</v>
      </c>
      <c r="B399" s="29" t="s">
        <v>829</v>
      </c>
      <c r="C399" s="30" t="s">
        <v>26</v>
      </c>
      <c r="D399" s="40">
        <v>409747</v>
      </c>
      <c r="E399" s="26">
        <v>508280</v>
      </c>
      <c r="F399" s="26">
        <f t="shared" si="12"/>
        <v>918027</v>
      </c>
      <c r="G399" s="40">
        <v>430997</v>
      </c>
      <c r="H399" s="26">
        <v>606524</v>
      </c>
      <c r="I399" s="27">
        <f t="shared" si="13"/>
        <v>1037521</v>
      </c>
      <c r="J399" s="40">
        <v>467129</v>
      </c>
      <c r="K399" s="26">
        <v>572673</v>
      </c>
      <c r="L399" s="27">
        <v>1039802</v>
      </c>
      <c r="M399" s="26">
        <v>460030</v>
      </c>
      <c r="N399" s="26">
        <v>548554</v>
      </c>
      <c r="O399" s="27">
        <v>1008584</v>
      </c>
      <c r="P399" s="26">
        <v>374377</v>
      </c>
      <c r="Q399" s="26">
        <v>486934</v>
      </c>
      <c r="R399" s="27">
        <v>861311</v>
      </c>
      <c r="S399" s="26">
        <v>415360</v>
      </c>
      <c r="T399" s="26">
        <v>497388</v>
      </c>
      <c r="U399" s="27">
        <v>912748</v>
      </c>
      <c r="V399" s="26">
        <v>396737</v>
      </c>
      <c r="W399" s="26">
        <v>448255</v>
      </c>
      <c r="X399" s="31">
        <v>844992</v>
      </c>
      <c r="Y399" s="16">
        <v>409643</v>
      </c>
      <c r="Z399" s="16">
        <v>419103</v>
      </c>
      <c r="AA399" s="31">
        <v>828746</v>
      </c>
      <c r="AB399" s="32">
        <v>405851</v>
      </c>
      <c r="AC399" s="16">
        <v>415548</v>
      </c>
      <c r="AD399" s="31">
        <v>821399</v>
      </c>
      <c r="AE399" s="16">
        <v>407437</v>
      </c>
      <c r="AF399" s="16">
        <v>395916</v>
      </c>
      <c r="AG399" s="31">
        <v>803353</v>
      </c>
      <c r="AH399" s="16">
        <v>394315</v>
      </c>
      <c r="AI399" s="16">
        <v>400877</v>
      </c>
      <c r="AJ399" s="31">
        <v>795192</v>
      </c>
      <c r="AK399" s="16">
        <v>393743</v>
      </c>
      <c r="AL399" s="16">
        <v>388918</v>
      </c>
      <c r="AM399" s="31">
        <v>782661</v>
      </c>
      <c r="AN399" s="16">
        <v>435714</v>
      </c>
      <c r="AO399" s="16">
        <v>380931</v>
      </c>
      <c r="AP399" s="31">
        <v>816645</v>
      </c>
      <c r="AQ399" s="42"/>
      <c r="AR399" s="43"/>
      <c r="AS399" s="42"/>
      <c r="AT399" s="42"/>
    </row>
    <row r="400" spans="1:46" ht="12.9" customHeight="1" x14ac:dyDescent="0.25">
      <c r="A400" s="28" t="s">
        <v>830</v>
      </c>
      <c r="B400" s="29" t="s">
        <v>831</v>
      </c>
      <c r="C400" s="30" t="s">
        <v>110</v>
      </c>
      <c r="D400" s="40">
        <v>150286</v>
      </c>
      <c r="E400" s="26">
        <v>29550</v>
      </c>
      <c r="F400" s="26">
        <f t="shared" si="12"/>
        <v>179836</v>
      </c>
      <c r="G400" s="40">
        <v>149277</v>
      </c>
      <c r="H400" s="26">
        <v>33352</v>
      </c>
      <c r="I400" s="27">
        <f t="shared" si="13"/>
        <v>182629</v>
      </c>
      <c r="J400" s="40">
        <v>149851</v>
      </c>
      <c r="K400" s="26">
        <v>37100</v>
      </c>
      <c r="L400" s="27">
        <v>186951</v>
      </c>
      <c r="M400" s="26">
        <v>151263</v>
      </c>
      <c r="N400" s="26">
        <v>28769</v>
      </c>
      <c r="O400" s="27">
        <v>180032</v>
      </c>
      <c r="P400" s="26">
        <v>159633</v>
      </c>
      <c r="Q400" s="26">
        <v>54599</v>
      </c>
      <c r="R400" s="27">
        <v>214232</v>
      </c>
      <c r="S400" s="26">
        <v>149186</v>
      </c>
      <c r="T400" s="26">
        <v>41504</v>
      </c>
      <c r="U400" s="27">
        <v>190690</v>
      </c>
      <c r="V400" s="26">
        <v>145090</v>
      </c>
      <c r="W400" s="26">
        <v>36714</v>
      </c>
      <c r="X400" s="31">
        <v>181804</v>
      </c>
      <c r="Y400" s="16">
        <v>174628</v>
      </c>
      <c r="Z400" s="16">
        <v>35352</v>
      </c>
      <c r="AA400" s="31">
        <v>209980</v>
      </c>
      <c r="AB400" s="32">
        <v>137670</v>
      </c>
      <c r="AC400" s="16">
        <v>42307</v>
      </c>
      <c r="AD400" s="31">
        <v>179977</v>
      </c>
      <c r="AE400" s="16">
        <v>141122</v>
      </c>
      <c r="AF400" s="16">
        <v>48243</v>
      </c>
      <c r="AG400" s="31">
        <v>189365</v>
      </c>
      <c r="AH400" s="16">
        <v>121818</v>
      </c>
      <c r="AI400" s="16">
        <v>39002</v>
      </c>
      <c r="AJ400" s="31">
        <v>160820</v>
      </c>
      <c r="AK400" s="16">
        <v>115471</v>
      </c>
      <c r="AL400" s="16">
        <v>28007</v>
      </c>
      <c r="AM400" s="31">
        <v>143478</v>
      </c>
      <c r="AN400" s="16">
        <v>153239</v>
      </c>
      <c r="AO400" s="16">
        <v>28042</v>
      </c>
      <c r="AP400" s="31">
        <v>181281</v>
      </c>
      <c r="AQ400" s="42"/>
      <c r="AR400" s="43"/>
      <c r="AS400" s="42"/>
      <c r="AT400" s="42"/>
    </row>
    <row r="401" spans="1:46" ht="12.9" customHeight="1" x14ac:dyDescent="0.25">
      <c r="A401" s="28" t="s">
        <v>832</v>
      </c>
      <c r="B401" s="29" t="s">
        <v>833</v>
      </c>
      <c r="C401" s="30" t="s">
        <v>249</v>
      </c>
      <c r="D401" s="40">
        <v>4797</v>
      </c>
      <c r="E401" s="26">
        <v>2131</v>
      </c>
      <c r="F401" s="26">
        <f t="shared" si="12"/>
        <v>6928</v>
      </c>
      <c r="G401" s="40">
        <v>4783</v>
      </c>
      <c r="H401" s="26">
        <v>2038</v>
      </c>
      <c r="I401" s="27">
        <f t="shared" si="13"/>
        <v>6821</v>
      </c>
      <c r="J401" s="40">
        <v>5331</v>
      </c>
      <c r="K401" s="26">
        <v>5737</v>
      </c>
      <c r="L401" s="27">
        <v>11068</v>
      </c>
      <c r="M401" s="26">
        <v>5616</v>
      </c>
      <c r="N401" s="26">
        <v>2589</v>
      </c>
      <c r="O401" s="27">
        <v>8205</v>
      </c>
      <c r="P401" s="26">
        <v>5387</v>
      </c>
      <c r="Q401" s="26">
        <v>44</v>
      </c>
      <c r="R401" s="27">
        <v>5431</v>
      </c>
      <c r="S401" s="26">
        <v>5153</v>
      </c>
      <c r="T401" s="26">
        <v>1543</v>
      </c>
      <c r="U401" s="27">
        <v>6696</v>
      </c>
      <c r="V401" s="26">
        <v>4861</v>
      </c>
      <c r="W401" s="26">
        <v>2587</v>
      </c>
      <c r="X401" s="31">
        <v>7448</v>
      </c>
      <c r="Y401" s="16">
        <v>5218</v>
      </c>
      <c r="Z401" s="16">
        <v>2173</v>
      </c>
      <c r="AA401" s="31">
        <v>7391</v>
      </c>
      <c r="AB401" s="32">
        <v>5075</v>
      </c>
      <c r="AC401" s="16">
        <v>2049</v>
      </c>
      <c r="AD401" s="31">
        <v>7124</v>
      </c>
      <c r="AE401" s="16">
        <v>5324</v>
      </c>
      <c r="AF401" s="16">
        <v>1183</v>
      </c>
      <c r="AG401" s="31">
        <v>6507</v>
      </c>
      <c r="AH401" s="16">
        <v>5467</v>
      </c>
      <c r="AI401" s="16">
        <v>2444</v>
      </c>
      <c r="AJ401" s="31">
        <v>7911</v>
      </c>
      <c r="AK401" s="16">
        <v>6090</v>
      </c>
      <c r="AL401" s="16">
        <v>3145</v>
      </c>
      <c r="AM401" s="31">
        <v>9235</v>
      </c>
      <c r="AN401" s="16">
        <v>6090</v>
      </c>
      <c r="AO401" s="16">
        <v>3145</v>
      </c>
      <c r="AP401" s="31">
        <v>9235</v>
      </c>
      <c r="AQ401" s="42"/>
      <c r="AR401" s="43"/>
      <c r="AS401" s="42"/>
      <c r="AT401" s="42"/>
    </row>
    <row r="402" spans="1:46" ht="12.9" customHeight="1" x14ac:dyDescent="0.25">
      <c r="A402" s="28" t="s">
        <v>834</v>
      </c>
      <c r="B402" s="29" t="s">
        <v>835</v>
      </c>
      <c r="C402" s="30" t="s">
        <v>438</v>
      </c>
      <c r="D402" s="40">
        <v>4426</v>
      </c>
      <c r="E402" s="26">
        <v>2337</v>
      </c>
      <c r="F402" s="26">
        <f t="shared" si="12"/>
        <v>6763</v>
      </c>
      <c r="G402" s="40">
        <v>4461</v>
      </c>
      <c r="H402" s="26">
        <v>2965</v>
      </c>
      <c r="I402" s="27">
        <f t="shared" si="13"/>
        <v>7426</v>
      </c>
      <c r="J402" s="40">
        <v>4461</v>
      </c>
      <c r="K402" s="26">
        <v>2965</v>
      </c>
      <c r="L402" s="27">
        <v>7426</v>
      </c>
      <c r="M402" s="26">
        <v>4101</v>
      </c>
      <c r="N402" s="26">
        <v>2782</v>
      </c>
      <c r="O402" s="27">
        <v>6883</v>
      </c>
      <c r="P402" s="26">
        <v>4101</v>
      </c>
      <c r="Q402" s="26">
        <v>2782</v>
      </c>
      <c r="R402" s="27">
        <v>6883</v>
      </c>
      <c r="S402" s="26">
        <v>4101</v>
      </c>
      <c r="T402" s="26">
        <v>2782</v>
      </c>
      <c r="U402" s="27">
        <v>6883</v>
      </c>
      <c r="V402" s="26">
        <v>3900</v>
      </c>
      <c r="W402" s="26">
        <v>3123</v>
      </c>
      <c r="X402" s="31">
        <v>7023</v>
      </c>
      <c r="Y402" s="16">
        <v>4012</v>
      </c>
      <c r="Z402" s="16">
        <v>2453</v>
      </c>
      <c r="AA402" s="31">
        <v>6465</v>
      </c>
      <c r="AB402" s="32">
        <v>4141</v>
      </c>
      <c r="AC402" s="16">
        <v>2333</v>
      </c>
      <c r="AD402" s="31">
        <v>6474</v>
      </c>
      <c r="AE402" s="16">
        <v>4141</v>
      </c>
      <c r="AF402" s="16">
        <v>2333</v>
      </c>
      <c r="AG402" s="31">
        <v>6474</v>
      </c>
      <c r="AH402" s="16">
        <v>4663</v>
      </c>
      <c r="AI402" s="16">
        <v>23577</v>
      </c>
      <c r="AJ402" s="31">
        <v>28240</v>
      </c>
      <c r="AK402" s="16">
        <v>3900</v>
      </c>
      <c r="AL402" s="16">
        <v>20408</v>
      </c>
      <c r="AM402" s="31">
        <v>24308</v>
      </c>
      <c r="AN402" s="16">
        <v>4107</v>
      </c>
      <c r="AO402" s="16">
        <v>1643</v>
      </c>
      <c r="AP402" s="31">
        <v>5750</v>
      </c>
      <c r="AQ402" s="42"/>
      <c r="AR402" s="43"/>
      <c r="AS402" s="42"/>
      <c r="AT402" s="42"/>
    </row>
    <row r="403" spans="1:46" ht="12.9" customHeight="1" x14ac:dyDescent="0.25">
      <c r="A403" s="28" t="s">
        <v>836</v>
      </c>
      <c r="B403" s="29" t="s">
        <v>837</v>
      </c>
      <c r="C403" s="30" t="s">
        <v>218</v>
      </c>
      <c r="D403" s="40">
        <v>5554</v>
      </c>
      <c r="E403" s="26">
        <v>2</v>
      </c>
      <c r="F403" s="26">
        <f t="shared" si="12"/>
        <v>5556</v>
      </c>
      <c r="G403" s="40">
        <v>6649</v>
      </c>
      <c r="H403" s="26">
        <v>4</v>
      </c>
      <c r="I403" s="27">
        <f t="shared" si="13"/>
        <v>6653</v>
      </c>
      <c r="J403" s="40">
        <v>5449</v>
      </c>
      <c r="K403" s="26">
        <v>2</v>
      </c>
      <c r="L403" s="27">
        <v>5451</v>
      </c>
      <c r="M403" s="26">
        <v>5299</v>
      </c>
      <c r="N403" s="26">
        <v>1</v>
      </c>
      <c r="O403" s="27">
        <v>5300</v>
      </c>
      <c r="P403" s="26">
        <v>4709</v>
      </c>
      <c r="Q403" s="26">
        <v>1</v>
      </c>
      <c r="R403" s="27">
        <v>4710</v>
      </c>
      <c r="S403" s="26">
        <v>4801</v>
      </c>
      <c r="T403" s="26">
        <v>2</v>
      </c>
      <c r="U403" s="27">
        <v>4803</v>
      </c>
      <c r="V403" s="26">
        <v>4685</v>
      </c>
      <c r="W403" s="26">
        <v>1</v>
      </c>
      <c r="X403" s="31">
        <v>4686</v>
      </c>
      <c r="Y403" s="16">
        <v>4302</v>
      </c>
      <c r="Z403" s="16">
        <v>504</v>
      </c>
      <c r="AA403" s="31">
        <v>4806</v>
      </c>
      <c r="AB403" s="32">
        <v>4213</v>
      </c>
      <c r="AC403" s="16">
        <v>654</v>
      </c>
      <c r="AD403" s="31">
        <v>4867</v>
      </c>
      <c r="AE403" s="16">
        <v>4400</v>
      </c>
      <c r="AF403" s="16">
        <v>44</v>
      </c>
      <c r="AG403" s="31">
        <v>4444</v>
      </c>
      <c r="AH403" s="16">
        <v>4334</v>
      </c>
      <c r="AI403" s="16">
        <v>5</v>
      </c>
      <c r="AJ403" s="31">
        <v>4339</v>
      </c>
      <c r="AK403" s="16">
        <v>4861</v>
      </c>
      <c r="AL403" s="16">
        <v>2</v>
      </c>
      <c r="AM403" s="31">
        <v>4863</v>
      </c>
      <c r="AN403" s="16">
        <v>4861</v>
      </c>
      <c r="AO403" s="16">
        <v>2</v>
      </c>
      <c r="AP403" s="31">
        <v>4863</v>
      </c>
      <c r="AQ403" s="42"/>
      <c r="AR403" s="43"/>
      <c r="AS403" s="42"/>
      <c r="AT403" s="42"/>
    </row>
    <row r="404" spans="1:46" ht="12.9" customHeight="1" x14ac:dyDescent="0.25">
      <c r="A404" s="28" t="s">
        <v>838</v>
      </c>
      <c r="B404" s="29" t="s">
        <v>839</v>
      </c>
      <c r="C404" s="30" t="s">
        <v>53</v>
      </c>
      <c r="D404" s="40">
        <v>91454</v>
      </c>
      <c r="E404" s="26">
        <v>49225</v>
      </c>
      <c r="F404" s="26">
        <f t="shared" si="12"/>
        <v>140679</v>
      </c>
      <c r="G404" s="40">
        <v>103917</v>
      </c>
      <c r="H404" s="26">
        <v>73825</v>
      </c>
      <c r="I404" s="27">
        <f t="shared" si="13"/>
        <v>177742</v>
      </c>
      <c r="J404" s="40">
        <v>97713</v>
      </c>
      <c r="K404" s="26">
        <v>52202</v>
      </c>
      <c r="L404" s="27">
        <v>149915</v>
      </c>
      <c r="M404" s="26">
        <v>97608</v>
      </c>
      <c r="N404" s="26">
        <v>55544</v>
      </c>
      <c r="O404" s="27">
        <v>153152</v>
      </c>
      <c r="P404" s="26">
        <v>97608</v>
      </c>
      <c r="Q404" s="26">
        <v>54770</v>
      </c>
      <c r="R404" s="27">
        <v>152378</v>
      </c>
      <c r="S404" s="26">
        <v>97608</v>
      </c>
      <c r="T404" s="26">
        <v>55764</v>
      </c>
      <c r="U404" s="27">
        <v>153372</v>
      </c>
      <c r="V404" s="26">
        <v>105143</v>
      </c>
      <c r="W404" s="26">
        <v>41413</v>
      </c>
      <c r="X404" s="31">
        <v>146556</v>
      </c>
      <c r="Y404" s="16">
        <v>107095</v>
      </c>
      <c r="Z404" s="16">
        <v>40263</v>
      </c>
      <c r="AA404" s="31">
        <v>147358</v>
      </c>
      <c r="AB404" s="32">
        <v>106462</v>
      </c>
      <c r="AC404" s="16">
        <v>35329</v>
      </c>
      <c r="AD404" s="31">
        <v>141791</v>
      </c>
      <c r="AE404" s="16">
        <v>109306</v>
      </c>
      <c r="AF404" s="16">
        <v>33991</v>
      </c>
      <c r="AG404" s="31">
        <v>143297</v>
      </c>
      <c r="AH404" s="16">
        <v>110522</v>
      </c>
      <c r="AI404" s="16">
        <v>33908</v>
      </c>
      <c r="AJ404" s="31">
        <v>144430</v>
      </c>
      <c r="AK404" s="16">
        <v>110522</v>
      </c>
      <c r="AL404" s="16">
        <v>42712</v>
      </c>
      <c r="AM404" s="31">
        <v>153234</v>
      </c>
      <c r="AN404" s="16">
        <v>110522</v>
      </c>
      <c r="AO404" s="16">
        <v>51260</v>
      </c>
      <c r="AP404" s="31">
        <v>161782</v>
      </c>
      <c r="AQ404" s="42"/>
      <c r="AR404" s="43"/>
      <c r="AS404" s="42"/>
      <c r="AT404" s="42"/>
    </row>
    <row r="405" spans="1:46" ht="12.9" customHeight="1" x14ac:dyDescent="0.25">
      <c r="A405" s="28" t="s">
        <v>840</v>
      </c>
      <c r="B405" s="29" t="s">
        <v>841</v>
      </c>
      <c r="C405" s="30" t="s">
        <v>123</v>
      </c>
      <c r="D405" s="40">
        <v>2565400</v>
      </c>
      <c r="E405" s="26">
        <v>1846229</v>
      </c>
      <c r="F405" s="26">
        <f t="shared" si="12"/>
        <v>4411629</v>
      </c>
      <c r="G405" s="40">
        <v>2322020</v>
      </c>
      <c r="H405" s="26">
        <v>1845427</v>
      </c>
      <c r="I405" s="27">
        <f t="shared" si="13"/>
        <v>4167447</v>
      </c>
      <c r="J405" s="40">
        <v>2214547</v>
      </c>
      <c r="K405" s="26">
        <v>1563346</v>
      </c>
      <c r="L405" s="27">
        <v>3777893</v>
      </c>
      <c r="M405" s="26">
        <v>2161767</v>
      </c>
      <c r="N405" s="26">
        <v>1248074</v>
      </c>
      <c r="O405" s="27">
        <v>3409841</v>
      </c>
      <c r="P405" s="26">
        <v>2147582</v>
      </c>
      <c r="Q405" s="26">
        <v>1229123</v>
      </c>
      <c r="R405" s="27">
        <v>3376705</v>
      </c>
      <c r="S405" s="26">
        <v>2213393</v>
      </c>
      <c r="T405" s="26">
        <v>2132237</v>
      </c>
      <c r="U405" s="27">
        <v>4345630</v>
      </c>
      <c r="V405" s="26">
        <v>2232571</v>
      </c>
      <c r="W405" s="26">
        <v>2112296</v>
      </c>
      <c r="X405" s="31">
        <v>4344867</v>
      </c>
      <c r="Y405" s="16">
        <v>2161603</v>
      </c>
      <c r="Z405" s="16">
        <v>2135833</v>
      </c>
      <c r="AA405" s="31">
        <v>4297436</v>
      </c>
      <c r="AB405" s="32">
        <v>2131146</v>
      </c>
      <c r="AC405" s="16">
        <v>2127357</v>
      </c>
      <c r="AD405" s="31">
        <v>4258503</v>
      </c>
      <c r="AE405" s="16">
        <v>2078722</v>
      </c>
      <c r="AF405" s="16">
        <v>1941757</v>
      </c>
      <c r="AG405" s="31">
        <v>4020479</v>
      </c>
      <c r="AH405" s="16">
        <v>2059539</v>
      </c>
      <c r="AI405" s="16">
        <v>1905264</v>
      </c>
      <c r="AJ405" s="31">
        <v>3964803</v>
      </c>
      <c r="AK405" s="16">
        <v>2139028</v>
      </c>
      <c r="AL405" s="16">
        <v>1724002</v>
      </c>
      <c r="AM405" s="31">
        <v>3863030</v>
      </c>
      <c r="AN405" s="16">
        <v>2299502</v>
      </c>
      <c r="AO405" s="16">
        <v>2010026</v>
      </c>
      <c r="AP405" s="31">
        <v>4309528</v>
      </c>
      <c r="AQ405" s="42"/>
      <c r="AR405" s="43"/>
      <c r="AS405" s="42"/>
      <c r="AT405" s="42"/>
    </row>
    <row r="406" spans="1:46" ht="12.9" customHeight="1" x14ac:dyDescent="0.25">
      <c r="A406" s="28" t="s">
        <v>842</v>
      </c>
      <c r="B406" s="29" t="s">
        <v>843</v>
      </c>
      <c r="C406" s="30" t="s">
        <v>384</v>
      </c>
      <c r="D406" s="40">
        <v>3234</v>
      </c>
      <c r="E406" s="26">
        <v>14264</v>
      </c>
      <c r="F406" s="26">
        <f t="shared" si="12"/>
        <v>17498</v>
      </c>
      <c r="G406" s="40">
        <v>3341</v>
      </c>
      <c r="H406" s="26">
        <v>18257</v>
      </c>
      <c r="I406" s="27">
        <f t="shared" si="13"/>
        <v>21598</v>
      </c>
      <c r="J406" s="40">
        <v>5216</v>
      </c>
      <c r="K406" s="26">
        <v>14840</v>
      </c>
      <c r="L406" s="27">
        <v>20056</v>
      </c>
      <c r="M406" s="26">
        <v>5760</v>
      </c>
      <c r="N406" s="26">
        <v>16819</v>
      </c>
      <c r="O406" s="27">
        <v>22579</v>
      </c>
      <c r="P406" s="26">
        <v>5760</v>
      </c>
      <c r="Q406" s="26">
        <v>17076</v>
      </c>
      <c r="R406" s="27">
        <v>22836</v>
      </c>
      <c r="S406" s="26">
        <v>11509</v>
      </c>
      <c r="T406" s="26">
        <v>33494</v>
      </c>
      <c r="U406" s="27">
        <v>45003</v>
      </c>
      <c r="V406" s="26">
        <v>7107</v>
      </c>
      <c r="W406" s="26">
        <v>20054</v>
      </c>
      <c r="X406" s="31">
        <v>27161</v>
      </c>
      <c r="Y406" s="16">
        <v>7107</v>
      </c>
      <c r="Z406" s="16">
        <v>30107</v>
      </c>
      <c r="AA406" s="31">
        <v>37214</v>
      </c>
      <c r="AB406" s="32">
        <v>7107</v>
      </c>
      <c r="AC406" s="16">
        <v>31386</v>
      </c>
      <c r="AD406" s="31">
        <v>38493</v>
      </c>
      <c r="AE406" s="16">
        <v>7107</v>
      </c>
      <c r="AF406" s="16">
        <v>29820</v>
      </c>
      <c r="AG406" s="31">
        <v>36927</v>
      </c>
      <c r="AH406" s="16">
        <v>7480</v>
      </c>
      <c r="AI406" s="16">
        <v>11226</v>
      </c>
      <c r="AJ406" s="31">
        <v>18706</v>
      </c>
      <c r="AK406" s="16">
        <v>7480</v>
      </c>
      <c r="AL406" s="16">
        <v>10360</v>
      </c>
      <c r="AM406" s="31">
        <v>17840</v>
      </c>
      <c r="AN406" s="16">
        <v>7480</v>
      </c>
      <c r="AO406" s="16">
        <v>10064</v>
      </c>
      <c r="AP406" s="31">
        <v>17544</v>
      </c>
      <c r="AQ406" s="42"/>
      <c r="AR406" s="43"/>
      <c r="AS406" s="42"/>
      <c r="AT406" s="42"/>
    </row>
    <row r="407" spans="1:46" ht="12.9" customHeight="1" x14ac:dyDescent="0.25">
      <c r="A407" s="28" t="s">
        <v>844</v>
      </c>
      <c r="B407" s="29" t="s">
        <v>845</v>
      </c>
      <c r="C407" s="47" t="s">
        <v>1946</v>
      </c>
      <c r="D407" s="40">
        <v>8021</v>
      </c>
      <c r="E407" s="26">
        <v>11883</v>
      </c>
      <c r="F407" s="26">
        <f t="shared" si="12"/>
        <v>19904</v>
      </c>
      <c r="G407" s="40">
        <v>8657</v>
      </c>
      <c r="H407" s="26">
        <v>11702</v>
      </c>
      <c r="I407" s="27">
        <f t="shared" si="13"/>
        <v>20359</v>
      </c>
      <c r="J407" s="40">
        <v>10265</v>
      </c>
      <c r="K407" s="26">
        <v>12323</v>
      </c>
      <c r="L407" s="27">
        <v>22588</v>
      </c>
      <c r="M407" s="26">
        <v>10303</v>
      </c>
      <c r="N407" s="26">
        <v>13823</v>
      </c>
      <c r="O407" s="27">
        <v>24126</v>
      </c>
      <c r="P407" s="26">
        <v>9436</v>
      </c>
      <c r="Q407" s="26">
        <v>11123</v>
      </c>
      <c r="R407" s="27">
        <v>20559</v>
      </c>
      <c r="S407" s="26">
        <v>9571</v>
      </c>
      <c r="T407" s="26">
        <v>13327</v>
      </c>
      <c r="U407" s="27">
        <v>22898</v>
      </c>
      <c r="V407" s="26">
        <v>8978</v>
      </c>
      <c r="W407" s="26">
        <v>14275</v>
      </c>
      <c r="X407" s="31">
        <v>23253</v>
      </c>
      <c r="Y407" s="16">
        <v>9646</v>
      </c>
      <c r="Z407" s="16">
        <v>12405</v>
      </c>
      <c r="AA407" s="31">
        <v>22051</v>
      </c>
      <c r="AB407" s="32">
        <v>9404</v>
      </c>
      <c r="AC407" s="16">
        <v>11424</v>
      </c>
      <c r="AD407" s="31">
        <v>20828</v>
      </c>
      <c r="AE407" s="16">
        <v>9366</v>
      </c>
      <c r="AF407" s="16">
        <v>9557</v>
      </c>
      <c r="AG407" s="31">
        <v>18923</v>
      </c>
      <c r="AH407" s="16">
        <v>9149</v>
      </c>
      <c r="AI407" s="16">
        <v>10284</v>
      </c>
      <c r="AJ407" s="31">
        <v>19433</v>
      </c>
      <c r="AK407" s="16">
        <v>8471</v>
      </c>
      <c r="AL407" s="16">
        <v>9161</v>
      </c>
      <c r="AM407" s="31">
        <v>17632</v>
      </c>
      <c r="AN407" s="16">
        <v>8984</v>
      </c>
      <c r="AO407" s="16">
        <v>9971</v>
      </c>
      <c r="AP407" s="31">
        <v>18955</v>
      </c>
      <c r="AQ407" s="42"/>
      <c r="AR407" s="43"/>
      <c r="AS407" s="42"/>
      <c r="AT407" s="42"/>
    </row>
    <row r="408" spans="1:46" ht="12.9" customHeight="1" x14ac:dyDescent="0.25">
      <c r="A408" s="28" t="s">
        <v>846</v>
      </c>
      <c r="B408" s="29" t="s">
        <v>847</v>
      </c>
      <c r="C408" s="30" t="s">
        <v>23</v>
      </c>
      <c r="D408" s="40">
        <v>32652</v>
      </c>
      <c r="E408" s="26">
        <v>14024</v>
      </c>
      <c r="F408" s="26">
        <f t="shared" si="12"/>
        <v>46676</v>
      </c>
      <c r="G408" s="40">
        <v>44536</v>
      </c>
      <c r="H408" s="26">
        <v>26412</v>
      </c>
      <c r="I408" s="27">
        <f t="shared" si="13"/>
        <v>70948</v>
      </c>
      <c r="J408" s="40">
        <v>54784</v>
      </c>
      <c r="K408" s="26">
        <v>23399</v>
      </c>
      <c r="L408" s="27">
        <v>78183</v>
      </c>
      <c r="M408" s="26">
        <v>57094</v>
      </c>
      <c r="N408" s="26">
        <v>17536</v>
      </c>
      <c r="O408" s="27">
        <v>74630</v>
      </c>
      <c r="P408" s="26">
        <v>57692</v>
      </c>
      <c r="Q408" s="26">
        <v>7939</v>
      </c>
      <c r="R408" s="27">
        <v>65631</v>
      </c>
      <c r="S408" s="26">
        <v>57692</v>
      </c>
      <c r="T408" s="26">
        <v>9246</v>
      </c>
      <c r="U408" s="27">
        <v>66938</v>
      </c>
      <c r="V408" s="26">
        <v>57692</v>
      </c>
      <c r="W408" s="26">
        <v>10818</v>
      </c>
      <c r="X408" s="31">
        <v>68510</v>
      </c>
      <c r="Y408" s="16">
        <v>57692</v>
      </c>
      <c r="Z408" s="16">
        <v>8880</v>
      </c>
      <c r="AA408" s="31">
        <v>66572</v>
      </c>
      <c r="AB408" s="32">
        <v>57692</v>
      </c>
      <c r="AC408" s="16">
        <v>7591</v>
      </c>
      <c r="AD408" s="31">
        <v>65283</v>
      </c>
      <c r="AE408" s="16">
        <v>57692</v>
      </c>
      <c r="AF408" s="16">
        <v>8773</v>
      </c>
      <c r="AG408" s="31">
        <v>66465</v>
      </c>
      <c r="AH408" s="16">
        <v>57692</v>
      </c>
      <c r="AI408" s="16">
        <v>10131</v>
      </c>
      <c r="AJ408" s="31">
        <v>67823</v>
      </c>
      <c r="AK408" s="16">
        <v>57692</v>
      </c>
      <c r="AL408" s="16">
        <v>12042</v>
      </c>
      <c r="AM408" s="31">
        <v>69734</v>
      </c>
      <c r="AN408" s="16">
        <v>57692</v>
      </c>
      <c r="AO408" s="16">
        <v>10807</v>
      </c>
      <c r="AP408" s="31">
        <v>68499</v>
      </c>
      <c r="AQ408" s="42"/>
      <c r="AR408" s="43"/>
      <c r="AS408" s="42"/>
      <c r="AT408" s="42"/>
    </row>
    <row r="409" spans="1:46" ht="12.9" customHeight="1" x14ac:dyDescent="0.25">
      <c r="A409" s="28" t="s">
        <v>848</v>
      </c>
      <c r="B409" s="29" t="s">
        <v>849</v>
      </c>
      <c r="C409" s="30" t="s">
        <v>123</v>
      </c>
      <c r="D409" s="40">
        <v>341177</v>
      </c>
      <c r="E409" s="26">
        <v>225156</v>
      </c>
      <c r="F409" s="26">
        <f t="shared" si="12"/>
        <v>566333</v>
      </c>
      <c r="G409" s="40">
        <v>397275</v>
      </c>
      <c r="H409" s="26">
        <v>222838</v>
      </c>
      <c r="I409" s="27">
        <f t="shared" si="13"/>
        <v>620113</v>
      </c>
      <c r="J409" s="40">
        <v>594735</v>
      </c>
      <c r="K409" s="26">
        <v>234501</v>
      </c>
      <c r="L409" s="27">
        <v>829236</v>
      </c>
      <c r="M409" s="26">
        <v>539215</v>
      </c>
      <c r="N409" s="26">
        <v>195429</v>
      </c>
      <c r="O409" s="27">
        <v>734644</v>
      </c>
      <c r="P409" s="26">
        <v>535045</v>
      </c>
      <c r="Q409" s="26">
        <v>203721</v>
      </c>
      <c r="R409" s="27">
        <v>738766</v>
      </c>
      <c r="S409" s="26">
        <v>514313</v>
      </c>
      <c r="T409" s="26">
        <v>221397</v>
      </c>
      <c r="U409" s="27">
        <v>735710</v>
      </c>
      <c r="V409" s="26">
        <v>505579</v>
      </c>
      <c r="W409" s="26">
        <v>217800</v>
      </c>
      <c r="X409" s="31">
        <v>723379</v>
      </c>
      <c r="Y409" s="16">
        <v>346062</v>
      </c>
      <c r="Z409" s="16">
        <v>217027</v>
      </c>
      <c r="AA409" s="31">
        <v>563089</v>
      </c>
      <c r="AB409" s="32">
        <v>336761</v>
      </c>
      <c r="AC409" s="16">
        <v>201942</v>
      </c>
      <c r="AD409" s="31">
        <v>538703</v>
      </c>
      <c r="AE409" s="16">
        <v>348629</v>
      </c>
      <c r="AF409" s="16">
        <v>225287</v>
      </c>
      <c r="AG409" s="31">
        <v>573916</v>
      </c>
      <c r="AH409" s="16">
        <v>342004</v>
      </c>
      <c r="AI409" s="16">
        <v>229875</v>
      </c>
      <c r="AJ409" s="31">
        <v>571879</v>
      </c>
      <c r="AK409" s="16">
        <v>382662</v>
      </c>
      <c r="AL409" s="16">
        <v>224306</v>
      </c>
      <c r="AM409" s="31">
        <v>606968</v>
      </c>
      <c r="AN409" s="16">
        <v>411962</v>
      </c>
      <c r="AO409" s="16">
        <v>229306</v>
      </c>
      <c r="AP409" s="31">
        <v>641268</v>
      </c>
      <c r="AQ409" s="42"/>
      <c r="AR409" s="43"/>
      <c r="AS409" s="42"/>
      <c r="AT409" s="42"/>
    </row>
    <row r="410" spans="1:46" ht="12.9" customHeight="1" x14ac:dyDescent="0.25">
      <c r="A410" s="28" t="s">
        <v>850</v>
      </c>
      <c r="B410" s="29" t="s">
        <v>851</v>
      </c>
      <c r="C410" s="30" t="s">
        <v>274</v>
      </c>
      <c r="D410" s="40">
        <v>16966</v>
      </c>
      <c r="E410" s="26">
        <v>5685</v>
      </c>
      <c r="F410" s="26">
        <f t="shared" si="12"/>
        <v>22651</v>
      </c>
      <c r="G410" s="40">
        <v>17954</v>
      </c>
      <c r="H410" s="26">
        <v>6022</v>
      </c>
      <c r="I410" s="27">
        <f t="shared" si="13"/>
        <v>23976</v>
      </c>
      <c r="J410" s="40">
        <v>22486</v>
      </c>
      <c r="K410" s="26">
        <v>7350</v>
      </c>
      <c r="L410" s="27">
        <v>29836</v>
      </c>
      <c r="M410" s="26">
        <v>21108</v>
      </c>
      <c r="N410" s="26">
        <v>5645</v>
      </c>
      <c r="O410" s="27">
        <v>26753</v>
      </c>
      <c r="P410" s="26">
        <v>18407</v>
      </c>
      <c r="Q410" s="26">
        <v>7093</v>
      </c>
      <c r="R410" s="27">
        <v>25500</v>
      </c>
      <c r="S410" s="26">
        <v>18407</v>
      </c>
      <c r="T410" s="26">
        <v>7093</v>
      </c>
      <c r="U410" s="27">
        <v>25500</v>
      </c>
      <c r="V410" s="26">
        <v>18343</v>
      </c>
      <c r="W410" s="26">
        <v>7231</v>
      </c>
      <c r="X410" s="31">
        <v>25574</v>
      </c>
      <c r="Y410" s="16">
        <v>20710</v>
      </c>
      <c r="Z410" s="16">
        <v>6367</v>
      </c>
      <c r="AA410" s="31">
        <v>27077</v>
      </c>
      <c r="AB410" s="32">
        <v>21307</v>
      </c>
      <c r="AC410" s="16">
        <v>5827</v>
      </c>
      <c r="AD410" s="31">
        <v>27134</v>
      </c>
      <c r="AE410" s="16">
        <v>20317</v>
      </c>
      <c r="AF410" s="16">
        <v>6661</v>
      </c>
      <c r="AG410" s="31">
        <v>26978</v>
      </c>
      <c r="AH410" s="16">
        <v>19077</v>
      </c>
      <c r="AI410" s="16">
        <v>5915</v>
      </c>
      <c r="AJ410" s="31">
        <v>24992</v>
      </c>
      <c r="AK410" s="16">
        <v>17951</v>
      </c>
      <c r="AL410" s="16">
        <v>5519</v>
      </c>
      <c r="AM410" s="31">
        <v>23470</v>
      </c>
      <c r="AN410" s="16">
        <v>24181</v>
      </c>
      <c r="AO410" s="16">
        <v>6966</v>
      </c>
      <c r="AP410" s="31">
        <v>31147</v>
      </c>
      <c r="AQ410" s="42"/>
      <c r="AR410" s="43"/>
      <c r="AS410" s="42"/>
      <c r="AT410" s="42"/>
    </row>
    <row r="411" spans="1:46" ht="12.9" customHeight="1" x14ac:dyDescent="0.25">
      <c r="A411" s="28" t="s">
        <v>852</v>
      </c>
      <c r="B411" s="29" t="s">
        <v>853</v>
      </c>
      <c r="C411" s="30" t="s">
        <v>150</v>
      </c>
      <c r="D411" s="40">
        <v>15904</v>
      </c>
      <c r="E411" s="26">
        <v>13705</v>
      </c>
      <c r="F411" s="26">
        <f t="shared" si="12"/>
        <v>29609</v>
      </c>
      <c r="G411" s="40">
        <v>19914</v>
      </c>
      <c r="H411" s="26">
        <v>18443</v>
      </c>
      <c r="I411" s="27">
        <f t="shared" si="13"/>
        <v>38357</v>
      </c>
      <c r="J411" s="40">
        <v>21306</v>
      </c>
      <c r="K411" s="26">
        <v>16906</v>
      </c>
      <c r="L411" s="27">
        <v>38212</v>
      </c>
      <c r="M411" s="26">
        <v>16892</v>
      </c>
      <c r="N411" s="26">
        <v>17331</v>
      </c>
      <c r="O411" s="27">
        <v>34223</v>
      </c>
      <c r="P411" s="26">
        <v>24830</v>
      </c>
      <c r="Q411" s="26">
        <v>11598</v>
      </c>
      <c r="R411" s="27">
        <v>36428</v>
      </c>
      <c r="S411" s="26">
        <v>17238</v>
      </c>
      <c r="T411" s="26">
        <v>15241</v>
      </c>
      <c r="U411" s="27">
        <v>32479</v>
      </c>
      <c r="V411" s="26">
        <v>15074</v>
      </c>
      <c r="W411" s="26">
        <v>8706</v>
      </c>
      <c r="X411" s="31">
        <v>23780</v>
      </c>
      <c r="Y411" s="16">
        <v>15084</v>
      </c>
      <c r="Z411" s="16">
        <v>7449</v>
      </c>
      <c r="AA411" s="31">
        <v>22533</v>
      </c>
      <c r="AB411" s="32">
        <v>14829</v>
      </c>
      <c r="AC411" s="16">
        <v>11134</v>
      </c>
      <c r="AD411" s="31">
        <v>25963</v>
      </c>
      <c r="AE411" s="16">
        <v>16178</v>
      </c>
      <c r="AF411" s="16">
        <v>4889</v>
      </c>
      <c r="AG411" s="31">
        <v>21067</v>
      </c>
      <c r="AH411" s="16">
        <v>12528</v>
      </c>
      <c r="AI411" s="16">
        <v>4202</v>
      </c>
      <c r="AJ411" s="31">
        <v>16730</v>
      </c>
      <c r="AK411" s="16">
        <v>13043</v>
      </c>
      <c r="AL411" s="16">
        <v>5022</v>
      </c>
      <c r="AM411" s="31">
        <v>18065</v>
      </c>
      <c r="AN411" s="16">
        <v>15186</v>
      </c>
      <c r="AO411" s="16">
        <v>3940</v>
      </c>
      <c r="AP411" s="31">
        <v>19126</v>
      </c>
      <c r="AQ411" s="42"/>
      <c r="AR411" s="43"/>
      <c r="AS411" s="42"/>
      <c r="AT411" s="42"/>
    </row>
    <row r="412" spans="1:46" ht="12.9" customHeight="1" x14ac:dyDescent="0.25">
      <c r="A412" s="28" t="s">
        <v>854</v>
      </c>
      <c r="B412" s="29" t="s">
        <v>855</v>
      </c>
      <c r="C412" s="30" t="s">
        <v>34</v>
      </c>
      <c r="D412" s="40">
        <v>31514</v>
      </c>
      <c r="E412" s="26">
        <v>30764</v>
      </c>
      <c r="F412" s="26">
        <f t="shared" si="12"/>
        <v>62278</v>
      </c>
      <c r="G412" s="40">
        <v>29456</v>
      </c>
      <c r="H412" s="26">
        <v>29210</v>
      </c>
      <c r="I412" s="27">
        <f t="shared" si="13"/>
        <v>58666</v>
      </c>
      <c r="J412" s="40">
        <v>29907</v>
      </c>
      <c r="K412" s="26">
        <v>37431</v>
      </c>
      <c r="L412" s="27">
        <v>67338</v>
      </c>
      <c r="M412" s="26">
        <v>30568</v>
      </c>
      <c r="N412" s="26">
        <v>32835</v>
      </c>
      <c r="O412" s="27">
        <v>63403</v>
      </c>
      <c r="P412" s="26">
        <v>30243</v>
      </c>
      <c r="Q412" s="26">
        <v>32015</v>
      </c>
      <c r="R412" s="27">
        <v>62258</v>
      </c>
      <c r="S412" s="26">
        <v>29098</v>
      </c>
      <c r="T412" s="26">
        <v>31546</v>
      </c>
      <c r="U412" s="27">
        <v>60644</v>
      </c>
      <c r="V412" s="26">
        <v>28482</v>
      </c>
      <c r="W412" s="26">
        <v>17313</v>
      </c>
      <c r="X412" s="31">
        <v>45795</v>
      </c>
      <c r="Y412" s="16">
        <v>29709</v>
      </c>
      <c r="Z412" s="16">
        <v>11495</v>
      </c>
      <c r="AA412" s="31">
        <v>41204</v>
      </c>
      <c r="AB412" s="32">
        <v>28833</v>
      </c>
      <c r="AC412" s="16">
        <v>14055</v>
      </c>
      <c r="AD412" s="31">
        <v>42888</v>
      </c>
      <c r="AE412" s="16">
        <v>28427</v>
      </c>
      <c r="AF412" s="16">
        <v>8969</v>
      </c>
      <c r="AG412" s="31">
        <v>37396</v>
      </c>
      <c r="AH412" s="16">
        <v>30976</v>
      </c>
      <c r="AI412" s="16">
        <v>9525</v>
      </c>
      <c r="AJ412" s="31">
        <v>40501</v>
      </c>
      <c r="AK412" s="16">
        <v>28833</v>
      </c>
      <c r="AL412" s="16">
        <v>14404</v>
      </c>
      <c r="AM412" s="31">
        <v>43237</v>
      </c>
      <c r="AN412" s="16">
        <v>30483</v>
      </c>
      <c r="AO412" s="16">
        <v>12325</v>
      </c>
      <c r="AP412" s="31">
        <v>42808</v>
      </c>
      <c r="AQ412" s="42"/>
      <c r="AR412" s="43"/>
      <c r="AS412" s="42"/>
      <c r="AT412" s="42"/>
    </row>
    <row r="413" spans="1:46" ht="12.9" customHeight="1" x14ac:dyDescent="0.25">
      <c r="A413" s="28" t="s">
        <v>856</v>
      </c>
      <c r="B413" s="29" t="s">
        <v>857</v>
      </c>
      <c r="C413" s="30" t="s">
        <v>17</v>
      </c>
      <c r="D413" s="40">
        <v>7309</v>
      </c>
      <c r="E413" s="26">
        <v>37110</v>
      </c>
      <c r="F413" s="26">
        <f t="shared" si="12"/>
        <v>44419</v>
      </c>
      <c r="G413" s="40">
        <v>7843</v>
      </c>
      <c r="H413" s="26">
        <v>43736</v>
      </c>
      <c r="I413" s="27">
        <f t="shared" si="13"/>
        <v>51579</v>
      </c>
      <c r="J413" s="40">
        <v>7698</v>
      </c>
      <c r="K413" s="26">
        <v>60428</v>
      </c>
      <c r="L413" s="27">
        <v>68126</v>
      </c>
      <c r="M413" s="26">
        <v>6712</v>
      </c>
      <c r="N413" s="26">
        <v>50334</v>
      </c>
      <c r="O413" s="27">
        <v>57046</v>
      </c>
      <c r="P413" s="26">
        <v>6978</v>
      </c>
      <c r="Q413" s="26">
        <v>41508</v>
      </c>
      <c r="R413" s="27">
        <v>48486</v>
      </c>
      <c r="S413" s="26">
        <v>6671</v>
      </c>
      <c r="T413" s="26">
        <v>39817</v>
      </c>
      <c r="U413" s="27">
        <v>46488</v>
      </c>
      <c r="V413" s="26">
        <v>6615</v>
      </c>
      <c r="W413" s="26">
        <v>41249</v>
      </c>
      <c r="X413" s="31">
        <v>47864</v>
      </c>
      <c r="Y413" s="16">
        <v>7427</v>
      </c>
      <c r="Z413" s="16">
        <v>32315</v>
      </c>
      <c r="AA413" s="31">
        <v>39742</v>
      </c>
      <c r="AB413" s="32">
        <v>7388</v>
      </c>
      <c r="AC413" s="16">
        <v>801</v>
      </c>
      <c r="AD413" s="31">
        <v>8189</v>
      </c>
      <c r="AE413" s="16">
        <v>7414</v>
      </c>
      <c r="AF413" s="16">
        <v>598</v>
      </c>
      <c r="AG413" s="31">
        <v>8012</v>
      </c>
      <c r="AH413" s="16">
        <v>7997</v>
      </c>
      <c r="AI413" s="16">
        <v>49188</v>
      </c>
      <c r="AJ413" s="31">
        <v>57185</v>
      </c>
      <c r="AK413" s="16">
        <v>7997</v>
      </c>
      <c r="AL413" s="16">
        <v>49418</v>
      </c>
      <c r="AM413" s="31">
        <v>57415</v>
      </c>
      <c r="AN413" s="16">
        <v>7997</v>
      </c>
      <c r="AO413" s="16">
        <v>49253</v>
      </c>
      <c r="AP413" s="31">
        <v>57250</v>
      </c>
      <c r="AQ413" s="42"/>
      <c r="AR413" s="43"/>
      <c r="AS413" s="42"/>
      <c r="AT413" s="42"/>
    </row>
    <row r="414" spans="1:46" ht="12.9" customHeight="1" x14ac:dyDescent="0.25">
      <c r="A414" s="28" t="s">
        <v>858</v>
      </c>
      <c r="B414" s="29" t="s">
        <v>859</v>
      </c>
      <c r="C414" s="30" t="s">
        <v>80</v>
      </c>
      <c r="D414" s="40">
        <v>721250</v>
      </c>
      <c r="E414" s="26">
        <v>975810</v>
      </c>
      <c r="F414" s="26">
        <f t="shared" si="12"/>
        <v>1697060</v>
      </c>
      <c r="G414" s="40">
        <v>854985</v>
      </c>
      <c r="H414" s="26">
        <v>1064897</v>
      </c>
      <c r="I414" s="27">
        <f t="shared" si="13"/>
        <v>1919882</v>
      </c>
      <c r="J414" s="40">
        <v>708327</v>
      </c>
      <c r="K414" s="26">
        <v>1021027</v>
      </c>
      <c r="L414" s="27">
        <v>1729354</v>
      </c>
      <c r="M414" s="26">
        <v>736817</v>
      </c>
      <c r="N414" s="26">
        <v>1013929</v>
      </c>
      <c r="O414" s="27">
        <v>1750746</v>
      </c>
      <c r="P414" s="26">
        <v>716104</v>
      </c>
      <c r="Q414" s="26">
        <v>950773</v>
      </c>
      <c r="R414" s="27">
        <v>1666877</v>
      </c>
      <c r="S414" s="26">
        <v>685121</v>
      </c>
      <c r="T414" s="26">
        <v>1066226</v>
      </c>
      <c r="U414" s="27">
        <v>1751347</v>
      </c>
      <c r="V414" s="26">
        <v>680417</v>
      </c>
      <c r="W414" s="26">
        <v>1080473</v>
      </c>
      <c r="X414" s="31">
        <v>1760890</v>
      </c>
      <c r="Y414" s="16">
        <v>696117</v>
      </c>
      <c r="Z414" s="16">
        <v>1062354</v>
      </c>
      <c r="AA414" s="31">
        <v>1758471</v>
      </c>
      <c r="AB414" s="32">
        <v>680555</v>
      </c>
      <c r="AC414" s="16">
        <v>984877</v>
      </c>
      <c r="AD414" s="31">
        <v>1665432</v>
      </c>
      <c r="AE414" s="16">
        <v>691596</v>
      </c>
      <c r="AF414" s="16">
        <v>1005086</v>
      </c>
      <c r="AG414" s="31">
        <v>1696682</v>
      </c>
      <c r="AH414" s="16">
        <v>684861</v>
      </c>
      <c r="AI414" s="16">
        <v>1082922</v>
      </c>
      <c r="AJ414" s="31">
        <v>1767783</v>
      </c>
      <c r="AK414" s="16">
        <v>699853</v>
      </c>
      <c r="AL414" s="16">
        <v>1171127</v>
      </c>
      <c r="AM414" s="31">
        <v>1870980</v>
      </c>
      <c r="AN414" s="16">
        <v>889027</v>
      </c>
      <c r="AO414" s="16">
        <v>1135702</v>
      </c>
      <c r="AP414" s="31">
        <v>2024729</v>
      </c>
      <c r="AQ414" s="42"/>
      <c r="AR414" s="43"/>
      <c r="AS414" s="42"/>
      <c r="AT414" s="42"/>
    </row>
    <row r="415" spans="1:46" ht="12.9" customHeight="1" x14ac:dyDescent="0.25">
      <c r="A415" s="28" t="s">
        <v>860</v>
      </c>
      <c r="B415" s="29" t="s">
        <v>861</v>
      </c>
      <c r="C415" s="30" t="s">
        <v>113</v>
      </c>
      <c r="D415" s="40">
        <v>10713</v>
      </c>
      <c r="E415" s="26">
        <v>59595</v>
      </c>
      <c r="F415" s="26">
        <f t="shared" si="12"/>
        <v>70308</v>
      </c>
      <c r="G415" s="40">
        <v>11554</v>
      </c>
      <c r="H415" s="26">
        <v>57090</v>
      </c>
      <c r="I415" s="27">
        <f t="shared" si="13"/>
        <v>68644</v>
      </c>
      <c r="J415" s="40">
        <v>11751</v>
      </c>
      <c r="K415" s="26">
        <v>27845</v>
      </c>
      <c r="L415" s="27">
        <v>39596</v>
      </c>
      <c r="M415" s="26">
        <v>12167</v>
      </c>
      <c r="N415" s="26">
        <v>24520</v>
      </c>
      <c r="O415" s="27">
        <v>36687</v>
      </c>
      <c r="P415" s="26">
        <v>12451</v>
      </c>
      <c r="Q415" s="26">
        <v>23127</v>
      </c>
      <c r="R415" s="27">
        <v>35578</v>
      </c>
      <c r="S415" s="26">
        <v>10891</v>
      </c>
      <c r="T415" s="26">
        <v>54345</v>
      </c>
      <c r="U415" s="27">
        <v>65236</v>
      </c>
      <c r="V415" s="26">
        <v>9735</v>
      </c>
      <c r="W415" s="26">
        <v>26342</v>
      </c>
      <c r="X415" s="31">
        <v>36077</v>
      </c>
      <c r="Y415" s="16">
        <v>10163</v>
      </c>
      <c r="Z415" s="16">
        <v>25724</v>
      </c>
      <c r="AA415" s="31">
        <v>35887</v>
      </c>
      <c r="AB415" s="32">
        <v>11141</v>
      </c>
      <c r="AC415" s="16">
        <v>25710</v>
      </c>
      <c r="AD415" s="31">
        <v>36851</v>
      </c>
      <c r="AE415" s="16">
        <v>10112</v>
      </c>
      <c r="AF415" s="16">
        <v>26896</v>
      </c>
      <c r="AG415" s="31">
        <v>37008</v>
      </c>
      <c r="AH415" s="16">
        <v>8392</v>
      </c>
      <c r="AI415" s="16">
        <v>24422</v>
      </c>
      <c r="AJ415" s="31">
        <v>32814</v>
      </c>
      <c r="AK415" s="16">
        <v>8556</v>
      </c>
      <c r="AL415" s="16">
        <v>24199</v>
      </c>
      <c r="AM415" s="31">
        <v>32755</v>
      </c>
      <c r="AN415" s="16">
        <v>10691</v>
      </c>
      <c r="AO415" s="16">
        <v>23435</v>
      </c>
      <c r="AP415" s="31">
        <v>34126</v>
      </c>
      <c r="AQ415" s="42"/>
      <c r="AR415" s="43"/>
      <c r="AS415" s="42"/>
      <c r="AT415" s="42"/>
    </row>
    <row r="416" spans="1:46" ht="12.9" customHeight="1" x14ac:dyDescent="0.25">
      <c r="A416" s="28" t="s">
        <v>862</v>
      </c>
      <c r="B416" s="29" t="s">
        <v>863</v>
      </c>
      <c r="C416" s="30" t="s">
        <v>113</v>
      </c>
      <c r="D416" s="40">
        <v>712559</v>
      </c>
      <c r="E416" s="26">
        <v>379221</v>
      </c>
      <c r="F416" s="26">
        <f t="shared" si="12"/>
        <v>1091780</v>
      </c>
      <c r="G416" s="40">
        <v>724611</v>
      </c>
      <c r="H416" s="26">
        <v>438188</v>
      </c>
      <c r="I416" s="27">
        <f t="shared" si="13"/>
        <v>1162799</v>
      </c>
      <c r="J416" s="40">
        <v>733370</v>
      </c>
      <c r="K416" s="26">
        <v>376219</v>
      </c>
      <c r="L416" s="27">
        <v>1109589</v>
      </c>
      <c r="M416" s="26">
        <v>758400</v>
      </c>
      <c r="N416" s="26">
        <v>351383</v>
      </c>
      <c r="O416" s="27">
        <v>1109783</v>
      </c>
      <c r="P416" s="26">
        <v>803586</v>
      </c>
      <c r="Q416" s="26">
        <v>378312</v>
      </c>
      <c r="R416" s="27">
        <v>1181898</v>
      </c>
      <c r="S416" s="26">
        <v>724364</v>
      </c>
      <c r="T416" s="26">
        <v>417701</v>
      </c>
      <c r="U416" s="27">
        <v>1142065</v>
      </c>
      <c r="V416" s="26">
        <v>698259</v>
      </c>
      <c r="W416" s="26">
        <v>359773</v>
      </c>
      <c r="X416" s="31">
        <v>1058032</v>
      </c>
      <c r="Y416" s="16">
        <v>707795</v>
      </c>
      <c r="Z416" s="16">
        <v>394341</v>
      </c>
      <c r="AA416" s="31">
        <v>1102136</v>
      </c>
      <c r="AB416" s="32">
        <v>694732</v>
      </c>
      <c r="AC416" s="16">
        <v>405721</v>
      </c>
      <c r="AD416" s="31">
        <v>1100453</v>
      </c>
      <c r="AE416" s="16">
        <v>690453</v>
      </c>
      <c r="AF416" s="16">
        <v>352485</v>
      </c>
      <c r="AG416" s="31">
        <v>1042938</v>
      </c>
      <c r="AH416" s="16">
        <v>670814</v>
      </c>
      <c r="AI416" s="16">
        <v>346021</v>
      </c>
      <c r="AJ416" s="31">
        <v>1016835</v>
      </c>
      <c r="AK416" s="16">
        <v>703173.61826307001</v>
      </c>
      <c r="AL416" s="16">
        <v>303347.04680674017</v>
      </c>
      <c r="AM416" s="31">
        <v>1006520.6650698101</v>
      </c>
      <c r="AN416" s="16">
        <v>723562</v>
      </c>
      <c r="AO416" s="16">
        <v>363505</v>
      </c>
      <c r="AP416" s="31">
        <v>1087067</v>
      </c>
      <c r="AQ416" s="42"/>
      <c r="AR416" s="43"/>
      <c r="AS416" s="42"/>
      <c r="AT416" s="42"/>
    </row>
    <row r="417" spans="1:46" ht="12.9" customHeight="1" x14ac:dyDescent="0.25">
      <c r="A417" s="28" t="s">
        <v>864</v>
      </c>
      <c r="B417" s="29" t="s">
        <v>865</v>
      </c>
      <c r="C417" s="30" t="s">
        <v>20</v>
      </c>
      <c r="D417" s="40">
        <v>2952077</v>
      </c>
      <c r="E417" s="26">
        <v>890754</v>
      </c>
      <c r="F417" s="26">
        <f t="shared" si="12"/>
        <v>3842831</v>
      </c>
      <c r="G417" s="40">
        <v>3030203</v>
      </c>
      <c r="H417" s="26">
        <v>1017757</v>
      </c>
      <c r="I417" s="27">
        <f t="shared" si="13"/>
        <v>4047960</v>
      </c>
      <c r="J417" s="40">
        <v>3108897</v>
      </c>
      <c r="K417" s="26">
        <v>1022930</v>
      </c>
      <c r="L417" s="27">
        <v>4131827</v>
      </c>
      <c r="M417" s="26">
        <v>3227575</v>
      </c>
      <c r="N417" s="26">
        <v>944064</v>
      </c>
      <c r="O417" s="27">
        <v>4171639</v>
      </c>
      <c r="P417" s="26">
        <v>3386026</v>
      </c>
      <c r="Q417" s="26">
        <v>934686</v>
      </c>
      <c r="R417" s="27">
        <v>4320712</v>
      </c>
      <c r="S417" s="26">
        <v>3105596</v>
      </c>
      <c r="T417" s="26">
        <v>1099815</v>
      </c>
      <c r="U417" s="27">
        <v>4205411</v>
      </c>
      <c r="V417" s="26">
        <v>3035695</v>
      </c>
      <c r="W417" s="26">
        <v>1089257</v>
      </c>
      <c r="X417" s="31">
        <v>4124952</v>
      </c>
      <c r="Y417" s="16">
        <v>3085013</v>
      </c>
      <c r="Z417" s="16">
        <v>1114189</v>
      </c>
      <c r="AA417" s="31">
        <v>4199202</v>
      </c>
      <c r="AB417" s="32">
        <v>3106949</v>
      </c>
      <c r="AC417" s="16">
        <v>1084423</v>
      </c>
      <c r="AD417" s="31">
        <v>4191372</v>
      </c>
      <c r="AE417" s="16">
        <v>3057547</v>
      </c>
      <c r="AF417" s="16">
        <v>1019333</v>
      </c>
      <c r="AG417" s="31">
        <v>4076880</v>
      </c>
      <c r="AH417" s="16">
        <v>3068891</v>
      </c>
      <c r="AI417" s="16">
        <v>1051706</v>
      </c>
      <c r="AJ417" s="31">
        <v>4120597</v>
      </c>
      <c r="AK417" s="16">
        <v>3104732</v>
      </c>
      <c r="AL417" s="16">
        <v>998801</v>
      </c>
      <c r="AM417" s="31">
        <v>4103533</v>
      </c>
      <c r="AN417" s="16">
        <v>3233344</v>
      </c>
      <c r="AO417" s="16">
        <v>1040997</v>
      </c>
      <c r="AP417" s="31">
        <v>4274341</v>
      </c>
      <c r="AQ417" s="42"/>
      <c r="AR417" s="43"/>
      <c r="AS417" s="42"/>
      <c r="AT417" s="42"/>
    </row>
    <row r="418" spans="1:46" ht="12.9" customHeight="1" x14ac:dyDescent="0.25">
      <c r="A418" s="28" t="s">
        <v>866</v>
      </c>
      <c r="B418" s="29" t="s">
        <v>867</v>
      </c>
      <c r="C418" s="30" t="s">
        <v>249</v>
      </c>
      <c r="D418" s="40">
        <v>10805</v>
      </c>
      <c r="E418" s="26">
        <v>1458</v>
      </c>
      <c r="F418" s="26">
        <f t="shared" si="12"/>
        <v>12263</v>
      </c>
      <c r="G418" s="40">
        <v>13592</v>
      </c>
      <c r="H418" s="26">
        <v>1191</v>
      </c>
      <c r="I418" s="27">
        <f t="shared" si="13"/>
        <v>14783</v>
      </c>
      <c r="J418" s="40">
        <v>14365</v>
      </c>
      <c r="K418" s="26">
        <v>1086</v>
      </c>
      <c r="L418" s="27">
        <v>15451</v>
      </c>
      <c r="M418" s="26">
        <v>15790</v>
      </c>
      <c r="N418" s="26">
        <v>973</v>
      </c>
      <c r="O418" s="27">
        <v>16763</v>
      </c>
      <c r="P418" s="26">
        <v>11652</v>
      </c>
      <c r="Q418" s="26">
        <v>1278</v>
      </c>
      <c r="R418" s="27">
        <v>12930</v>
      </c>
      <c r="S418" s="26">
        <v>13279</v>
      </c>
      <c r="T418" s="26">
        <v>1432</v>
      </c>
      <c r="U418" s="27">
        <v>14711</v>
      </c>
      <c r="V418" s="26">
        <v>13635</v>
      </c>
      <c r="W418" s="26">
        <v>1137</v>
      </c>
      <c r="X418" s="31">
        <v>14772</v>
      </c>
      <c r="Y418" s="16">
        <v>16462</v>
      </c>
      <c r="Z418" s="16">
        <v>2175</v>
      </c>
      <c r="AA418" s="31">
        <v>18637</v>
      </c>
      <c r="AB418" s="32">
        <v>16926</v>
      </c>
      <c r="AC418" s="16">
        <v>1384</v>
      </c>
      <c r="AD418" s="31">
        <v>18310</v>
      </c>
      <c r="AE418" s="16">
        <v>17607</v>
      </c>
      <c r="AF418" s="16">
        <v>1774</v>
      </c>
      <c r="AG418" s="31">
        <v>19381</v>
      </c>
      <c r="AH418" s="16">
        <v>18246</v>
      </c>
      <c r="AI418" s="16">
        <v>1691</v>
      </c>
      <c r="AJ418" s="31">
        <v>19937</v>
      </c>
      <c r="AK418" s="16">
        <v>20498</v>
      </c>
      <c r="AL418" s="16">
        <v>1229</v>
      </c>
      <c r="AM418" s="31">
        <v>21727</v>
      </c>
      <c r="AN418" s="16">
        <v>20498</v>
      </c>
      <c r="AO418" s="16">
        <v>1090</v>
      </c>
      <c r="AP418" s="31">
        <v>21588</v>
      </c>
      <c r="AQ418" s="42"/>
      <c r="AR418" s="43"/>
      <c r="AS418" s="42"/>
      <c r="AT418" s="42"/>
    </row>
    <row r="419" spans="1:46" ht="12.9" customHeight="1" x14ac:dyDescent="0.25">
      <c r="A419" s="28" t="s">
        <v>868</v>
      </c>
      <c r="B419" s="29" t="s">
        <v>869</v>
      </c>
      <c r="C419" s="30" t="s">
        <v>249</v>
      </c>
      <c r="D419" s="40">
        <v>3956</v>
      </c>
      <c r="E419" s="26">
        <v>1354</v>
      </c>
      <c r="F419" s="26">
        <f t="shared" si="12"/>
        <v>5310</v>
      </c>
      <c r="G419" s="40">
        <v>4845</v>
      </c>
      <c r="H419" s="26">
        <v>1632</v>
      </c>
      <c r="I419" s="27">
        <f t="shared" si="13"/>
        <v>6477</v>
      </c>
      <c r="J419" s="40">
        <v>7801</v>
      </c>
      <c r="K419" s="26">
        <v>1603</v>
      </c>
      <c r="L419" s="27">
        <v>9404</v>
      </c>
      <c r="M419" s="26">
        <v>2705</v>
      </c>
      <c r="N419" s="26">
        <v>859</v>
      </c>
      <c r="O419" s="27">
        <v>3564</v>
      </c>
      <c r="P419" s="26">
        <v>6894</v>
      </c>
      <c r="Q419" s="26">
        <v>2467</v>
      </c>
      <c r="R419" s="27">
        <v>9361</v>
      </c>
      <c r="S419" s="26">
        <v>3544</v>
      </c>
      <c r="T419" s="26">
        <v>1973</v>
      </c>
      <c r="U419" s="27">
        <v>5517</v>
      </c>
      <c r="V419" s="26">
        <v>3672</v>
      </c>
      <c r="W419" s="26">
        <v>2262</v>
      </c>
      <c r="X419" s="31">
        <v>5934</v>
      </c>
      <c r="Y419" s="16">
        <v>3654</v>
      </c>
      <c r="Z419" s="16">
        <v>1948</v>
      </c>
      <c r="AA419" s="31">
        <v>5602</v>
      </c>
      <c r="AB419" s="32">
        <v>4046</v>
      </c>
      <c r="AC419" s="16">
        <v>1374</v>
      </c>
      <c r="AD419" s="31">
        <v>5420</v>
      </c>
      <c r="AE419" s="16">
        <v>4066</v>
      </c>
      <c r="AF419" s="16">
        <v>3687</v>
      </c>
      <c r="AG419" s="31">
        <v>7753</v>
      </c>
      <c r="AH419" s="16">
        <v>4602</v>
      </c>
      <c r="AI419" s="16">
        <v>2912</v>
      </c>
      <c r="AJ419" s="31">
        <v>7514</v>
      </c>
      <c r="AK419" s="16">
        <v>5356</v>
      </c>
      <c r="AL419" s="16">
        <v>2245</v>
      </c>
      <c r="AM419" s="31">
        <v>7601</v>
      </c>
      <c r="AN419" s="16">
        <v>5356</v>
      </c>
      <c r="AO419" s="16">
        <v>2245</v>
      </c>
      <c r="AP419" s="31">
        <v>7601</v>
      </c>
      <c r="AQ419" s="42"/>
      <c r="AR419" s="43"/>
      <c r="AS419" s="42"/>
      <c r="AT419" s="42"/>
    </row>
    <row r="420" spans="1:46" ht="12.9" customHeight="1" x14ac:dyDescent="0.25">
      <c r="A420" s="28" t="s">
        <v>870</v>
      </c>
      <c r="B420" s="29" t="s">
        <v>871</v>
      </c>
      <c r="C420" s="30" t="s">
        <v>20</v>
      </c>
      <c r="D420" s="40">
        <v>13820</v>
      </c>
      <c r="E420" s="26">
        <v>3045</v>
      </c>
      <c r="F420" s="26">
        <f t="shared" si="12"/>
        <v>16865</v>
      </c>
      <c r="G420" s="40">
        <v>19394</v>
      </c>
      <c r="H420" s="26">
        <v>4241</v>
      </c>
      <c r="I420" s="27">
        <f t="shared" si="13"/>
        <v>23635</v>
      </c>
      <c r="J420" s="40">
        <v>19300</v>
      </c>
      <c r="K420" s="26">
        <v>5185</v>
      </c>
      <c r="L420" s="27">
        <v>24485</v>
      </c>
      <c r="M420" s="26">
        <v>19377</v>
      </c>
      <c r="N420" s="26">
        <v>5256</v>
      </c>
      <c r="O420" s="27">
        <v>24633</v>
      </c>
      <c r="P420" s="26">
        <v>20622</v>
      </c>
      <c r="Q420" s="26">
        <v>2423</v>
      </c>
      <c r="R420" s="27">
        <v>23045</v>
      </c>
      <c r="S420" s="26">
        <v>19559</v>
      </c>
      <c r="T420" s="26">
        <v>6459</v>
      </c>
      <c r="U420" s="27">
        <v>26018</v>
      </c>
      <c r="V420" s="26">
        <v>15975</v>
      </c>
      <c r="W420" s="26">
        <v>5897</v>
      </c>
      <c r="X420" s="31">
        <v>21872</v>
      </c>
      <c r="Y420" s="16">
        <v>16179</v>
      </c>
      <c r="Z420" s="16">
        <v>4057</v>
      </c>
      <c r="AA420" s="31">
        <v>20236</v>
      </c>
      <c r="AB420" s="32">
        <v>16075</v>
      </c>
      <c r="AC420" s="16">
        <v>2995</v>
      </c>
      <c r="AD420" s="31">
        <v>19070</v>
      </c>
      <c r="AE420" s="16">
        <v>15892</v>
      </c>
      <c r="AF420" s="16">
        <v>4098</v>
      </c>
      <c r="AG420" s="31">
        <v>19990</v>
      </c>
      <c r="AH420" s="16">
        <v>16717</v>
      </c>
      <c r="AI420" s="16">
        <v>3161</v>
      </c>
      <c r="AJ420" s="31">
        <v>19878</v>
      </c>
      <c r="AK420" s="16">
        <v>15652</v>
      </c>
      <c r="AL420" s="16">
        <v>3016</v>
      </c>
      <c r="AM420" s="31">
        <v>18668</v>
      </c>
      <c r="AN420" s="16">
        <v>21818</v>
      </c>
      <c r="AO420" s="16">
        <v>3438</v>
      </c>
      <c r="AP420" s="31">
        <v>25256</v>
      </c>
      <c r="AQ420" s="42"/>
      <c r="AR420" s="43"/>
      <c r="AS420" s="42"/>
      <c r="AT420" s="42"/>
    </row>
    <row r="421" spans="1:46" ht="12.9" customHeight="1" x14ac:dyDescent="0.25">
      <c r="A421" s="28" t="s">
        <v>872</v>
      </c>
      <c r="B421" s="29" t="s">
        <v>873</v>
      </c>
      <c r="C421" s="30" t="s">
        <v>11</v>
      </c>
      <c r="D421" s="40">
        <v>1034831</v>
      </c>
      <c r="E421" s="26">
        <v>4593752</v>
      </c>
      <c r="F421" s="26">
        <f t="shared" si="12"/>
        <v>5628583</v>
      </c>
      <c r="G421" s="40">
        <v>1044084</v>
      </c>
      <c r="H421" s="26">
        <v>4555957</v>
      </c>
      <c r="I421" s="27">
        <f t="shared" si="13"/>
        <v>5600041</v>
      </c>
      <c r="J421" s="40">
        <v>1063314</v>
      </c>
      <c r="K421" s="26">
        <v>5567658</v>
      </c>
      <c r="L421" s="27">
        <v>6630972</v>
      </c>
      <c r="M421" s="26">
        <v>1219762</v>
      </c>
      <c r="N421" s="26">
        <v>5889538</v>
      </c>
      <c r="O421" s="27">
        <v>7109300</v>
      </c>
      <c r="P421" s="26">
        <v>1162522</v>
      </c>
      <c r="Q421" s="26">
        <v>5533528</v>
      </c>
      <c r="R421" s="27">
        <v>6696050</v>
      </c>
      <c r="S421" s="26">
        <v>1057012</v>
      </c>
      <c r="T421" s="26">
        <v>5941771</v>
      </c>
      <c r="U421" s="27">
        <v>6998783</v>
      </c>
      <c r="V421" s="26">
        <v>1047102</v>
      </c>
      <c r="W421" s="26">
        <v>5778482</v>
      </c>
      <c r="X421" s="31">
        <v>6825584</v>
      </c>
      <c r="Y421" s="16">
        <v>1030645</v>
      </c>
      <c r="Z421" s="16">
        <v>6941523</v>
      </c>
      <c r="AA421" s="31">
        <v>7972168</v>
      </c>
      <c r="AB421" s="32">
        <v>1021483</v>
      </c>
      <c r="AC421" s="16">
        <v>6689504</v>
      </c>
      <c r="AD421" s="31">
        <v>7710987</v>
      </c>
      <c r="AE421" s="16">
        <v>993686</v>
      </c>
      <c r="AF421" s="16">
        <v>6859693</v>
      </c>
      <c r="AG421" s="31">
        <v>7853379</v>
      </c>
      <c r="AH421" s="16">
        <v>977054</v>
      </c>
      <c r="AI421" s="16">
        <v>6512282</v>
      </c>
      <c r="AJ421" s="31">
        <v>7489336</v>
      </c>
      <c r="AK421" s="16">
        <v>968062</v>
      </c>
      <c r="AL421" s="16">
        <v>6295274</v>
      </c>
      <c r="AM421" s="31">
        <v>7263336</v>
      </c>
      <c r="AN421" s="16">
        <v>962190</v>
      </c>
      <c r="AO421" s="16">
        <v>6466390</v>
      </c>
      <c r="AP421" s="31">
        <v>7428580</v>
      </c>
      <c r="AQ421" s="42"/>
      <c r="AR421" s="43"/>
      <c r="AS421" s="42"/>
      <c r="AT421" s="42"/>
    </row>
    <row r="422" spans="1:46" ht="12.9" customHeight="1" x14ac:dyDescent="0.25">
      <c r="A422" s="28" t="s">
        <v>874</v>
      </c>
      <c r="B422" s="29" t="s">
        <v>875</v>
      </c>
      <c r="C422" s="30" t="s">
        <v>26</v>
      </c>
      <c r="D422" s="40">
        <v>188041</v>
      </c>
      <c r="E422" s="26">
        <v>1256239</v>
      </c>
      <c r="F422" s="26">
        <f t="shared" si="12"/>
        <v>1444280</v>
      </c>
      <c r="G422" s="40">
        <v>198349</v>
      </c>
      <c r="H422" s="26">
        <v>1284837</v>
      </c>
      <c r="I422" s="27">
        <f t="shared" si="13"/>
        <v>1483186</v>
      </c>
      <c r="J422" s="40">
        <v>214056</v>
      </c>
      <c r="K422" s="26">
        <v>1514849</v>
      </c>
      <c r="L422" s="27">
        <v>1728905</v>
      </c>
      <c r="M422" s="26">
        <v>213739</v>
      </c>
      <c r="N422" s="26">
        <v>1298222</v>
      </c>
      <c r="O422" s="27">
        <v>1511961</v>
      </c>
      <c r="P422" s="26">
        <v>228478</v>
      </c>
      <c r="Q422" s="26">
        <v>1277536</v>
      </c>
      <c r="R422" s="27">
        <v>1506014</v>
      </c>
      <c r="S422" s="26">
        <v>207790</v>
      </c>
      <c r="T422" s="26">
        <v>1523484</v>
      </c>
      <c r="U422" s="27">
        <v>1731274</v>
      </c>
      <c r="V422" s="26">
        <v>204520</v>
      </c>
      <c r="W422" s="26">
        <v>1491922</v>
      </c>
      <c r="X422" s="31">
        <v>1696442</v>
      </c>
      <c r="Y422" s="16">
        <v>214586</v>
      </c>
      <c r="Z422" s="16">
        <v>1506593</v>
      </c>
      <c r="AA422" s="31">
        <v>1721179</v>
      </c>
      <c r="AB422" s="32">
        <v>204836</v>
      </c>
      <c r="AC422" s="16">
        <v>1544069</v>
      </c>
      <c r="AD422" s="31">
        <v>1748905</v>
      </c>
      <c r="AE422" s="16">
        <v>210132</v>
      </c>
      <c r="AF422" s="16">
        <v>1558844</v>
      </c>
      <c r="AG422" s="31">
        <v>1768976</v>
      </c>
      <c r="AH422" s="16">
        <v>206018</v>
      </c>
      <c r="AI422" s="16">
        <v>1557032</v>
      </c>
      <c r="AJ422" s="31">
        <v>1763050</v>
      </c>
      <c r="AK422" s="16">
        <v>211561</v>
      </c>
      <c r="AL422" s="16">
        <v>1314554</v>
      </c>
      <c r="AM422" s="31">
        <v>1526115</v>
      </c>
      <c r="AN422" s="16">
        <v>225273</v>
      </c>
      <c r="AO422" s="16">
        <v>1396561</v>
      </c>
      <c r="AP422" s="31">
        <v>1621834</v>
      </c>
      <c r="AQ422" s="42"/>
      <c r="AR422" s="43"/>
      <c r="AS422" s="42"/>
      <c r="AT422" s="42"/>
    </row>
    <row r="423" spans="1:46" ht="12.9" customHeight="1" x14ac:dyDescent="0.25">
      <c r="A423" s="28" t="s">
        <v>876</v>
      </c>
      <c r="B423" s="29" t="s">
        <v>877</v>
      </c>
      <c r="C423" s="30" t="s">
        <v>62</v>
      </c>
      <c r="D423" s="40">
        <v>14683</v>
      </c>
      <c r="E423" s="26">
        <v>2749</v>
      </c>
      <c r="F423" s="26">
        <f t="shared" si="12"/>
        <v>17432</v>
      </c>
      <c r="G423" s="40">
        <v>15809</v>
      </c>
      <c r="H423" s="26">
        <v>1350</v>
      </c>
      <c r="I423" s="27">
        <f t="shared" si="13"/>
        <v>17159</v>
      </c>
      <c r="J423" s="40">
        <v>16210</v>
      </c>
      <c r="K423" s="26">
        <v>3967</v>
      </c>
      <c r="L423" s="27">
        <v>20177</v>
      </c>
      <c r="M423" s="26">
        <v>16351</v>
      </c>
      <c r="N423" s="26">
        <v>3485</v>
      </c>
      <c r="O423" s="27">
        <v>19836</v>
      </c>
      <c r="P423" s="26">
        <v>16793</v>
      </c>
      <c r="Q423" s="26">
        <v>3224</v>
      </c>
      <c r="R423" s="27">
        <v>20017</v>
      </c>
      <c r="S423" s="26">
        <v>15758</v>
      </c>
      <c r="T423" s="26">
        <v>2253</v>
      </c>
      <c r="U423" s="27">
        <v>18011</v>
      </c>
      <c r="V423" s="26">
        <v>15771</v>
      </c>
      <c r="W423" s="26">
        <v>3466</v>
      </c>
      <c r="X423" s="31">
        <v>19237</v>
      </c>
      <c r="Y423" s="16">
        <v>16679</v>
      </c>
      <c r="Z423" s="16">
        <v>3537</v>
      </c>
      <c r="AA423" s="31">
        <v>20216</v>
      </c>
      <c r="AB423" s="32">
        <v>17367</v>
      </c>
      <c r="AC423" s="16">
        <v>2326</v>
      </c>
      <c r="AD423" s="31">
        <v>19693</v>
      </c>
      <c r="AE423" s="16">
        <v>18515</v>
      </c>
      <c r="AF423" s="16">
        <v>3810</v>
      </c>
      <c r="AG423" s="31">
        <v>22325</v>
      </c>
      <c r="AH423" s="16">
        <v>17523</v>
      </c>
      <c r="AI423" s="16">
        <v>2183</v>
      </c>
      <c r="AJ423" s="31">
        <v>19706</v>
      </c>
      <c r="AK423" s="16">
        <v>18093</v>
      </c>
      <c r="AL423" s="16">
        <v>3459</v>
      </c>
      <c r="AM423" s="31">
        <v>21552</v>
      </c>
      <c r="AN423" s="16">
        <v>18093</v>
      </c>
      <c r="AO423" s="16">
        <v>3459</v>
      </c>
      <c r="AP423" s="31">
        <v>21552</v>
      </c>
      <c r="AQ423" s="42"/>
      <c r="AR423" s="43"/>
      <c r="AS423" s="42"/>
      <c r="AT423" s="42"/>
    </row>
    <row r="424" spans="1:46" ht="12.9" customHeight="1" x14ac:dyDescent="0.25">
      <c r="A424" s="28" t="s">
        <v>878</v>
      </c>
      <c r="B424" s="29" t="s">
        <v>1949</v>
      </c>
      <c r="C424" s="30" t="s">
        <v>23</v>
      </c>
      <c r="D424" s="40">
        <v>21784</v>
      </c>
      <c r="E424" s="26">
        <v>46766</v>
      </c>
      <c r="F424" s="26">
        <f t="shared" si="12"/>
        <v>68550</v>
      </c>
      <c r="G424" s="40">
        <v>20103</v>
      </c>
      <c r="H424" s="26">
        <v>45362</v>
      </c>
      <c r="I424" s="27">
        <f t="shared" si="13"/>
        <v>65465</v>
      </c>
      <c r="J424" s="40">
        <v>17120</v>
      </c>
      <c r="K424" s="26">
        <v>45063</v>
      </c>
      <c r="L424" s="27">
        <v>62183</v>
      </c>
      <c r="M424" s="26">
        <v>17417</v>
      </c>
      <c r="N424" s="26">
        <v>37529</v>
      </c>
      <c r="O424" s="27">
        <v>54946</v>
      </c>
      <c r="P424" s="26">
        <v>14784</v>
      </c>
      <c r="Q424" s="26">
        <v>34053</v>
      </c>
      <c r="R424" s="27">
        <v>48837</v>
      </c>
      <c r="S424" s="26">
        <v>14784</v>
      </c>
      <c r="T424" s="26">
        <v>36610</v>
      </c>
      <c r="U424" s="27">
        <v>51394</v>
      </c>
      <c r="V424" s="26">
        <v>15247</v>
      </c>
      <c r="W424" s="26">
        <v>33522</v>
      </c>
      <c r="X424" s="31">
        <v>48769</v>
      </c>
      <c r="Y424" s="16">
        <v>14979</v>
      </c>
      <c r="Z424" s="16">
        <v>34739</v>
      </c>
      <c r="AA424" s="31">
        <v>49718</v>
      </c>
      <c r="AB424" s="32">
        <v>14678</v>
      </c>
      <c r="AC424" s="16">
        <v>35928</v>
      </c>
      <c r="AD424" s="31">
        <v>50606</v>
      </c>
      <c r="AE424" s="16">
        <v>15436</v>
      </c>
      <c r="AF424" s="16">
        <v>6783</v>
      </c>
      <c r="AG424" s="31">
        <v>22219</v>
      </c>
      <c r="AH424" s="16">
        <v>15436</v>
      </c>
      <c r="AI424" s="16">
        <v>9932</v>
      </c>
      <c r="AJ424" s="31">
        <v>25368</v>
      </c>
      <c r="AK424" s="16">
        <v>15092</v>
      </c>
      <c r="AL424" s="16">
        <v>9088</v>
      </c>
      <c r="AM424" s="31">
        <v>24180</v>
      </c>
      <c r="AN424" s="16">
        <v>15092</v>
      </c>
      <c r="AO424" s="16">
        <v>8819</v>
      </c>
      <c r="AP424" s="31">
        <v>23911</v>
      </c>
      <c r="AQ424" s="42"/>
      <c r="AR424" s="43"/>
      <c r="AS424" s="42"/>
      <c r="AT424" s="42"/>
    </row>
    <row r="425" spans="1:46" ht="12.9" customHeight="1" x14ac:dyDescent="0.25">
      <c r="A425" s="28" t="s">
        <v>879</v>
      </c>
      <c r="B425" s="29" t="s">
        <v>880</v>
      </c>
      <c r="C425" s="30" t="s">
        <v>62</v>
      </c>
      <c r="D425" s="40">
        <v>36850</v>
      </c>
      <c r="E425" s="26">
        <v>47627</v>
      </c>
      <c r="F425" s="26">
        <f t="shared" si="12"/>
        <v>84477</v>
      </c>
      <c r="G425" s="40">
        <v>35845</v>
      </c>
      <c r="H425" s="26">
        <v>53682</v>
      </c>
      <c r="I425" s="27">
        <f t="shared" si="13"/>
        <v>89527</v>
      </c>
      <c r="J425" s="40">
        <v>35463</v>
      </c>
      <c r="K425" s="26">
        <v>68601</v>
      </c>
      <c r="L425" s="27">
        <v>104064</v>
      </c>
      <c r="M425" s="26">
        <v>37318</v>
      </c>
      <c r="N425" s="26">
        <v>54087</v>
      </c>
      <c r="O425" s="27">
        <v>91405</v>
      </c>
      <c r="P425" s="26">
        <v>36545</v>
      </c>
      <c r="Q425" s="26">
        <v>45313</v>
      </c>
      <c r="R425" s="27">
        <v>81858</v>
      </c>
      <c r="S425" s="26">
        <v>33935</v>
      </c>
      <c r="T425" s="26">
        <v>56381</v>
      </c>
      <c r="U425" s="27">
        <v>90316</v>
      </c>
      <c r="V425" s="26">
        <v>33509</v>
      </c>
      <c r="W425" s="26">
        <v>68617</v>
      </c>
      <c r="X425" s="31">
        <v>102126</v>
      </c>
      <c r="Y425" s="16">
        <v>34798</v>
      </c>
      <c r="Z425" s="16">
        <v>53528</v>
      </c>
      <c r="AA425" s="31">
        <v>88326</v>
      </c>
      <c r="AB425" s="32">
        <v>33852</v>
      </c>
      <c r="AC425" s="16">
        <v>59044</v>
      </c>
      <c r="AD425" s="31">
        <v>92896</v>
      </c>
      <c r="AE425" s="16">
        <v>34340</v>
      </c>
      <c r="AF425" s="16">
        <v>66945</v>
      </c>
      <c r="AG425" s="31">
        <v>101285</v>
      </c>
      <c r="AH425" s="16">
        <v>35667</v>
      </c>
      <c r="AI425" s="16">
        <v>64454</v>
      </c>
      <c r="AJ425" s="31">
        <v>100121</v>
      </c>
      <c r="AK425" s="16">
        <v>35325</v>
      </c>
      <c r="AL425" s="16">
        <v>56126</v>
      </c>
      <c r="AM425" s="31">
        <v>91451</v>
      </c>
      <c r="AN425" s="16">
        <v>37274</v>
      </c>
      <c r="AO425" s="16">
        <v>45940</v>
      </c>
      <c r="AP425" s="31">
        <v>83214</v>
      </c>
      <c r="AQ425" s="42"/>
      <c r="AR425" s="43"/>
      <c r="AS425" s="42"/>
      <c r="AT425" s="42"/>
    </row>
    <row r="426" spans="1:46" ht="12.9" customHeight="1" x14ac:dyDescent="0.25">
      <c r="A426" s="28" t="s">
        <v>881</v>
      </c>
      <c r="B426" s="29" t="s">
        <v>882</v>
      </c>
      <c r="C426" s="30" t="s">
        <v>113</v>
      </c>
      <c r="D426" s="40">
        <v>26355</v>
      </c>
      <c r="E426" s="26">
        <v>50190</v>
      </c>
      <c r="F426" s="26">
        <f t="shared" si="12"/>
        <v>76545</v>
      </c>
      <c r="G426" s="40">
        <v>28002</v>
      </c>
      <c r="H426" s="26">
        <v>56323</v>
      </c>
      <c r="I426" s="27">
        <f t="shared" si="13"/>
        <v>84325</v>
      </c>
      <c r="J426" s="40">
        <v>30160</v>
      </c>
      <c r="K426" s="26">
        <v>38723</v>
      </c>
      <c r="L426" s="27">
        <v>68883</v>
      </c>
      <c r="M426" s="26">
        <v>32463</v>
      </c>
      <c r="N426" s="26">
        <v>37562</v>
      </c>
      <c r="O426" s="27">
        <v>70025</v>
      </c>
      <c r="P426" s="26">
        <v>31538</v>
      </c>
      <c r="Q426" s="26">
        <v>35720</v>
      </c>
      <c r="R426" s="27">
        <v>67258</v>
      </c>
      <c r="S426" s="26">
        <v>28923</v>
      </c>
      <c r="T426" s="26">
        <v>37840</v>
      </c>
      <c r="U426" s="27">
        <v>66763</v>
      </c>
      <c r="V426" s="26">
        <v>27629</v>
      </c>
      <c r="W426" s="26">
        <v>29739</v>
      </c>
      <c r="X426" s="31">
        <v>57368</v>
      </c>
      <c r="Y426" s="16">
        <v>29191</v>
      </c>
      <c r="Z426" s="16">
        <v>34986</v>
      </c>
      <c r="AA426" s="31">
        <v>64177</v>
      </c>
      <c r="AB426" s="32">
        <v>29130</v>
      </c>
      <c r="AC426" s="16">
        <v>33956</v>
      </c>
      <c r="AD426" s="31">
        <v>63086</v>
      </c>
      <c r="AE426" s="16">
        <v>28373</v>
      </c>
      <c r="AF426" s="16">
        <v>31161</v>
      </c>
      <c r="AG426" s="31">
        <v>59534</v>
      </c>
      <c r="AH426" s="16">
        <v>29793</v>
      </c>
      <c r="AI426" s="16">
        <v>30685</v>
      </c>
      <c r="AJ426" s="31">
        <v>60478</v>
      </c>
      <c r="AK426" s="16">
        <v>32813</v>
      </c>
      <c r="AL426" s="16">
        <v>36004</v>
      </c>
      <c r="AM426" s="31">
        <v>68817</v>
      </c>
      <c r="AN426" s="16">
        <v>37480</v>
      </c>
      <c r="AO426" s="16">
        <v>37695</v>
      </c>
      <c r="AP426" s="31">
        <v>75175</v>
      </c>
      <c r="AQ426" s="42"/>
      <c r="AR426" s="43"/>
      <c r="AS426" s="42"/>
      <c r="AT426" s="42"/>
    </row>
    <row r="427" spans="1:46" ht="12.9" customHeight="1" x14ac:dyDescent="0.25">
      <c r="A427" s="28" t="s">
        <v>883</v>
      </c>
      <c r="B427" s="29" t="s">
        <v>884</v>
      </c>
      <c r="C427" s="30" t="s">
        <v>113</v>
      </c>
      <c r="D427" s="40">
        <v>121042</v>
      </c>
      <c r="E427" s="26">
        <v>419097</v>
      </c>
      <c r="F427" s="26">
        <f t="shared" si="12"/>
        <v>540139</v>
      </c>
      <c r="G427" s="40">
        <v>126465</v>
      </c>
      <c r="H427" s="26">
        <v>447429</v>
      </c>
      <c r="I427" s="27">
        <f t="shared" si="13"/>
        <v>573894</v>
      </c>
      <c r="J427" s="40">
        <v>129832</v>
      </c>
      <c r="K427" s="26">
        <v>486191</v>
      </c>
      <c r="L427" s="27">
        <v>616023</v>
      </c>
      <c r="M427" s="26">
        <v>133190</v>
      </c>
      <c r="N427" s="26">
        <v>471719</v>
      </c>
      <c r="O427" s="27">
        <v>604909</v>
      </c>
      <c r="P427" s="26">
        <v>136012</v>
      </c>
      <c r="Q427" s="26">
        <v>432358</v>
      </c>
      <c r="R427" s="27">
        <v>568370</v>
      </c>
      <c r="S427" s="26">
        <v>126039</v>
      </c>
      <c r="T427" s="26">
        <v>499519</v>
      </c>
      <c r="U427" s="27">
        <v>625558</v>
      </c>
      <c r="V427" s="26">
        <v>122987</v>
      </c>
      <c r="W427" s="26">
        <v>457350</v>
      </c>
      <c r="X427" s="31">
        <v>580337</v>
      </c>
      <c r="Y427" s="16">
        <v>121569</v>
      </c>
      <c r="Z427" s="16">
        <v>485241</v>
      </c>
      <c r="AA427" s="31">
        <v>606810</v>
      </c>
      <c r="AB427" s="32">
        <v>124309</v>
      </c>
      <c r="AC427" s="16">
        <v>435159</v>
      </c>
      <c r="AD427" s="31">
        <v>559468</v>
      </c>
      <c r="AE427" s="16">
        <v>124345</v>
      </c>
      <c r="AF427" s="16">
        <v>405840</v>
      </c>
      <c r="AG427" s="31">
        <v>530185</v>
      </c>
      <c r="AH427" s="16">
        <v>120518</v>
      </c>
      <c r="AI427" s="16">
        <v>350263</v>
      </c>
      <c r="AJ427" s="31">
        <v>470781</v>
      </c>
      <c r="AK427" s="16">
        <v>116090</v>
      </c>
      <c r="AL427" s="16">
        <v>337538</v>
      </c>
      <c r="AM427" s="31">
        <v>453628</v>
      </c>
      <c r="AN427" s="16">
        <v>127476</v>
      </c>
      <c r="AO427" s="16">
        <v>469267</v>
      </c>
      <c r="AP427" s="31">
        <v>596743</v>
      </c>
      <c r="AQ427" s="42"/>
      <c r="AR427" s="43"/>
      <c r="AS427" s="42"/>
      <c r="AT427" s="42"/>
    </row>
    <row r="428" spans="1:46" ht="12.9" customHeight="1" x14ac:dyDescent="0.25">
      <c r="A428" s="28" t="s">
        <v>885</v>
      </c>
      <c r="B428" s="29" t="s">
        <v>886</v>
      </c>
      <c r="C428" s="30" t="s">
        <v>53</v>
      </c>
      <c r="D428" s="40">
        <v>30104</v>
      </c>
      <c r="E428" s="26">
        <v>12606</v>
      </c>
      <c r="F428" s="26">
        <f t="shared" si="12"/>
        <v>42710</v>
      </c>
      <c r="G428" s="40">
        <v>27806</v>
      </c>
      <c r="H428" s="26">
        <v>3512</v>
      </c>
      <c r="I428" s="27">
        <f t="shared" si="13"/>
        <v>31318</v>
      </c>
      <c r="J428" s="40">
        <v>27974</v>
      </c>
      <c r="K428" s="26">
        <v>12603</v>
      </c>
      <c r="L428" s="27">
        <v>40577</v>
      </c>
      <c r="M428" s="26">
        <v>28256</v>
      </c>
      <c r="N428" s="26">
        <v>24634</v>
      </c>
      <c r="O428" s="27">
        <v>52890</v>
      </c>
      <c r="P428" s="26">
        <v>30961</v>
      </c>
      <c r="Q428" s="26">
        <v>15835</v>
      </c>
      <c r="R428" s="27">
        <v>46796</v>
      </c>
      <c r="S428" s="26">
        <v>20180</v>
      </c>
      <c r="T428" s="26">
        <v>14446</v>
      </c>
      <c r="U428" s="27">
        <v>34626</v>
      </c>
      <c r="V428" s="26">
        <v>23631</v>
      </c>
      <c r="W428" s="26">
        <v>16396</v>
      </c>
      <c r="X428" s="31">
        <v>40027</v>
      </c>
      <c r="Y428" s="16">
        <v>25653</v>
      </c>
      <c r="Z428" s="16">
        <v>18977</v>
      </c>
      <c r="AA428" s="31">
        <v>44630</v>
      </c>
      <c r="AB428" s="32">
        <v>25765</v>
      </c>
      <c r="AC428" s="16">
        <v>18491</v>
      </c>
      <c r="AD428" s="31">
        <v>44256</v>
      </c>
      <c r="AE428" s="16">
        <v>40647</v>
      </c>
      <c r="AF428" s="16">
        <v>15630</v>
      </c>
      <c r="AG428" s="31">
        <v>56277</v>
      </c>
      <c r="AH428" s="16">
        <v>33017</v>
      </c>
      <c r="AI428" s="16">
        <v>35904</v>
      </c>
      <c r="AJ428" s="31">
        <v>68921</v>
      </c>
      <c r="AK428" s="16">
        <v>27718</v>
      </c>
      <c r="AL428" s="16">
        <v>38811</v>
      </c>
      <c r="AM428" s="31">
        <v>66529</v>
      </c>
      <c r="AN428" s="16">
        <v>30197</v>
      </c>
      <c r="AO428" s="16">
        <v>36166</v>
      </c>
      <c r="AP428" s="31">
        <v>66363</v>
      </c>
      <c r="AQ428" s="42"/>
      <c r="AR428" s="43"/>
      <c r="AS428" s="42"/>
      <c r="AT428" s="42"/>
    </row>
    <row r="429" spans="1:46" ht="12.9" customHeight="1" x14ac:dyDescent="0.25">
      <c r="A429" s="28" t="s">
        <v>887</v>
      </c>
      <c r="B429" s="29" t="s">
        <v>888</v>
      </c>
      <c r="C429" s="30" t="s">
        <v>80</v>
      </c>
      <c r="D429" s="40">
        <v>1034098</v>
      </c>
      <c r="E429" s="26">
        <v>303031</v>
      </c>
      <c r="F429" s="26">
        <f t="shared" si="12"/>
        <v>1337129</v>
      </c>
      <c r="G429" s="40">
        <v>1095145</v>
      </c>
      <c r="H429" s="26">
        <v>324050</v>
      </c>
      <c r="I429" s="27">
        <f t="shared" si="13"/>
        <v>1419195</v>
      </c>
      <c r="J429" s="40">
        <v>1132465</v>
      </c>
      <c r="K429" s="26">
        <v>370154</v>
      </c>
      <c r="L429" s="27">
        <v>1502619</v>
      </c>
      <c r="M429" s="26">
        <v>1176445</v>
      </c>
      <c r="N429" s="26">
        <v>375947</v>
      </c>
      <c r="O429" s="27">
        <v>1552392</v>
      </c>
      <c r="P429" s="26">
        <v>1247436</v>
      </c>
      <c r="Q429" s="26">
        <v>415825</v>
      </c>
      <c r="R429" s="27">
        <v>1663261</v>
      </c>
      <c r="S429" s="26">
        <v>1120400</v>
      </c>
      <c r="T429" s="26">
        <v>549552</v>
      </c>
      <c r="U429" s="27">
        <v>1669952</v>
      </c>
      <c r="V429" s="26">
        <v>1123207</v>
      </c>
      <c r="W429" s="26">
        <v>527727</v>
      </c>
      <c r="X429" s="31">
        <v>1650934</v>
      </c>
      <c r="Y429" s="16">
        <v>1146762</v>
      </c>
      <c r="Z429" s="16">
        <v>519656</v>
      </c>
      <c r="AA429" s="31">
        <v>1666418</v>
      </c>
      <c r="AB429" s="32">
        <v>1130049</v>
      </c>
      <c r="AC429" s="16">
        <v>475714</v>
      </c>
      <c r="AD429" s="31">
        <v>1605763</v>
      </c>
      <c r="AE429" s="16">
        <v>1123443</v>
      </c>
      <c r="AF429" s="16">
        <v>471545</v>
      </c>
      <c r="AG429" s="31">
        <v>1594988</v>
      </c>
      <c r="AH429" s="16">
        <v>1092186</v>
      </c>
      <c r="AI429" s="16">
        <v>438165</v>
      </c>
      <c r="AJ429" s="31">
        <v>1530351</v>
      </c>
      <c r="AK429" s="16">
        <v>1139861.7801896208</v>
      </c>
      <c r="AL429" s="16">
        <v>486523.93584905658</v>
      </c>
      <c r="AM429" s="31">
        <v>1626385.7160386774</v>
      </c>
      <c r="AN429" s="16">
        <v>1161542</v>
      </c>
      <c r="AO429" s="16">
        <v>507742</v>
      </c>
      <c r="AP429" s="31">
        <v>1669284</v>
      </c>
      <c r="AQ429" s="42"/>
      <c r="AR429" s="43"/>
      <c r="AS429" s="42"/>
      <c r="AT429" s="42"/>
    </row>
    <row r="430" spans="1:46" ht="12.9" customHeight="1" x14ac:dyDescent="0.25">
      <c r="A430" s="28" t="s">
        <v>889</v>
      </c>
      <c r="B430" s="29" t="s">
        <v>890</v>
      </c>
      <c r="C430" s="30" t="s">
        <v>29</v>
      </c>
      <c r="D430" s="40">
        <v>17712</v>
      </c>
      <c r="E430" s="26">
        <v>457</v>
      </c>
      <c r="F430" s="26">
        <f t="shared" si="12"/>
        <v>18169</v>
      </c>
      <c r="G430" s="40">
        <v>18042</v>
      </c>
      <c r="H430" s="26">
        <v>692</v>
      </c>
      <c r="I430" s="27">
        <f t="shared" si="13"/>
        <v>18734</v>
      </c>
      <c r="J430" s="40">
        <v>17086</v>
      </c>
      <c r="K430" s="26">
        <v>640</v>
      </c>
      <c r="L430" s="27">
        <v>17726</v>
      </c>
      <c r="M430" s="26">
        <v>17749</v>
      </c>
      <c r="N430" s="26">
        <v>525</v>
      </c>
      <c r="O430" s="27">
        <v>18274</v>
      </c>
      <c r="P430" s="26">
        <v>17427</v>
      </c>
      <c r="Q430" s="26">
        <v>521</v>
      </c>
      <c r="R430" s="27">
        <v>17948</v>
      </c>
      <c r="S430" s="26">
        <v>16906</v>
      </c>
      <c r="T430" s="26">
        <v>609</v>
      </c>
      <c r="U430" s="27">
        <v>17515</v>
      </c>
      <c r="V430" s="26">
        <v>16894</v>
      </c>
      <c r="W430" s="26">
        <v>741</v>
      </c>
      <c r="X430" s="31">
        <v>17635</v>
      </c>
      <c r="Y430" s="16">
        <v>15477</v>
      </c>
      <c r="Z430" s="16">
        <v>537</v>
      </c>
      <c r="AA430" s="31">
        <v>16014</v>
      </c>
      <c r="AB430" s="32">
        <v>13680</v>
      </c>
      <c r="AC430" s="16">
        <v>504</v>
      </c>
      <c r="AD430" s="31">
        <v>14184</v>
      </c>
      <c r="AE430" s="16">
        <v>13320</v>
      </c>
      <c r="AF430" s="16">
        <v>504</v>
      </c>
      <c r="AG430" s="31">
        <v>13824</v>
      </c>
      <c r="AH430" s="16">
        <v>13536</v>
      </c>
      <c r="AI430" s="16">
        <v>576</v>
      </c>
      <c r="AJ430" s="31">
        <v>14112</v>
      </c>
      <c r="AK430" s="16">
        <v>12960</v>
      </c>
      <c r="AL430" s="16">
        <v>864</v>
      </c>
      <c r="AM430" s="31">
        <v>13824</v>
      </c>
      <c r="AN430" s="16">
        <v>12960</v>
      </c>
      <c r="AO430" s="16">
        <v>864</v>
      </c>
      <c r="AP430" s="31">
        <v>13824</v>
      </c>
      <c r="AQ430" s="42"/>
      <c r="AR430" s="43"/>
      <c r="AS430" s="42"/>
      <c r="AT430" s="42"/>
    </row>
    <row r="431" spans="1:46" ht="12.9" customHeight="1" x14ac:dyDescent="0.25">
      <c r="A431" s="28" t="s">
        <v>891</v>
      </c>
      <c r="B431" s="29" t="s">
        <v>892</v>
      </c>
      <c r="C431" s="30" t="s">
        <v>56</v>
      </c>
      <c r="D431" s="40">
        <v>22122</v>
      </c>
      <c r="E431" s="26">
        <v>1294</v>
      </c>
      <c r="F431" s="26">
        <f t="shared" si="12"/>
        <v>23416</v>
      </c>
      <c r="G431" s="40">
        <v>25641</v>
      </c>
      <c r="H431" s="26">
        <v>1138</v>
      </c>
      <c r="I431" s="27">
        <f t="shared" si="13"/>
        <v>26779</v>
      </c>
      <c r="J431" s="40">
        <v>24673</v>
      </c>
      <c r="K431" s="26">
        <v>1403</v>
      </c>
      <c r="L431" s="27">
        <v>26076</v>
      </c>
      <c r="M431" s="26">
        <v>28320</v>
      </c>
      <c r="N431" s="26">
        <v>1021</v>
      </c>
      <c r="O431" s="27">
        <v>29341</v>
      </c>
      <c r="P431" s="26">
        <v>28661</v>
      </c>
      <c r="Q431" s="26">
        <v>1436</v>
      </c>
      <c r="R431" s="27">
        <v>30097</v>
      </c>
      <c r="S431" s="26">
        <v>23938</v>
      </c>
      <c r="T431" s="26">
        <v>731</v>
      </c>
      <c r="U431" s="27">
        <v>24669</v>
      </c>
      <c r="V431" s="26">
        <v>24171</v>
      </c>
      <c r="W431" s="26">
        <v>1639</v>
      </c>
      <c r="X431" s="31">
        <v>25810</v>
      </c>
      <c r="Y431" s="16">
        <v>26351</v>
      </c>
      <c r="Z431" s="16">
        <v>1418</v>
      </c>
      <c r="AA431" s="31">
        <v>27769</v>
      </c>
      <c r="AB431" s="32">
        <v>24784</v>
      </c>
      <c r="AC431" s="16">
        <v>1312</v>
      </c>
      <c r="AD431" s="31">
        <v>26096</v>
      </c>
      <c r="AE431" s="16">
        <v>23961</v>
      </c>
      <c r="AF431" s="16">
        <v>1335</v>
      </c>
      <c r="AG431" s="31">
        <v>25296</v>
      </c>
      <c r="AH431" s="16">
        <v>23517</v>
      </c>
      <c r="AI431" s="16">
        <v>1224</v>
      </c>
      <c r="AJ431" s="31">
        <v>24741</v>
      </c>
      <c r="AK431" s="16">
        <v>24010</v>
      </c>
      <c r="AL431" s="16">
        <v>706</v>
      </c>
      <c r="AM431" s="31">
        <v>24716</v>
      </c>
      <c r="AN431" s="16">
        <v>24010</v>
      </c>
      <c r="AO431" s="16">
        <v>706</v>
      </c>
      <c r="AP431" s="31">
        <v>24716</v>
      </c>
      <c r="AQ431" s="42"/>
      <c r="AR431" s="43"/>
      <c r="AS431" s="42"/>
      <c r="AT431" s="42"/>
    </row>
    <row r="432" spans="1:46" ht="12.9" customHeight="1" x14ac:dyDescent="0.25">
      <c r="A432" s="28" t="s">
        <v>893</v>
      </c>
      <c r="B432" s="29" t="s">
        <v>894</v>
      </c>
      <c r="C432" s="30" t="s">
        <v>153</v>
      </c>
      <c r="D432" s="40">
        <v>362978</v>
      </c>
      <c r="E432" s="26">
        <v>63682</v>
      </c>
      <c r="F432" s="26">
        <f t="shared" si="12"/>
        <v>426660</v>
      </c>
      <c r="G432" s="40">
        <v>380803</v>
      </c>
      <c r="H432" s="26">
        <v>85090</v>
      </c>
      <c r="I432" s="27">
        <f t="shared" si="13"/>
        <v>465893</v>
      </c>
      <c r="J432" s="40">
        <v>401443</v>
      </c>
      <c r="K432" s="26">
        <v>87524</v>
      </c>
      <c r="L432" s="27">
        <v>488967</v>
      </c>
      <c r="M432" s="26">
        <v>421451</v>
      </c>
      <c r="N432" s="26">
        <v>67515</v>
      </c>
      <c r="O432" s="27">
        <v>488966</v>
      </c>
      <c r="P432" s="26">
        <v>445597</v>
      </c>
      <c r="Q432" s="26">
        <v>67831</v>
      </c>
      <c r="R432" s="27">
        <v>513428</v>
      </c>
      <c r="S432" s="26">
        <v>394849</v>
      </c>
      <c r="T432" s="26">
        <v>96241</v>
      </c>
      <c r="U432" s="27">
        <v>491090</v>
      </c>
      <c r="V432" s="26">
        <v>369317</v>
      </c>
      <c r="W432" s="26">
        <v>77246</v>
      </c>
      <c r="X432" s="31">
        <v>446563</v>
      </c>
      <c r="Y432" s="16">
        <v>379228</v>
      </c>
      <c r="Z432" s="16">
        <v>82840</v>
      </c>
      <c r="AA432" s="31">
        <v>462068</v>
      </c>
      <c r="AB432" s="32">
        <v>387904</v>
      </c>
      <c r="AC432" s="16">
        <v>72224</v>
      </c>
      <c r="AD432" s="31">
        <v>460128</v>
      </c>
      <c r="AE432" s="16">
        <v>376031</v>
      </c>
      <c r="AF432" s="16">
        <v>66811</v>
      </c>
      <c r="AG432" s="31">
        <v>442842</v>
      </c>
      <c r="AH432" s="16">
        <v>378017</v>
      </c>
      <c r="AI432" s="16">
        <v>69309</v>
      </c>
      <c r="AJ432" s="31">
        <v>447326</v>
      </c>
      <c r="AK432" s="16">
        <v>382727</v>
      </c>
      <c r="AL432" s="16">
        <v>71915</v>
      </c>
      <c r="AM432" s="31">
        <v>454642</v>
      </c>
      <c r="AN432" s="16">
        <v>406329</v>
      </c>
      <c r="AO432" s="16">
        <v>73573</v>
      </c>
      <c r="AP432" s="31">
        <v>479902</v>
      </c>
      <c r="AQ432" s="42"/>
      <c r="AR432" s="43"/>
      <c r="AS432" s="42"/>
      <c r="AT432" s="42"/>
    </row>
    <row r="433" spans="1:46" ht="12.9" customHeight="1" x14ac:dyDescent="0.25">
      <c r="A433" s="28" t="s">
        <v>895</v>
      </c>
      <c r="B433" s="29" t="s">
        <v>896</v>
      </c>
      <c r="C433" s="30" t="s">
        <v>249</v>
      </c>
      <c r="D433" s="40">
        <v>14631</v>
      </c>
      <c r="E433" s="26">
        <v>4435</v>
      </c>
      <c r="F433" s="26">
        <f t="shared" si="12"/>
        <v>19066</v>
      </c>
      <c r="G433" s="40">
        <v>15585</v>
      </c>
      <c r="H433" s="26">
        <v>5249</v>
      </c>
      <c r="I433" s="27">
        <f t="shared" si="13"/>
        <v>20834</v>
      </c>
      <c r="J433" s="40">
        <v>16080</v>
      </c>
      <c r="K433" s="26">
        <v>5181</v>
      </c>
      <c r="L433" s="27">
        <v>21261</v>
      </c>
      <c r="M433" s="26">
        <v>16255</v>
      </c>
      <c r="N433" s="26">
        <v>5312</v>
      </c>
      <c r="O433" s="27">
        <v>21567</v>
      </c>
      <c r="P433" s="26">
        <v>16665</v>
      </c>
      <c r="Q433" s="26">
        <v>5568</v>
      </c>
      <c r="R433" s="27">
        <v>22233</v>
      </c>
      <c r="S433" s="26">
        <v>15967</v>
      </c>
      <c r="T433" s="26">
        <v>4788</v>
      </c>
      <c r="U433" s="27">
        <v>20755</v>
      </c>
      <c r="V433" s="26">
        <v>17586</v>
      </c>
      <c r="W433" s="26">
        <v>4333</v>
      </c>
      <c r="X433" s="31">
        <v>21919</v>
      </c>
      <c r="Y433" s="16">
        <v>17158</v>
      </c>
      <c r="Z433" s="16">
        <v>4989</v>
      </c>
      <c r="AA433" s="31">
        <v>22147</v>
      </c>
      <c r="AB433" s="32">
        <v>17364</v>
      </c>
      <c r="AC433" s="16">
        <v>5866</v>
      </c>
      <c r="AD433" s="31">
        <v>23230</v>
      </c>
      <c r="AE433" s="16">
        <v>17559</v>
      </c>
      <c r="AF433" s="16">
        <v>4690</v>
      </c>
      <c r="AG433" s="31">
        <v>22249</v>
      </c>
      <c r="AH433" s="16">
        <v>18574</v>
      </c>
      <c r="AI433" s="16">
        <v>5239</v>
      </c>
      <c r="AJ433" s="31">
        <v>23813</v>
      </c>
      <c r="AK433" s="16">
        <v>20335</v>
      </c>
      <c r="AL433" s="16">
        <v>4968</v>
      </c>
      <c r="AM433" s="31">
        <v>25303</v>
      </c>
      <c r="AN433" s="16">
        <v>20335</v>
      </c>
      <c r="AO433" s="16">
        <v>4968</v>
      </c>
      <c r="AP433" s="31">
        <v>25303</v>
      </c>
      <c r="AQ433" s="42"/>
      <c r="AR433" s="43"/>
      <c r="AS433" s="42"/>
      <c r="AT433" s="42"/>
    </row>
    <row r="434" spans="1:46" ht="12.9" customHeight="1" x14ac:dyDescent="0.25">
      <c r="A434" s="28" t="s">
        <v>897</v>
      </c>
      <c r="B434" s="29" t="s">
        <v>898</v>
      </c>
      <c r="C434" s="30" t="s">
        <v>34</v>
      </c>
      <c r="D434" s="40">
        <v>45276</v>
      </c>
      <c r="E434" s="26">
        <v>4620</v>
      </c>
      <c r="F434" s="26">
        <f t="shared" si="12"/>
        <v>49896</v>
      </c>
      <c r="G434" s="40">
        <v>45246</v>
      </c>
      <c r="H434" s="26">
        <v>2508</v>
      </c>
      <c r="I434" s="27">
        <f t="shared" si="13"/>
        <v>47754</v>
      </c>
      <c r="J434" s="40">
        <v>43848</v>
      </c>
      <c r="K434" s="26">
        <v>2508</v>
      </c>
      <c r="L434" s="27">
        <v>46356</v>
      </c>
      <c r="M434" s="26">
        <v>44028</v>
      </c>
      <c r="N434" s="26">
        <v>2640</v>
      </c>
      <c r="O434" s="27">
        <v>46668</v>
      </c>
      <c r="P434" s="26">
        <v>43956</v>
      </c>
      <c r="Q434" s="26">
        <v>2640</v>
      </c>
      <c r="R434" s="27">
        <v>46596</v>
      </c>
      <c r="S434" s="26">
        <v>44088</v>
      </c>
      <c r="T434" s="26">
        <v>2628</v>
      </c>
      <c r="U434" s="27">
        <v>46716</v>
      </c>
      <c r="V434" s="26">
        <v>39624</v>
      </c>
      <c r="W434" s="26">
        <v>2232</v>
      </c>
      <c r="X434" s="31">
        <v>41856</v>
      </c>
      <c r="Y434" s="16">
        <v>40440</v>
      </c>
      <c r="Z434" s="16">
        <v>2160</v>
      </c>
      <c r="AA434" s="31">
        <v>42600</v>
      </c>
      <c r="AB434" s="32">
        <v>36504</v>
      </c>
      <c r="AC434" s="16">
        <v>0</v>
      </c>
      <c r="AD434" s="31">
        <v>36504</v>
      </c>
      <c r="AE434" s="16">
        <v>24912</v>
      </c>
      <c r="AF434" s="16">
        <v>0</v>
      </c>
      <c r="AG434" s="31">
        <v>24912</v>
      </c>
      <c r="AH434" s="32" t="s">
        <v>160</v>
      </c>
      <c r="AI434" s="32" t="s">
        <v>160</v>
      </c>
      <c r="AJ434" s="31">
        <v>0</v>
      </c>
      <c r="AK434" s="16">
        <v>24264</v>
      </c>
      <c r="AL434" s="16">
        <v>1008</v>
      </c>
      <c r="AM434" s="31">
        <v>25272</v>
      </c>
      <c r="AN434" s="16">
        <v>24483</v>
      </c>
      <c r="AO434" s="16">
        <v>1080</v>
      </c>
      <c r="AP434" s="31">
        <v>25563</v>
      </c>
      <c r="AQ434" s="42"/>
      <c r="AR434" s="43"/>
      <c r="AS434" s="42"/>
      <c r="AT434" s="42"/>
    </row>
    <row r="435" spans="1:46" ht="12.9" customHeight="1" x14ac:dyDescent="0.25">
      <c r="A435" s="28" t="s">
        <v>899</v>
      </c>
      <c r="B435" s="29" t="s">
        <v>900</v>
      </c>
      <c r="C435" s="30" t="s">
        <v>123</v>
      </c>
      <c r="D435" s="40">
        <v>37282</v>
      </c>
      <c r="E435" s="26">
        <v>166377</v>
      </c>
      <c r="F435" s="26">
        <f t="shared" si="12"/>
        <v>203659</v>
      </c>
      <c r="G435" s="40">
        <v>39703</v>
      </c>
      <c r="H435" s="26">
        <v>217774</v>
      </c>
      <c r="I435" s="27">
        <f t="shared" si="13"/>
        <v>257477</v>
      </c>
      <c r="J435" s="40">
        <v>42606</v>
      </c>
      <c r="K435" s="26">
        <v>281852</v>
      </c>
      <c r="L435" s="27">
        <v>324458</v>
      </c>
      <c r="M435" s="26">
        <v>47317</v>
      </c>
      <c r="N435" s="26">
        <v>261729</v>
      </c>
      <c r="O435" s="27">
        <v>309046</v>
      </c>
      <c r="P435" s="26">
        <v>36539.5</v>
      </c>
      <c r="Q435" s="26">
        <v>242413</v>
      </c>
      <c r="R435" s="27">
        <v>278952.5</v>
      </c>
      <c r="S435" s="26">
        <v>36303</v>
      </c>
      <c r="T435" s="26">
        <v>337672</v>
      </c>
      <c r="U435" s="27">
        <v>373975</v>
      </c>
      <c r="V435" s="26">
        <v>35722</v>
      </c>
      <c r="W435" s="26">
        <v>360338</v>
      </c>
      <c r="X435" s="31">
        <v>396060</v>
      </c>
      <c r="Y435" s="16">
        <v>38182</v>
      </c>
      <c r="Z435" s="16">
        <v>338163</v>
      </c>
      <c r="AA435" s="31">
        <v>376345</v>
      </c>
      <c r="AB435" s="32">
        <v>36600</v>
      </c>
      <c r="AC435" s="16">
        <v>334247</v>
      </c>
      <c r="AD435" s="31">
        <v>370847</v>
      </c>
      <c r="AE435" s="16">
        <v>36223</v>
      </c>
      <c r="AF435" s="16">
        <v>291445</v>
      </c>
      <c r="AG435" s="31">
        <v>327668</v>
      </c>
      <c r="AH435" s="16">
        <v>32960</v>
      </c>
      <c r="AI435" s="16">
        <v>357638</v>
      </c>
      <c r="AJ435" s="31">
        <v>390598</v>
      </c>
      <c r="AK435" s="16">
        <v>33339</v>
      </c>
      <c r="AL435" s="16">
        <v>352653</v>
      </c>
      <c r="AM435" s="31">
        <v>385992</v>
      </c>
      <c r="AN435" s="16">
        <v>52125.175000000003</v>
      </c>
      <c r="AO435" s="16">
        <v>407579</v>
      </c>
      <c r="AP435" s="31">
        <v>459704.17499999999</v>
      </c>
      <c r="AQ435" s="42"/>
      <c r="AR435" s="43"/>
      <c r="AS435" s="42"/>
      <c r="AT435" s="42"/>
    </row>
    <row r="436" spans="1:46" ht="12.9" customHeight="1" x14ac:dyDescent="0.25">
      <c r="A436" s="28" t="s">
        <v>901</v>
      </c>
      <c r="B436" s="29" t="s">
        <v>902</v>
      </c>
      <c r="C436" s="30" t="s">
        <v>281</v>
      </c>
      <c r="D436" s="40">
        <v>9124</v>
      </c>
      <c r="E436" s="26">
        <v>81438</v>
      </c>
      <c r="F436" s="26">
        <f t="shared" si="12"/>
        <v>90562</v>
      </c>
      <c r="G436" s="40">
        <v>9338</v>
      </c>
      <c r="H436" s="26">
        <v>85275</v>
      </c>
      <c r="I436" s="27">
        <f t="shared" si="13"/>
        <v>94613</v>
      </c>
      <c r="J436" s="40">
        <v>9377</v>
      </c>
      <c r="K436" s="26">
        <v>95271</v>
      </c>
      <c r="L436" s="27">
        <v>104648</v>
      </c>
      <c r="M436" s="26">
        <v>9196</v>
      </c>
      <c r="N436" s="26">
        <v>94906</v>
      </c>
      <c r="O436" s="27">
        <v>104102</v>
      </c>
      <c r="P436" s="26">
        <v>8157</v>
      </c>
      <c r="Q436" s="26">
        <v>72397</v>
      </c>
      <c r="R436" s="27">
        <v>80554</v>
      </c>
      <c r="S436" s="26">
        <v>8316</v>
      </c>
      <c r="T436" s="26">
        <v>97870</v>
      </c>
      <c r="U436" s="27">
        <v>106186</v>
      </c>
      <c r="V436" s="26">
        <v>9499</v>
      </c>
      <c r="W436" s="26">
        <v>79254</v>
      </c>
      <c r="X436" s="31">
        <v>88753</v>
      </c>
      <c r="Y436" s="16">
        <v>7379</v>
      </c>
      <c r="Z436" s="16">
        <v>95833</v>
      </c>
      <c r="AA436" s="31">
        <v>103212</v>
      </c>
      <c r="AB436" s="32">
        <v>7785</v>
      </c>
      <c r="AC436" s="16">
        <v>89346</v>
      </c>
      <c r="AD436" s="31">
        <v>97131</v>
      </c>
      <c r="AE436" s="16">
        <v>7875</v>
      </c>
      <c r="AF436" s="16">
        <v>88084</v>
      </c>
      <c r="AG436" s="31">
        <v>95959</v>
      </c>
      <c r="AH436" s="16">
        <v>7540</v>
      </c>
      <c r="AI436" s="16">
        <v>76445</v>
      </c>
      <c r="AJ436" s="31">
        <v>83985</v>
      </c>
      <c r="AK436" s="16">
        <v>11279</v>
      </c>
      <c r="AL436" s="16">
        <v>82310</v>
      </c>
      <c r="AM436" s="31">
        <v>93589</v>
      </c>
      <c r="AN436" s="16">
        <v>9396</v>
      </c>
      <c r="AO436" s="16">
        <v>109057</v>
      </c>
      <c r="AP436" s="31">
        <v>118453</v>
      </c>
      <c r="AQ436" s="42"/>
      <c r="AR436" s="43"/>
      <c r="AS436" s="42"/>
      <c r="AT436" s="42"/>
    </row>
    <row r="437" spans="1:46" ht="12.9" customHeight="1" x14ac:dyDescent="0.25">
      <c r="A437" s="28" t="s">
        <v>903</v>
      </c>
      <c r="B437" s="29" t="s">
        <v>904</v>
      </c>
      <c r="C437" s="30" t="s">
        <v>197</v>
      </c>
      <c r="D437" s="40">
        <v>513087</v>
      </c>
      <c r="E437" s="26">
        <v>150427</v>
      </c>
      <c r="F437" s="26">
        <f t="shared" si="12"/>
        <v>663514</v>
      </c>
      <c r="G437" s="40">
        <v>571705</v>
      </c>
      <c r="H437" s="26">
        <v>157413</v>
      </c>
      <c r="I437" s="27">
        <f t="shared" si="13"/>
        <v>729118</v>
      </c>
      <c r="J437" s="40">
        <v>727462</v>
      </c>
      <c r="K437" s="26">
        <v>201749</v>
      </c>
      <c r="L437" s="27">
        <v>929211</v>
      </c>
      <c r="M437" s="26">
        <v>709953</v>
      </c>
      <c r="N437" s="26">
        <v>152470</v>
      </c>
      <c r="O437" s="27">
        <v>862423</v>
      </c>
      <c r="P437" s="26">
        <v>639916</v>
      </c>
      <c r="Q437" s="26">
        <v>130559</v>
      </c>
      <c r="R437" s="27">
        <v>770475</v>
      </c>
      <c r="S437" s="26">
        <v>632468</v>
      </c>
      <c r="T437" s="26">
        <v>170099</v>
      </c>
      <c r="U437" s="27">
        <v>802567</v>
      </c>
      <c r="V437" s="26">
        <v>565795</v>
      </c>
      <c r="W437" s="26">
        <v>118516</v>
      </c>
      <c r="X437" s="31">
        <v>684311</v>
      </c>
      <c r="Y437" s="16">
        <v>648538</v>
      </c>
      <c r="Z437" s="16">
        <v>171286</v>
      </c>
      <c r="AA437" s="31">
        <v>819824</v>
      </c>
      <c r="AB437" s="32">
        <v>616776</v>
      </c>
      <c r="AC437" s="16">
        <v>156636</v>
      </c>
      <c r="AD437" s="31">
        <v>773412</v>
      </c>
      <c r="AE437" s="16">
        <v>593351</v>
      </c>
      <c r="AF437" s="16">
        <v>86572</v>
      </c>
      <c r="AG437" s="31">
        <v>679923</v>
      </c>
      <c r="AH437" s="16">
        <v>593307</v>
      </c>
      <c r="AI437" s="16">
        <v>1070729</v>
      </c>
      <c r="AJ437" s="31">
        <v>1664036</v>
      </c>
      <c r="AK437" s="16">
        <v>593427</v>
      </c>
      <c r="AL437" s="16">
        <v>1093089</v>
      </c>
      <c r="AM437" s="31">
        <v>1686516</v>
      </c>
      <c r="AN437" s="16">
        <v>707149</v>
      </c>
      <c r="AO437" s="16">
        <v>1309731</v>
      </c>
      <c r="AP437" s="31">
        <v>2016880</v>
      </c>
      <c r="AQ437" s="42"/>
      <c r="AR437" s="43"/>
      <c r="AS437" s="42"/>
      <c r="AT437" s="42"/>
    </row>
    <row r="438" spans="1:46" ht="12.9" customHeight="1" x14ac:dyDescent="0.25">
      <c r="A438" s="28" t="s">
        <v>905</v>
      </c>
      <c r="B438" s="29" t="s">
        <v>906</v>
      </c>
      <c r="C438" s="30" t="s">
        <v>80</v>
      </c>
      <c r="D438" s="40">
        <v>4310920</v>
      </c>
      <c r="E438" s="26">
        <v>1524930</v>
      </c>
      <c r="F438" s="26">
        <f t="shared" si="12"/>
        <v>5835850</v>
      </c>
      <c r="G438" s="40">
        <v>4519235</v>
      </c>
      <c r="H438" s="26">
        <v>1664944</v>
      </c>
      <c r="I438" s="27">
        <f t="shared" si="13"/>
        <v>6184179</v>
      </c>
      <c r="J438" s="40">
        <v>4579212</v>
      </c>
      <c r="K438" s="26">
        <v>1725142</v>
      </c>
      <c r="L438" s="27">
        <v>6304354</v>
      </c>
      <c r="M438" s="26">
        <v>4745031</v>
      </c>
      <c r="N438" s="26">
        <v>1588031</v>
      </c>
      <c r="O438" s="27">
        <v>6333062</v>
      </c>
      <c r="P438" s="26">
        <v>4788119</v>
      </c>
      <c r="Q438" s="26">
        <v>1472592</v>
      </c>
      <c r="R438" s="27">
        <v>6260711</v>
      </c>
      <c r="S438" s="26">
        <v>4592267</v>
      </c>
      <c r="T438" s="26">
        <v>1834779</v>
      </c>
      <c r="U438" s="27">
        <v>6427046</v>
      </c>
      <c r="V438" s="26">
        <v>4623564</v>
      </c>
      <c r="W438" s="26">
        <v>1815076</v>
      </c>
      <c r="X438" s="31">
        <v>6438640</v>
      </c>
      <c r="Y438" s="16">
        <v>4514662</v>
      </c>
      <c r="Z438" s="16">
        <v>1817680</v>
      </c>
      <c r="AA438" s="31">
        <v>6332342</v>
      </c>
      <c r="AB438" s="32">
        <v>4619330.1614895882</v>
      </c>
      <c r="AC438" s="16">
        <v>1957386.0600070602</v>
      </c>
      <c r="AD438" s="31">
        <v>6576716.2214966482</v>
      </c>
      <c r="AE438" s="16">
        <v>4413005</v>
      </c>
      <c r="AF438" s="16">
        <v>1607773</v>
      </c>
      <c r="AG438" s="31">
        <v>6020778</v>
      </c>
      <c r="AH438" s="16">
        <v>4434647</v>
      </c>
      <c r="AI438" s="16">
        <v>1868218</v>
      </c>
      <c r="AJ438" s="31">
        <v>6302865</v>
      </c>
      <c r="AK438" s="16">
        <v>4431376</v>
      </c>
      <c r="AL438" s="16">
        <v>1906202</v>
      </c>
      <c r="AM438" s="31">
        <v>6337578</v>
      </c>
      <c r="AN438" s="16">
        <v>4516179</v>
      </c>
      <c r="AO438" s="16">
        <v>1760549</v>
      </c>
      <c r="AP438" s="31">
        <v>6276728</v>
      </c>
      <c r="AQ438" s="42"/>
      <c r="AR438" s="43"/>
      <c r="AS438" s="42"/>
      <c r="AT438" s="42"/>
    </row>
    <row r="439" spans="1:46" ht="12.9" customHeight="1" x14ac:dyDescent="0.25">
      <c r="A439" s="28">
        <v>17904</v>
      </c>
      <c r="B439" s="29" t="s">
        <v>907</v>
      </c>
      <c r="C439" s="30" t="s">
        <v>274</v>
      </c>
      <c r="D439" s="40">
        <v>0</v>
      </c>
      <c r="E439" s="26">
        <v>0</v>
      </c>
      <c r="F439" s="26">
        <f t="shared" si="12"/>
        <v>0</v>
      </c>
      <c r="G439" s="40">
        <v>0</v>
      </c>
      <c r="H439" s="26">
        <v>0</v>
      </c>
      <c r="I439" s="27">
        <f t="shared" si="13"/>
        <v>0</v>
      </c>
      <c r="J439" s="40">
        <v>0</v>
      </c>
      <c r="K439" s="26">
        <v>0</v>
      </c>
      <c r="L439" s="27">
        <v>0</v>
      </c>
      <c r="M439" s="26">
        <v>0</v>
      </c>
      <c r="N439" s="26">
        <v>0</v>
      </c>
      <c r="O439" s="27">
        <v>0</v>
      </c>
      <c r="P439" s="26">
        <v>0</v>
      </c>
      <c r="Q439" s="26">
        <v>0</v>
      </c>
      <c r="R439" s="27">
        <v>0</v>
      </c>
      <c r="S439" s="26">
        <v>0</v>
      </c>
      <c r="T439" s="26">
        <v>0</v>
      </c>
      <c r="U439" s="27">
        <v>0</v>
      </c>
      <c r="V439" s="26">
        <v>0</v>
      </c>
      <c r="W439" s="26">
        <v>0</v>
      </c>
      <c r="X439" s="31">
        <v>0</v>
      </c>
      <c r="Y439" s="16">
        <v>31240</v>
      </c>
      <c r="Z439" s="16">
        <v>5597</v>
      </c>
      <c r="AA439" s="31">
        <v>36837</v>
      </c>
      <c r="AB439" s="32">
        <v>31282</v>
      </c>
      <c r="AC439" s="16">
        <v>5943</v>
      </c>
      <c r="AD439" s="31">
        <v>37225</v>
      </c>
      <c r="AE439" s="46" t="s">
        <v>908</v>
      </c>
      <c r="AF439" s="46" t="s">
        <v>908</v>
      </c>
      <c r="AG439" s="31"/>
      <c r="AH439" s="16"/>
      <c r="AI439" s="16"/>
      <c r="AJ439" s="31">
        <v>0</v>
      </c>
      <c r="AK439" s="16"/>
      <c r="AL439" s="16"/>
      <c r="AM439" s="31">
        <v>0</v>
      </c>
      <c r="AN439" s="16"/>
      <c r="AO439" s="16"/>
      <c r="AP439" s="31">
        <v>0</v>
      </c>
      <c r="AQ439" s="42"/>
      <c r="AR439" s="43"/>
      <c r="AS439" s="42"/>
      <c r="AT439" s="42"/>
    </row>
    <row r="440" spans="1:46" ht="12.9" customHeight="1" x14ac:dyDescent="0.25">
      <c r="A440" s="28" t="s">
        <v>909</v>
      </c>
      <c r="B440" s="29" t="s">
        <v>910</v>
      </c>
      <c r="C440" s="30" t="s">
        <v>191</v>
      </c>
      <c r="D440" s="40">
        <v>120195</v>
      </c>
      <c r="E440" s="26">
        <v>29023</v>
      </c>
      <c r="F440" s="26">
        <f t="shared" si="12"/>
        <v>149218</v>
      </c>
      <c r="G440" s="40">
        <v>131939</v>
      </c>
      <c r="H440" s="26">
        <v>28388</v>
      </c>
      <c r="I440" s="27">
        <f t="shared" si="13"/>
        <v>160327</v>
      </c>
      <c r="J440" s="40">
        <v>136856</v>
      </c>
      <c r="K440" s="26">
        <v>29211</v>
      </c>
      <c r="L440" s="27">
        <v>166067</v>
      </c>
      <c r="M440" s="26">
        <v>143278</v>
      </c>
      <c r="N440" s="26">
        <v>34249</v>
      </c>
      <c r="O440" s="27">
        <v>177527</v>
      </c>
      <c r="P440" s="26">
        <v>158287</v>
      </c>
      <c r="Q440" s="26">
        <v>33585</v>
      </c>
      <c r="R440" s="27">
        <v>191872</v>
      </c>
      <c r="S440" s="26">
        <v>122959</v>
      </c>
      <c r="T440" s="26">
        <v>51167</v>
      </c>
      <c r="U440" s="27">
        <v>174126</v>
      </c>
      <c r="V440" s="26">
        <v>116100</v>
      </c>
      <c r="W440" s="26">
        <v>36704</v>
      </c>
      <c r="X440" s="31">
        <v>152804</v>
      </c>
      <c r="Y440" s="16">
        <v>139502</v>
      </c>
      <c r="Z440" s="16">
        <v>111055</v>
      </c>
      <c r="AA440" s="31">
        <v>250557</v>
      </c>
      <c r="AB440" s="32">
        <v>128474</v>
      </c>
      <c r="AC440" s="16">
        <v>103325</v>
      </c>
      <c r="AD440" s="31">
        <v>231799</v>
      </c>
      <c r="AE440" s="16">
        <v>121309</v>
      </c>
      <c r="AF440" s="16">
        <v>123425</v>
      </c>
      <c r="AG440" s="31">
        <v>244734</v>
      </c>
      <c r="AH440" s="16">
        <v>134801</v>
      </c>
      <c r="AI440" s="16">
        <v>116185</v>
      </c>
      <c r="AJ440" s="31">
        <v>250986</v>
      </c>
      <c r="AK440" s="16">
        <v>123375</v>
      </c>
      <c r="AL440" s="16">
        <v>137240</v>
      </c>
      <c r="AM440" s="31">
        <v>260615</v>
      </c>
      <c r="AN440" s="16">
        <v>148752</v>
      </c>
      <c r="AO440" s="16">
        <v>135988</v>
      </c>
      <c r="AP440" s="31">
        <v>284740</v>
      </c>
      <c r="AQ440" s="42"/>
      <c r="AR440" s="43"/>
      <c r="AS440" s="42"/>
      <c r="AT440" s="42"/>
    </row>
    <row r="441" spans="1:46" ht="12.9" customHeight="1" x14ac:dyDescent="0.25">
      <c r="A441" s="28" t="s">
        <v>911</v>
      </c>
      <c r="B441" s="29" t="s">
        <v>912</v>
      </c>
      <c r="C441" s="30" t="s">
        <v>14</v>
      </c>
      <c r="D441" s="40">
        <v>35128</v>
      </c>
      <c r="E441" s="26">
        <v>10709</v>
      </c>
      <c r="F441" s="26">
        <f t="shared" si="12"/>
        <v>45837</v>
      </c>
      <c r="G441" s="40">
        <v>34329</v>
      </c>
      <c r="H441" s="26">
        <v>7434</v>
      </c>
      <c r="I441" s="27">
        <f t="shared" si="13"/>
        <v>41763</v>
      </c>
      <c r="J441" s="40">
        <v>55318</v>
      </c>
      <c r="K441" s="26">
        <v>7020</v>
      </c>
      <c r="L441" s="27">
        <v>62338</v>
      </c>
      <c r="M441" s="26">
        <v>38032</v>
      </c>
      <c r="N441" s="26">
        <v>13307</v>
      </c>
      <c r="O441" s="27">
        <v>51339</v>
      </c>
      <c r="P441" s="26">
        <v>37945</v>
      </c>
      <c r="Q441" s="26">
        <v>8582</v>
      </c>
      <c r="R441" s="27">
        <v>46527</v>
      </c>
      <c r="S441" s="26">
        <v>37269</v>
      </c>
      <c r="T441" s="26">
        <v>11457</v>
      </c>
      <c r="U441" s="27">
        <v>48726</v>
      </c>
      <c r="V441" s="26">
        <v>37713</v>
      </c>
      <c r="W441" s="26">
        <v>6663</v>
      </c>
      <c r="X441" s="31">
        <v>44376</v>
      </c>
      <c r="Y441" s="16">
        <v>37524</v>
      </c>
      <c r="Z441" s="16">
        <v>7400</v>
      </c>
      <c r="AA441" s="31">
        <v>44924</v>
      </c>
      <c r="AB441" s="32">
        <v>39745</v>
      </c>
      <c r="AC441" s="16">
        <v>5544</v>
      </c>
      <c r="AD441" s="31">
        <v>45289</v>
      </c>
      <c r="AE441" s="16">
        <v>42406</v>
      </c>
      <c r="AF441" s="16">
        <v>5804</v>
      </c>
      <c r="AG441" s="31">
        <v>48210</v>
      </c>
      <c r="AH441" s="16">
        <v>43000</v>
      </c>
      <c r="AI441" s="16">
        <v>6202</v>
      </c>
      <c r="AJ441" s="31">
        <v>49202</v>
      </c>
      <c r="AK441" s="16">
        <v>38771</v>
      </c>
      <c r="AL441" s="16">
        <v>7554.2</v>
      </c>
      <c r="AM441" s="31">
        <v>46325.2</v>
      </c>
      <c r="AN441" s="16">
        <v>38771</v>
      </c>
      <c r="AO441" s="16">
        <v>6675.2</v>
      </c>
      <c r="AP441" s="31">
        <v>45446.2</v>
      </c>
      <c r="AQ441" s="42"/>
      <c r="AR441" s="43"/>
      <c r="AS441" s="42"/>
      <c r="AT441" s="42"/>
    </row>
    <row r="442" spans="1:46" ht="12.9" customHeight="1" x14ac:dyDescent="0.25">
      <c r="A442" s="28" t="s">
        <v>913</v>
      </c>
      <c r="B442" s="29" t="s">
        <v>914</v>
      </c>
      <c r="C442" s="30" t="s">
        <v>110</v>
      </c>
      <c r="D442" s="40">
        <v>11210</v>
      </c>
      <c r="E442" s="26">
        <v>684</v>
      </c>
      <c r="F442" s="26">
        <f t="shared" si="12"/>
        <v>11894</v>
      </c>
      <c r="G442" s="40">
        <v>11210</v>
      </c>
      <c r="H442" s="26">
        <v>1368</v>
      </c>
      <c r="I442" s="27">
        <f t="shared" si="13"/>
        <v>12578</v>
      </c>
      <c r="J442" s="40">
        <v>11210</v>
      </c>
      <c r="K442" s="26">
        <v>1368</v>
      </c>
      <c r="L442" s="27">
        <v>12578</v>
      </c>
      <c r="M442" s="26">
        <v>11210</v>
      </c>
      <c r="N442" s="26">
        <v>684</v>
      </c>
      <c r="O442" s="27">
        <v>11894</v>
      </c>
      <c r="P442" s="26">
        <v>11210</v>
      </c>
      <c r="Q442" s="26">
        <v>684</v>
      </c>
      <c r="R442" s="27">
        <v>11894</v>
      </c>
      <c r="S442" s="26">
        <v>11210</v>
      </c>
      <c r="T442" s="26">
        <v>684</v>
      </c>
      <c r="U442" s="27">
        <v>11894</v>
      </c>
      <c r="V442" s="26">
        <v>11105</v>
      </c>
      <c r="W442" s="26">
        <v>602</v>
      </c>
      <c r="X442" s="31">
        <v>11707</v>
      </c>
      <c r="Y442" s="16">
        <v>10944</v>
      </c>
      <c r="Z442" s="16">
        <v>576</v>
      </c>
      <c r="AA442" s="31">
        <v>11520</v>
      </c>
      <c r="AB442" s="32">
        <v>8208</v>
      </c>
      <c r="AC442" s="16">
        <v>432</v>
      </c>
      <c r="AD442" s="31">
        <v>8640</v>
      </c>
      <c r="AE442" s="16">
        <v>8208</v>
      </c>
      <c r="AF442" s="16">
        <v>324</v>
      </c>
      <c r="AG442" s="31">
        <v>8532</v>
      </c>
      <c r="AH442" s="16">
        <v>8208</v>
      </c>
      <c r="AI442" s="16">
        <v>324</v>
      </c>
      <c r="AJ442" s="31">
        <v>8532</v>
      </c>
      <c r="AK442" s="16">
        <v>8208</v>
      </c>
      <c r="AL442" s="16">
        <v>324</v>
      </c>
      <c r="AM442" s="31">
        <v>8532</v>
      </c>
      <c r="AN442" s="16">
        <v>8208</v>
      </c>
      <c r="AO442" s="16">
        <v>324</v>
      </c>
      <c r="AP442" s="31">
        <v>8532</v>
      </c>
      <c r="AQ442" s="42"/>
      <c r="AR442" s="43"/>
      <c r="AS442" s="42"/>
      <c r="AT442" s="42"/>
    </row>
    <row r="443" spans="1:46" ht="12.9" customHeight="1" x14ac:dyDescent="0.25">
      <c r="A443" s="28" t="s">
        <v>915</v>
      </c>
      <c r="B443" s="29" t="s">
        <v>916</v>
      </c>
      <c r="C443" s="30" t="s">
        <v>150</v>
      </c>
      <c r="D443" s="40">
        <v>9460</v>
      </c>
      <c r="E443" s="26">
        <v>4031</v>
      </c>
      <c r="F443" s="26">
        <f t="shared" si="12"/>
        <v>13491</v>
      </c>
      <c r="G443" s="40">
        <v>10087</v>
      </c>
      <c r="H443" s="26">
        <v>6117</v>
      </c>
      <c r="I443" s="27">
        <f t="shared" si="13"/>
        <v>16204</v>
      </c>
      <c r="J443" s="40">
        <v>12247</v>
      </c>
      <c r="K443" s="26">
        <v>5856</v>
      </c>
      <c r="L443" s="27">
        <v>18103</v>
      </c>
      <c r="M443" s="26">
        <v>12093</v>
      </c>
      <c r="N443" s="26">
        <v>4174</v>
      </c>
      <c r="O443" s="27">
        <v>16267</v>
      </c>
      <c r="P443" s="26">
        <v>10989.142857142857</v>
      </c>
      <c r="Q443" s="26">
        <v>5607</v>
      </c>
      <c r="R443" s="27">
        <v>16596.142857142855</v>
      </c>
      <c r="S443" s="26">
        <v>9896</v>
      </c>
      <c r="T443" s="26">
        <v>4995</v>
      </c>
      <c r="U443" s="27">
        <v>14891</v>
      </c>
      <c r="V443" s="26">
        <v>10969</v>
      </c>
      <c r="W443" s="26">
        <v>6087</v>
      </c>
      <c r="X443" s="31">
        <v>17056</v>
      </c>
      <c r="Y443" s="16">
        <v>11891</v>
      </c>
      <c r="Z443" s="16">
        <v>4577</v>
      </c>
      <c r="AA443" s="31">
        <v>16468</v>
      </c>
      <c r="AB443" s="32">
        <v>11904</v>
      </c>
      <c r="AC443" s="16">
        <v>4795</v>
      </c>
      <c r="AD443" s="31">
        <v>16699</v>
      </c>
      <c r="AE443" s="16">
        <v>12430</v>
      </c>
      <c r="AF443" s="16">
        <v>4673</v>
      </c>
      <c r="AG443" s="31">
        <v>17103</v>
      </c>
      <c r="AH443" s="16">
        <v>9983</v>
      </c>
      <c r="AI443" s="16">
        <v>5479</v>
      </c>
      <c r="AJ443" s="31">
        <v>15462</v>
      </c>
      <c r="AK443" s="16">
        <v>11376</v>
      </c>
      <c r="AL443" s="16">
        <v>5187</v>
      </c>
      <c r="AM443" s="31">
        <v>16563</v>
      </c>
      <c r="AN443" s="16">
        <v>12317</v>
      </c>
      <c r="AO443" s="16">
        <v>5772</v>
      </c>
      <c r="AP443" s="31">
        <v>18089</v>
      </c>
      <c r="AQ443" s="42"/>
      <c r="AR443" s="43"/>
      <c r="AS443" s="42"/>
      <c r="AT443" s="42"/>
    </row>
    <row r="444" spans="1:46" ht="12.9" customHeight="1" x14ac:dyDescent="0.25">
      <c r="A444" s="28" t="s">
        <v>917</v>
      </c>
      <c r="B444" s="29" t="s">
        <v>918</v>
      </c>
      <c r="C444" s="30" t="s">
        <v>29</v>
      </c>
      <c r="D444" s="40">
        <v>4608</v>
      </c>
      <c r="E444" s="26">
        <v>219</v>
      </c>
      <c r="F444" s="26">
        <f t="shared" si="12"/>
        <v>4827</v>
      </c>
      <c r="G444" s="40">
        <v>6164</v>
      </c>
      <c r="H444" s="26">
        <v>257</v>
      </c>
      <c r="I444" s="27">
        <f t="shared" si="13"/>
        <v>6421</v>
      </c>
      <c r="J444" s="40">
        <v>4784</v>
      </c>
      <c r="K444" s="26">
        <v>201</v>
      </c>
      <c r="L444" s="27">
        <v>4985</v>
      </c>
      <c r="M444" s="26">
        <v>4932</v>
      </c>
      <c r="N444" s="26">
        <v>172</v>
      </c>
      <c r="O444" s="27">
        <v>5104</v>
      </c>
      <c r="P444" s="26">
        <v>4764</v>
      </c>
      <c r="Q444" s="26">
        <v>178</v>
      </c>
      <c r="R444" s="27">
        <v>4942</v>
      </c>
      <c r="S444" s="26">
        <v>4464</v>
      </c>
      <c r="T444" s="26">
        <v>173</v>
      </c>
      <c r="U444" s="27">
        <v>4637</v>
      </c>
      <c r="V444" s="26">
        <v>4465</v>
      </c>
      <c r="W444" s="26">
        <v>99</v>
      </c>
      <c r="X444" s="31">
        <v>4564</v>
      </c>
      <c r="Y444" s="16">
        <v>4630</v>
      </c>
      <c r="Z444" s="16">
        <v>1537</v>
      </c>
      <c r="AA444" s="31">
        <v>6167</v>
      </c>
      <c r="AB444" s="32">
        <v>4230</v>
      </c>
      <c r="AC444" s="16">
        <v>543</v>
      </c>
      <c r="AD444" s="31">
        <v>4773</v>
      </c>
      <c r="AE444" s="16">
        <v>4441</v>
      </c>
      <c r="AF444" s="16">
        <v>610</v>
      </c>
      <c r="AG444" s="31">
        <v>5051</v>
      </c>
      <c r="AH444" s="16">
        <v>4523</v>
      </c>
      <c r="AI444" s="16">
        <v>505</v>
      </c>
      <c r="AJ444" s="31">
        <v>5028</v>
      </c>
      <c r="AK444" s="16">
        <v>7332</v>
      </c>
      <c r="AL444" s="16">
        <v>347</v>
      </c>
      <c r="AM444" s="31">
        <v>7679</v>
      </c>
      <c r="AN444" s="16">
        <v>7332</v>
      </c>
      <c r="AO444" s="16">
        <v>347</v>
      </c>
      <c r="AP444" s="31">
        <v>7679</v>
      </c>
      <c r="AQ444" s="42"/>
      <c r="AR444" s="43"/>
      <c r="AS444" s="42"/>
      <c r="AT444" s="42"/>
    </row>
    <row r="445" spans="1:46" ht="12.9" customHeight="1" x14ac:dyDescent="0.25">
      <c r="A445" s="28" t="s">
        <v>919</v>
      </c>
      <c r="B445" s="29" t="s">
        <v>920</v>
      </c>
      <c r="C445" s="30" t="s">
        <v>215</v>
      </c>
      <c r="D445" s="40">
        <v>66936</v>
      </c>
      <c r="E445" s="26">
        <v>359460</v>
      </c>
      <c r="F445" s="26">
        <f t="shared" si="12"/>
        <v>426396</v>
      </c>
      <c r="G445" s="40">
        <v>67284</v>
      </c>
      <c r="H445" s="26">
        <v>344638</v>
      </c>
      <c r="I445" s="27">
        <f t="shared" si="13"/>
        <v>411922</v>
      </c>
      <c r="J445" s="40">
        <v>67284</v>
      </c>
      <c r="K445" s="26">
        <v>578842</v>
      </c>
      <c r="L445" s="27">
        <v>646126</v>
      </c>
      <c r="M445" s="26">
        <v>65520</v>
      </c>
      <c r="N445" s="26">
        <v>681991</v>
      </c>
      <c r="O445" s="27">
        <v>747511</v>
      </c>
      <c r="P445" s="26">
        <v>68040</v>
      </c>
      <c r="Q445" s="26">
        <v>649119</v>
      </c>
      <c r="R445" s="27">
        <v>717159</v>
      </c>
      <c r="S445" s="26">
        <v>68040</v>
      </c>
      <c r="T445" s="26">
        <v>737802</v>
      </c>
      <c r="U445" s="27">
        <v>805842</v>
      </c>
      <c r="V445" s="26">
        <v>68148</v>
      </c>
      <c r="W445" s="26">
        <v>751325</v>
      </c>
      <c r="X445" s="31">
        <v>819473</v>
      </c>
      <c r="Y445" s="16">
        <v>68904</v>
      </c>
      <c r="Z445" s="16">
        <v>675926</v>
      </c>
      <c r="AA445" s="31">
        <v>744830</v>
      </c>
      <c r="AB445" s="32">
        <v>69336</v>
      </c>
      <c r="AC445" s="16">
        <v>590261</v>
      </c>
      <c r="AD445" s="31">
        <v>659597</v>
      </c>
      <c r="AE445" s="16">
        <v>69984</v>
      </c>
      <c r="AF445" s="16">
        <v>552402</v>
      </c>
      <c r="AG445" s="31">
        <v>622386</v>
      </c>
      <c r="AH445" s="16">
        <v>70092</v>
      </c>
      <c r="AI445" s="16">
        <v>528441</v>
      </c>
      <c r="AJ445" s="31">
        <v>598533</v>
      </c>
      <c r="AK445" s="16">
        <v>70632</v>
      </c>
      <c r="AL445" s="16">
        <v>564434</v>
      </c>
      <c r="AM445" s="31">
        <v>635066</v>
      </c>
      <c r="AN445" s="16">
        <v>70632</v>
      </c>
      <c r="AO445" s="16">
        <v>570271</v>
      </c>
      <c r="AP445" s="31">
        <v>640903</v>
      </c>
      <c r="AQ445" s="42"/>
      <c r="AR445" s="43"/>
      <c r="AS445" s="42"/>
      <c r="AT445" s="42"/>
    </row>
    <row r="446" spans="1:46" ht="12.9" customHeight="1" x14ac:dyDescent="0.25">
      <c r="A446" s="28" t="s">
        <v>921</v>
      </c>
      <c r="B446" s="29" t="s">
        <v>922</v>
      </c>
      <c r="C446" s="30" t="s">
        <v>177</v>
      </c>
      <c r="D446" s="40">
        <v>14934</v>
      </c>
      <c r="E446" s="26">
        <v>1383</v>
      </c>
      <c r="F446" s="26">
        <f t="shared" si="12"/>
        <v>16317</v>
      </c>
      <c r="G446" s="40">
        <v>20465</v>
      </c>
      <c r="H446" s="26">
        <v>2135</v>
      </c>
      <c r="I446" s="27">
        <f t="shared" si="13"/>
        <v>22600</v>
      </c>
      <c r="J446" s="40">
        <v>19096</v>
      </c>
      <c r="K446" s="26">
        <v>940</v>
      </c>
      <c r="L446" s="27">
        <v>20036</v>
      </c>
      <c r="M446" s="26">
        <v>20539</v>
      </c>
      <c r="N446" s="26">
        <v>925</v>
      </c>
      <c r="O446" s="27">
        <v>21464</v>
      </c>
      <c r="P446" s="26">
        <v>20818</v>
      </c>
      <c r="Q446" s="26">
        <v>1027</v>
      </c>
      <c r="R446" s="27">
        <v>21845</v>
      </c>
      <c r="S446" s="26">
        <v>18672</v>
      </c>
      <c r="T446" s="26">
        <v>1235</v>
      </c>
      <c r="U446" s="27">
        <v>19907</v>
      </c>
      <c r="V446" s="26">
        <v>18814</v>
      </c>
      <c r="W446" s="26">
        <v>1670</v>
      </c>
      <c r="X446" s="31">
        <v>20484</v>
      </c>
      <c r="Y446" s="16">
        <v>20936</v>
      </c>
      <c r="Z446" s="16">
        <v>1582</v>
      </c>
      <c r="AA446" s="31">
        <v>22518</v>
      </c>
      <c r="AB446" s="32">
        <v>20970</v>
      </c>
      <c r="AC446" s="16">
        <v>1493</v>
      </c>
      <c r="AD446" s="31">
        <v>22463</v>
      </c>
      <c r="AE446" s="16">
        <v>21370</v>
      </c>
      <c r="AF446" s="16">
        <v>1630</v>
      </c>
      <c r="AG446" s="31">
        <v>23000</v>
      </c>
      <c r="AH446" s="16">
        <v>22360</v>
      </c>
      <c r="AI446" s="16">
        <v>1684</v>
      </c>
      <c r="AJ446" s="31">
        <v>24044</v>
      </c>
      <c r="AK446" s="16">
        <v>24188</v>
      </c>
      <c r="AL446" s="16">
        <v>1717</v>
      </c>
      <c r="AM446" s="31">
        <v>25905</v>
      </c>
      <c r="AN446" s="16">
        <v>24188</v>
      </c>
      <c r="AO446" s="16">
        <v>1718</v>
      </c>
      <c r="AP446" s="31">
        <v>25906</v>
      </c>
      <c r="AQ446" s="42"/>
      <c r="AR446" s="43"/>
      <c r="AS446" s="42"/>
      <c r="AT446" s="42"/>
    </row>
    <row r="447" spans="1:46" ht="12.9" customHeight="1" x14ac:dyDescent="0.25">
      <c r="A447" s="28" t="s">
        <v>923</v>
      </c>
      <c r="B447" s="29" t="s">
        <v>924</v>
      </c>
      <c r="C447" s="30" t="s">
        <v>357</v>
      </c>
      <c r="D447" s="40">
        <v>231210</v>
      </c>
      <c r="E447" s="26">
        <v>293854</v>
      </c>
      <c r="F447" s="26">
        <f t="shared" si="12"/>
        <v>525064</v>
      </c>
      <c r="G447" s="40">
        <v>248425</v>
      </c>
      <c r="H447" s="26">
        <v>277145</v>
      </c>
      <c r="I447" s="27">
        <f t="shared" si="13"/>
        <v>525570</v>
      </c>
      <c r="J447" s="40">
        <v>260322</v>
      </c>
      <c r="K447" s="26">
        <v>280669</v>
      </c>
      <c r="L447" s="27">
        <v>540991</v>
      </c>
      <c r="M447" s="26">
        <v>274790</v>
      </c>
      <c r="N447" s="26">
        <v>269551</v>
      </c>
      <c r="O447" s="27">
        <v>544341</v>
      </c>
      <c r="P447" s="26">
        <v>268104</v>
      </c>
      <c r="Q447" s="26">
        <v>202972</v>
      </c>
      <c r="R447" s="27">
        <v>471076</v>
      </c>
      <c r="S447" s="26">
        <v>257046</v>
      </c>
      <c r="T447" s="26">
        <v>252339</v>
      </c>
      <c r="U447" s="27">
        <v>509385</v>
      </c>
      <c r="V447" s="26">
        <v>233287</v>
      </c>
      <c r="W447" s="26">
        <v>195710</v>
      </c>
      <c r="X447" s="31">
        <v>428997</v>
      </c>
      <c r="Y447" s="16">
        <v>243771</v>
      </c>
      <c r="Z447" s="16">
        <v>195576</v>
      </c>
      <c r="AA447" s="31">
        <v>439347</v>
      </c>
      <c r="AB447" s="32">
        <v>238046</v>
      </c>
      <c r="AC447" s="16">
        <v>189664</v>
      </c>
      <c r="AD447" s="31">
        <v>427710</v>
      </c>
      <c r="AE447" s="16">
        <v>239138</v>
      </c>
      <c r="AF447" s="16">
        <v>217458</v>
      </c>
      <c r="AG447" s="31">
        <v>456596</v>
      </c>
      <c r="AH447" s="16">
        <v>226064</v>
      </c>
      <c r="AI447" s="16">
        <v>206742</v>
      </c>
      <c r="AJ447" s="31">
        <v>432806</v>
      </c>
      <c r="AK447" s="16">
        <v>220920</v>
      </c>
      <c r="AL447" s="16">
        <v>180209</v>
      </c>
      <c r="AM447" s="31">
        <v>401129</v>
      </c>
      <c r="AN447" s="16">
        <v>237088</v>
      </c>
      <c r="AO447" s="16">
        <v>143071</v>
      </c>
      <c r="AP447" s="31">
        <v>380159</v>
      </c>
      <c r="AQ447" s="42"/>
      <c r="AR447" s="43"/>
      <c r="AS447" s="42"/>
      <c r="AT447" s="42"/>
    </row>
    <row r="448" spans="1:46" ht="12.9" customHeight="1" x14ac:dyDescent="0.25">
      <c r="A448" s="28" t="s">
        <v>925</v>
      </c>
      <c r="B448" s="29" t="s">
        <v>926</v>
      </c>
      <c r="C448" s="30" t="s">
        <v>249</v>
      </c>
      <c r="D448" s="40">
        <v>10523</v>
      </c>
      <c r="E448" s="26">
        <v>3401</v>
      </c>
      <c r="F448" s="26">
        <f t="shared" si="12"/>
        <v>13924</v>
      </c>
      <c r="G448" s="40">
        <v>10628</v>
      </c>
      <c r="H448" s="26">
        <v>4360</v>
      </c>
      <c r="I448" s="27">
        <f t="shared" si="13"/>
        <v>14988</v>
      </c>
      <c r="J448" s="40">
        <v>10945</v>
      </c>
      <c r="K448" s="26">
        <v>5392</v>
      </c>
      <c r="L448" s="27">
        <v>16337</v>
      </c>
      <c r="M448" s="26">
        <v>11665</v>
      </c>
      <c r="N448" s="26">
        <v>5919</v>
      </c>
      <c r="O448" s="27">
        <v>17584</v>
      </c>
      <c r="P448" s="26">
        <v>11783</v>
      </c>
      <c r="Q448" s="26">
        <v>3236</v>
      </c>
      <c r="R448" s="27">
        <v>15019</v>
      </c>
      <c r="S448" s="26">
        <v>11557</v>
      </c>
      <c r="T448" s="26">
        <v>3401</v>
      </c>
      <c r="U448" s="27">
        <v>14958</v>
      </c>
      <c r="V448" s="26">
        <v>10700</v>
      </c>
      <c r="W448" s="26">
        <v>2358</v>
      </c>
      <c r="X448" s="31">
        <v>13058</v>
      </c>
      <c r="Y448" s="16">
        <v>12273</v>
      </c>
      <c r="Z448" s="16">
        <v>2408</v>
      </c>
      <c r="AA448" s="31">
        <v>14681</v>
      </c>
      <c r="AB448" s="32">
        <v>11179</v>
      </c>
      <c r="AC448" s="16">
        <v>2458</v>
      </c>
      <c r="AD448" s="31">
        <v>13637</v>
      </c>
      <c r="AE448" s="16">
        <v>11256</v>
      </c>
      <c r="AF448" s="16">
        <v>4298</v>
      </c>
      <c r="AG448" s="31">
        <v>15554</v>
      </c>
      <c r="AH448" s="16">
        <v>10782</v>
      </c>
      <c r="AI448" s="16">
        <v>3340</v>
      </c>
      <c r="AJ448" s="31">
        <v>14122</v>
      </c>
      <c r="AK448" s="16">
        <v>11867</v>
      </c>
      <c r="AL448" s="16">
        <v>2691</v>
      </c>
      <c r="AM448" s="31">
        <v>14558</v>
      </c>
      <c r="AN448" s="16">
        <v>11867</v>
      </c>
      <c r="AO448" s="16">
        <v>2664</v>
      </c>
      <c r="AP448" s="31">
        <v>14531</v>
      </c>
      <c r="AQ448" s="42"/>
      <c r="AR448" s="43"/>
      <c r="AS448" s="42"/>
      <c r="AT448" s="42"/>
    </row>
    <row r="449" spans="1:46" ht="12.9" customHeight="1" x14ac:dyDescent="0.25">
      <c r="A449" s="28" t="s">
        <v>927</v>
      </c>
      <c r="B449" s="29" t="s">
        <v>928</v>
      </c>
      <c r="C449" s="30" t="s">
        <v>11</v>
      </c>
      <c r="D449" s="40">
        <v>953439</v>
      </c>
      <c r="E449" s="26">
        <v>304033</v>
      </c>
      <c r="F449" s="26">
        <f t="shared" si="12"/>
        <v>1257472</v>
      </c>
      <c r="G449" s="40">
        <v>998922</v>
      </c>
      <c r="H449" s="26">
        <v>346796</v>
      </c>
      <c r="I449" s="27">
        <f t="shared" si="13"/>
        <v>1345718</v>
      </c>
      <c r="J449" s="40">
        <v>1027633</v>
      </c>
      <c r="K449" s="26">
        <v>355725</v>
      </c>
      <c r="L449" s="27">
        <v>1383358</v>
      </c>
      <c r="M449" s="26">
        <v>1066925</v>
      </c>
      <c r="N449" s="26">
        <v>325606</v>
      </c>
      <c r="O449" s="27">
        <v>1392531</v>
      </c>
      <c r="P449" s="26">
        <v>1059128</v>
      </c>
      <c r="Q449" s="26">
        <v>287637</v>
      </c>
      <c r="R449" s="27">
        <v>1346765</v>
      </c>
      <c r="S449" s="26">
        <v>1001704</v>
      </c>
      <c r="T449" s="26">
        <v>360908</v>
      </c>
      <c r="U449" s="27">
        <v>1362612</v>
      </c>
      <c r="V449" s="26">
        <v>974104</v>
      </c>
      <c r="W449" s="26">
        <v>337899</v>
      </c>
      <c r="X449" s="31">
        <v>1312003</v>
      </c>
      <c r="Y449" s="16">
        <v>998263</v>
      </c>
      <c r="Z449" s="16">
        <v>307262</v>
      </c>
      <c r="AA449" s="31">
        <v>1305525</v>
      </c>
      <c r="AB449" s="32">
        <v>976600</v>
      </c>
      <c r="AC449" s="16">
        <v>303797</v>
      </c>
      <c r="AD449" s="31">
        <v>1280397</v>
      </c>
      <c r="AE449" s="16">
        <v>985645</v>
      </c>
      <c r="AF449" s="16">
        <v>294068</v>
      </c>
      <c r="AG449" s="31">
        <v>1279713</v>
      </c>
      <c r="AH449" s="16">
        <v>1005172</v>
      </c>
      <c r="AI449" s="16">
        <v>294766</v>
      </c>
      <c r="AJ449" s="31">
        <v>1299938</v>
      </c>
      <c r="AK449" s="16">
        <v>1009888</v>
      </c>
      <c r="AL449" s="16">
        <v>323794</v>
      </c>
      <c r="AM449" s="31">
        <v>1333682</v>
      </c>
      <c r="AN449" s="16">
        <v>1032068</v>
      </c>
      <c r="AO449" s="16">
        <v>285581</v>
      </c>
      <c r="AP449" s="31">
        <v>1317649</v>
      </c>
      <c r="AQ449" s="42"/>
      <c r="AR449" s="43"/>
      <c r="AS449" s="42"/>
      <c r="AT449" s="42"/>
    </row>
    <row r="450" spans="1:46" ht="12.9" customHeight="1" x14ac:dyDescent="0.25">
      <c r="A450" s="28" t="s">
        <v>929</v>
      </c>
      <c r="B450" s="29" t="s">
        <v>930</v>
      </c>
      <c r="C450" s="30" t="s">
        <v>215</v>
      </c>
      <c r="D450" s="40">
        <v>643913</v>
      </c>
      <c r="E450" s="26">
        <v>2437676</v>
      </c>
      <c r="F450" s="26">
        <f t="shared" si="12"/>
        <v>3081589</v>
      </c>
      <c r="G450" s="40">
        <v>632445</v>
      </c>
      <c r="H450" s="26">
        <v>2424906</v>
      </c>
      <c r="I450" s="27">
        <f t="shared" si="13"/>
        <v>3057351</v>
      </c>
      <c r="J450" s="40">
        <v>634745</v>
      </c>
      <c r="K450" s="26">
        <v>2646584</v>
      </c>
      <c r="L450" s="27">
        <v>3281329</v>
      </c>
      <c r="M450" s="26">
        <v>644778</v>
      </c>
      <c r="N450" s="26">
        <v>2609441</v>
      </c>
      <c r="O450" s="27">
        <v>3254219</v>
      </c>
      <c r="P450" s="26">
        <v>652947</v>
      </c>
      <c r="Q450" s="26">
        <v>2881076</v>
      </c>
      <c r="R450" s="27">
        <v>3534023</v>
      </c>
      <c r="S450" s="26">
        <v>622400</v>
      </c>
      <c r="T450" s="26">
        <v>2887094</v>
      </c>
      <c r="U450" s="27">
        <v>3509494</v>
      </c>
      <c r="V450" s="26">
        <v>617130</v>
      </c>
      <c r="W450" s="26">
        <v>2858001</v>
      </c>
      <c r="X450" s="31">
        <v>3475131</v>
      </c>
      <c r="Y450" s="16">
        <v>599960</v>
      </c>
      <c r="Z450" s="16">
        <v>2927537</v>
      </c>
      <c r="AA450" s="31">
        <v>3527497</v>
      </c>
      <c r="AB450" s="32">
        <v>600311</v>
      </c>
      <c r="AC450" s="16">
        <v>2657996</v>
      </c>
      <c r="AD450" s="31">
        <v>3258307</v>
      </c>
      <c r="AE450" s="16">
        <v>607046</v>
      </c>
      <c r="AF450" s="16">
        <v>2788357</v>
      </c>
      <c r="AG450" s="31">
        <v>3395403</v>
      </c>
      <c r="AH450" s="16">
        <v>548414</v>
      </c>
      <c r="AI450" s="16">
        <v>2825923</v>
      </c>
      <c r="AJ450" s="31">
        <v>3374337</v>
      </c>
      <c r="AK450" s="16">
        <v>548185</v>
      </c>
      <c r="AL450" s="16">
        <v>2747789</v>
      </c>
      <c r="AM450" s="31">
        <v>3295974</v>
      </c>
      <c r="AN450" s="16">
        <v>579166</v>
      </c>
      <c r="AO450" s="16">
        <v>2599111</v>
      </c>
      <c r="AP450" s="31">
        <v>3178277</v>
      </c>
      <c r="AQ450" s="42"/>
      <c r="AR450" s="43"/>
      <c r="AS450" s="42"/>
      <c r="AT450" s="42"/>
    </row>
    <row r="451" spans="1:46" ht="12.9" customHeight="1" x14ac:dyDescent="0.25">
      <c r="A451" s="28" t="s">
        <v>931</v>
      </c>
      <c r="B451" s="29" t="s">
        <v>932</v>
      </c>
      <c r="C451" s="30" t="s">
        <v>23</v>
      </c>
      <c r="D451" s="40">
        <v>6081</v>
      </c>
      <c r="E451" s="26">
        <v>1721</v>
      </c>
      <c r="F451" s="26">
        <f t="shared" si="12"/>
        <v>7802</v>
      </c>
      <c r="G451" s="40">
        <v>8810</v>
      </c>
      <c r="H451" s="26">
        <v>2293</v>
      </c>
      <c r="I451" s="27">
        <f t="shared" si="13"/>
        <v>11103</v>
      </c>
      <c r="J451" s="40">
        <v>6833</v>
      </c>
      <c r="K451" s="26">
        <v>1928</v>
      </c>
      <c r="L451" s="27">
        <v>8761</v>
      </c>
      <c r="M451" s="26">
        <v>7128</v>
      </c>
      <c r="N451" s="26">
        <v>1866</v>
      </c>
      <c r="O451" s="27">
        <v>8994</v>
      </c>
      <c r="P451" s="26">
        <v>7031</v>
      </c>
      <c r="Q451" s="26">
        <v>2135</v>
      </c>
      <c r="R451" s="27">
        <v>9166</v>
      </c>
      <c r="S451" s="26">
        <v>6947</v>
      </c>
      <c r="T451" s="26">
        <v>3478</v>
      </c>
      <c r="U451" s="27">
        <v>10425</v>
      </c>
      <c r="V451" s="26">
        <v>6219</v>
      </c>
      <c r="W451" s="26">
        <v>3185</v>
      </c>
      <c r="X451" s="31">
        <v>9404</v>
      </c>
      <c r="Y451" s="16">
        <v>6220</v>
      </c>
      <c r="Z451" s="16">
        <v>2738</v>
      </c>
      <c r="AA451" s="31">
        <v>8958</v>
      </c>
      <c r="AB451" s="32">
        <v>6182</v>
      </c>
      <c r="AC451" s="16">
        <v>3061</v>
      </c>
      <c r="AD451" s="31">
        <v>9243</v>
      </c>
      <c r="AE451" s="16">
        <v>7157</v>
      </c>
      <c r="AF451" s="16">
        <v>2767</v>
      </c>
      <c r="AG451" s="31">
        <v>9924</v>
      </c>
      <c r="AH451" s="16">
        <v>7097</v>
      </c>
      <c r="AI451" s="16">
        <v>3591</v>
      </c>
      <c r="AJ451" s="31">
        <v>10688</v>
      </c>
      <c r="AK451" s="16">
        <v>7211</v>
      </c>
      <c r="AL451" s="16">
        <v>3404</v>
      </c>
      <c r="AM451" s="31">
        <v>10615</v>
      </c>
      <c r="AN451" s="16">
        <v>8015.357350912157</v>
      </c>
      <c r="AO451" s="16">
        <v>1189.1159420289855</v>
      </c>
      <c r="AP451" s="31">
        <v>9204.4732929411421</v>
      </c>
      <c r="AQ451" s="42"/>
      <c r="AR451" s="43"/>
      <c r="AS451" s="42"/>
      <c r="AT451" s="42"/>
    </row>
    <row r="452" spans="1:46" ht="12.9" customHeight="1" x14ac:dyDescent="0.25">
      <c r="A452" s="28" t="s">
        <v>933</v>
      </c>
      <c r="B452" s="29" t="s">
        <v>934</v>
      </c>
      <c r="C452" s="30" t="s">
        <v>26</v>
      </c>
      <c r="D452" s="40">
        <v>1777248</v>
      </c>
      <c r="E452" s="26">
        <v>833391</v>
      </c>
      <c r="F452" s="26">
        <f t="shared" si="12"/>
        <v>2610639</v>
      </c>
      <c r="G452" s="40">
        <v>1809118</v>
      </c>
      <c r="H452" s="26">
        <v>921712</v>
      </c>
      <c r="I452" s="27">
        <f t="shared" si="13"/>
        <v>2730830</v>
      </c>
      <c r="J452" s="40">
        <v>1833251</v>
      </c>
      <c r="K452" s="26">
        <v>1040495</v>
      </c>
      <c r="L452" s="27">
        <v>2873746</v>
      </c>
      <c r="M452" s="26">
        <v>1909741</v>
      </c>
      <c r="N452" s="26">
        <v>979447</v>
      </c>
      <c r="O452" s="27">
        <v>2889188</v>
      </c>
      <c r="P452" s="26">
        <v>1968381</v>
      </c>
      <c r="Q452" s="26">
        <v>998365</v>
      </c>
      <c r="R452" s="27">
        <v>2966746</v>
      </c>
      <c r="S452" s="26">
        <v>1845923</v>
      </c>
      <c r="T452" s="26">
        <v>1074510</v>
      </c>
      <c r="U452" s="27">
        <v>2920433</v>
      </c>
      <c r="V452" s="26">
        <v>1818675</v>
      </c>
      <c r="W452" s="26">
        <v>1065228</v>
      </c>
      <c r="X452" s="31">
        <v>2883903</v>
      </c>
      <c r="Y452" s="16">
        <v>1820126</v>
      </c>
      <c r="Z452" s="16">
        <v>1188038</v>
      </c>
      <c r="AA452" s="31">
        <v>3008164</v>
      </c>
      <c r="AB452" s="32">
        <v>1814234</v>
      </c>
      <c r="AC452" s="16">
        <v>1093322</v>
      </c>
      <c r="AD452" s="31">
        <v>2907556</v>
      </c>
      <c r="AE452" s="16">
        <v>1805003</v>
      </c>
      <c r="AF452" s="16">
        <v>1155939</v>
      </c>
      <c r="AG452" s="31">
        <v>2960942</v>
      </c>
      <c r="AH452" s="16">
        <v>1810925</v>
      </c>
      <c r="AI452" s="16">
        <v>1175292</v>
      </c>
      <c r="AJ452" s="31">
        <v>2986217</v>
      </c>
      <c r="AK452" s="16">
        <v>1835528</v>
      </c>
      <c r="AL452" s="16">
        <v>1138137</v>
      </c>
      <c r="AM452" s="31">
        <v>2973665</v>
      </c>
      <c r="AN452" s="16">
        <v>1903361</v>
      </c>
      <c r="AO452" s="16">
        <v>1119266</v>
      </c>
      <c r="AP452" s="31">
        <v>3022627</v>
      </c>
      <c r="AQ452" s="42"/>
      <c r="AR452" s="43"/>
      <c r="AS452" s="42"/>
      <c r="AT452" s="42"/>
    </row>
    <row r="453" spans="1:46" ht="12.9" customHeight="1" x14ac:dyDescent="0.25">
      <c r="A453" s="28" t="s">
        <v>935</v>
      </c>
      <c r="B453" s="29" t="s">
        <v>936</v>
      </c>
      <c r="C453" s="30" t="s">
        <v>384</v>
      </c>
      <c r="D453" s="40">
        <v>25535</v>
      </c>
      <c r="E453" s="26">
        <v>7087</v>
      </c>
      <c r="F453" s="26">
        <f t="shared" si="12"/>
        <v>32622</v>
      </c>
      <c r="G453" s="40">
        <v>21782</v>
      </c>
      <c r="H453" s="26">
        <v>6335</v>
      </c>
      <c r="I453" s="27">
        <f t="shared" si="13"/>
        <v>28117</v>
      </c>
      <c r="J453" s="40">
        <v>22927</v>
      </c>
      <c r="K453" s="26">
        <v>6648</v>
      </c>
      <c r="L453" s="27">
        <v>29575</v>
      </c>
      <c r="M453" s="26">
        <v>23536</v>
      </c>
      <c r="N453" s="26">
        <v>7586</v>
      </c>
      <c r="O453" s="27">
        <v>31122</v>
      </c>
      <c r="P453" s="26">
        <v>20099</v>
      </c>
      <c r="Q453" s="26">
        <v>6648</v>
      </c>
      <c r="R453" s="27">
        <v>26747</v>
      </c>
      <c r="S453" s="26">
        <v>21848</v>
      </c>
      <c r="T453" s="26">
        <v>8157</v>
      </c>
      <c r="U453" s="27">
        <v>30005</v>
      </c>
      <c r="V453" s="26">
        <v>18564</v>
      </c>
      <c r="W453" s="26">
        <v>8003</v>
      </c>
      <c r="X453" s="31">
        <v>26567</v>
      </c>
      <c r="Y453" s="16">
        <v>20966</v>
      </c>
      <c r="Z453" s="16">
        <v>8403</v>
      </c>
      <c r="AA453" s="31">
        <v>29369</v>
      </c>
      <c r="AB453" s="32">
        <v>19336</v>
      </c>
      <c r="AC453" s="16">
        <v>9752</v>
      </c>
      <c r="AD453" s="31">
        <v>29088</v>
      </c>
      <c r="AE453" s="16">
        <v>17839</v>
      </c>
      <c r="AF453" s="16">
        <v>8353</v>
      </c>
      <c r="AG453" s="31">
        <v>26192</v>
      </c>
      <c r="AH453" s="16">
        <v>20107</v>
      </c>
      <c r="AI453" s="16">
        <v>7400</v>
      </c>
      <c r="AJ453" s="31">
        <v>27507</v>
      </c>
      <c r="AK453" s="16">
        <v>20400</v>
      </c>
      <c r="AL453" s="16">
        <v>5168</v>
      </c>
      <c r="AM453" s="31">
        <v>25568</v>
      </c>
      <c r="AN453" s="16">
        <v>20400</v>
      </c>
      <c r="AO453" s="16">
        <v>4207</v>
      </c>
      <c r="AP453" s="31">
        <v>24607</v>
      </c>
      <c r="AQ453" s="42"/>
      <c r="AR453" s="43"/>
      <c r="AS453" s="42"/>
      <c r="AT453" s="42"/>
    </row>
    <row r="454" spans="1:46" ht="12.9" customHeight="1" x14ac:dyDescent="0.25">
      <c r="A454" s="28" t="s">
        <v>937</v>
      </c>
      <c r="B454" s="29" t="s">
        <v>938</v>
      </c>
      <c r="C454" s="30" t="s">
        <v>438</v>
      </c>
      <c r="D454" s="40">
        <v>2768</v>
      </c>
      <c r="E454" s="26">
        <v>743</v>
      </c>
      <c r="F454" s="26">
        <f t="shared" si="12"/>
        <v>3511</v>
      </c>
      <c r="G454" s="40">
        <v>2742</v>
      </c>
      <c r="H454" s="26">
        <v>253</v>
      </c>
      <c r="I454" s="27">
        <f t="shared" si="13"/>
        <v>2995</v>
      </c>
      <c r="J454" s="40">
        <v>2742</v>
      </c>
      <c r="K454" s="26">
        <v>253</v>
      </c>
      <c r="L454" s="27">
        <v>2995</v>
      </c>
      <c r="M454" s="26">
        <v>2669</v>
      </c>
      <c r="N454" s="26">
        <v>162</v>
      </c>
      <c r="O454" s="27">
        <v>2831</v>
      </c>
      <c r="P454" s="26">
        <v>2669</v>
      </c>
      <c r="Q454" s="26">
        <v>162</v>
      </c>
      <c r="R454" s="27">
        <v>2831</v>
      </c>
      <c r="S454" s="26">
        <v>2669</v>
      </c>
      <c r="T454" s="26">
        <v>162</v>
      </c>
      <c r="U454" s="27">
        <v>2831</v>
      </c>
      <c r="V454" s="26">
        <v>2311</v>
      </c>
      <c r="W454" s="26">
        <v>131</v>
      </c>
      <c r="X454" s="31">
        <v>2442</v>
      </c>
      <c r="Y454" s="16">
        <v>2533</v>
      </c>
      <c r="Z454" s="16">
        <v>117</v>
      </c>
      <c r="AA454" s="31">
        <v>2650</v>
      </c>
      <c r="AB454" s="32">
        <v>2640</v>
      </c>
      <c r="AC454" s="16">
        <v>7544</v>
      </c>
      <c r="AD454" s="31">
        <v>10184</v>
      </c>
      <c r="AE454" s="16">
        <v>2640</v>
      </c>
      <c r="AF454" s="16">
        <v>7544</v>
      </c>
      <c r="AG454" s="31">
        <v>10184</v>
      </c>
      <c r="AH454" s="16">
        <v>2575</v>
      </c>
      <c r="AI454" s="16">
        <v>22427</v>
      </c>
      <c r="AJ454" s="31">
        <v>25002</v>
      </c>
      <c r="AK454" s="16">
        <v>2100</v>
      </c>
      <c r="AL454" s="16">
        <v>21335</v>
      </c>
      <c r="AM454" s="31">
        <v>23435</v>
      </c>
      <c r="AN454" s="16">
        <v>2625</v>
      </c>
      <c r="AO454" s="16">
        <v>111</v>
      </c>
      <c r="AP454" s="31">
        <v>2736</v>
      </c>
      <c r="AQ454" s="42"/>
      <c r="AR454" s="43"/>
      <c r="AS454" s="42"/>
      <c r="AT454" s="42"/>
    </row>
    <row r="455" spans="1:46" ht="12.9" customHeight="1" x14ac:dyDescent="0.25">
      <c r="A455" s="28" t="s">
        <v>939</v>
      </c>
      <c r="B455" s="29" t="s">
        <v>940</v>
      </c>
      <c r="C455" s="30" t="s">
        <v>357</v>
      </c>
      <c r="D455" s="40">
        <v>29932</v>
      </c>
      <c r="E455" s="26">
        <v>15773</v>
      </c>
      <c r="F455" s="26">
        <f t="shared" si="12"/>
        <v>45705</v>
      </c>
      <c r="G455" s="40">
        <v>32241</v>
      </c>
      <c r="H455" s="26">
        <v>17536</v>
      </c>
      <c r="I455" s="27">
        <f t="shared" si="13"/>
        <v>49777</v>
      </c>
      <c r="J455" s="40">
        <v>34050</v>
      </c>
      <c r="K455" s="26">
        <v>18053</v>
      </c>
      <c r="L455" s="27">
        <v>52103</v>
      </c>
      <c r="M455" s="26">
        <v>36158</v>
      </c>
      <c r="N455" s="26">
        <v>11809</v>
      </c>
      <c r="O455" s="27">
        <v>47967</v>
      </c>
      <c r="P455" s="26">
        <v>36064</v>
      </c>
      <c r="Q455" s="26">
        <v>5466</v>
      </c>
      <c r="R455" s="27">
        <v>41530</v>
      </c>
      <c r="S455" s="26">
        <v>32656</v>
      </c>
      <c r="T455" s="26">
        <v>7724</v>
      </c>
      <c r="U455" s="27">
        <v>40380</v>
      </c>
      <c r="V455" s="26">
        <v>30458</v>
      </c>
      <c r="W455" s="26">
        <v>11660</v>
      </c>
      <c r="X455" s="31">
        <v>42118</v>
      </c>
      <c r="Y455" s="16">
        <v>31675</v>
      </c>
      <c r="Z455" s="16">
        <v>7364</v>
      </c>
      <c r="AA455" s="31">
        <v>39039</v>
      </c>
      <c r="AB455" s="32">
        <v>32560</v>
      </c>
      <c r="AC455" s="16">
        <v>5569</v>
      </c>
      <c r="AD455" s="31">
        <v>38129</v>
      </c>
      <c r="AE455" s="16">
        <v>37159</v>
      </c>
      <c r="AF455" s="16">
        <v>9250</v>
      </c>
      <c r="AG455" s="31">
        <v>46409</v>
      </c>
      <c r="AH455" s="16">
        <v>32048</v>
      </c>
      <c r="AI455" s="16">
        <v>5647</v>
      </c>
      <c r="AJ455" s="31">
        <v>37695</v>
      </c>
      <c r="AK455" s="16">
        <v>31820</v>
      </c>
      <c r="AL455" s="16">
        <v>5978</v>
      </c>
      <c r="AM455" s="31">
        <v>37798</v>
      </c>
      <c r="AN455" s="16">
        <v>35564</v>
      </c>
      <c r="AO455" s="16">
        <v>6042</v>
      </c>
      <c r="AP455" s="31">
        <v>41606</v>
      </c>
      <c r="AQ455" s="42"/>
      <c r="AR455" s="43"/>
      <c r="AS455" s="42"/>
      <c r="AT455" s="42"/>
    </row>
    <row r="456" spans="1:46" ht="12.9" customHeight="1" x14ac:dyDescent="0.25">
      <c r="A456" s="28" t="s">
        <v>941</v>
      </c>
      <c r="B456" s="29" t="s">
        <v>942</v>
      </c>
      <c r="C456" s="30" t="s">
        <v>20</v>
      </c>
      <c r="D456" s="40">
        <v>109172</v>
      </c>
      <c r="E456" s="26">
        <v>199109</v>
      </c>
      <c r="F456" s="26">
        <f t="shared" si="12"/>
        <v>308281</v>
      </c>
      <c r="G456" s="40">
        <v>112834</v>
      </c>
      <c r="H456" s="26">
        <v>235075</v>
      </c>
      <c r="I456" s="27">
        <f t="shared" si="13"/>
        <v>347909</v>
      </c>
      <c r="J456" s="40">
        <v>114565</v>
      </c>
      <c r="K456" s="26">
        <v>266114</v>
      </c>
      <c r="L456" s="27">
        <v>380679</v>
      </c>
      <c r="M456" s="26">
        <v>120367</v>
      </c>
      <c r="N456" s="26">
        <v>265705</v>
      </c>
      <c r="O456" s="27">
        <v>386072</v>
      </c>
      <c r="P456" s="26">
        <v>119979</v>
      </c>
      <c r="Q456" s="26">
        <v>274044</v>
      </c>
      <c r="R456" s="27">
        <v>394023</v>
      </c>
      <c r="S456" s="26">
        <v>112088</v>
      </c>
      <c r="T456" s="26">
        <v>357343</v>
      </c>
      <c r="U456" s="27">
        <v>469431</v>
      </c>
      <c r="V456" s="26">
        <v>108834</v>
      </c>
      <c r="W456" s="26">
        <v>395070</v>
      </c>
      <c r="X456" s="31">
        <v>503904</v>
      </c>
      <c r="Y456" s="16">
        <v>108311</v>
      </c>
      <c r="Z456" s="16">
        <v>405409</v>
      </c>
      <c r="AA456" s="31">
        <v>513720</v>
      </c>
      <c r="AB456" s="32">
        <v>108273</v>
      </c>
      <c r="AC456" s="16">
        <v>358503</v>
      </c>
      <c r="AD456" s="31">
        <v>466776</v>
      </c>
      <c r="AE456" s="16">
        <v>105381</v>
      </c>
      <c r="AF456" s="16">
        <v>408972</v>
      </c>
      <c r="AG456" s="31">
        <v>514353</v>
      </c>
      <c r="AH456" s="16">
        <v>105688</v>
      </c>
      <c r="AI456" s="16">
        <v>322986</v>
      </c>
      <c r="AJ456" s="31">
        <v>428674</v>
      </c>
      <c r="AK456" s="16">
        <v>108019.86067350773</v>
      </c>
      <c r="AL456" s="16">
        <v>311931</v>
      </c>
      <c r="AM456" s="31">
        <v>419950.86067350773</v>
      </c>
      <c r="AN456" s="16">
        <v>113275</v>
      </c>
      <c r="AO456" s="16">
        <v>302475</v>
      </c>
      <c r="AP456" s="31">
        <v>415750</v>
      </c>
      <c r="AQ456" s="42"/>
      <c r="AR456" s="43"/>
      <c r="AS456" s="42"/>
      <c r="AT456" s="42"/>
    </row>
    <row r="457" spans="1:46" ht="12.9" customHeight="1" x14ac:dyDescent="0.25">
      <c r="A457" s="28" t="s">
        <v>943</v>
      </c>
      <c r="B457" s="29" t="s">
        <v>944</v>
      </c>
      <c r="C457" s="30" t="s">
        <v>150</v>
      </c>
      <c r="D457" s="40">
        <v>34971</v>
      </c>
      <c r="E457" s="26">
        <v>28590</v>
      </c>
      <c r="F457" s="26">
        <f t="shared" ref="F457:F520" si="14">+D457+E457</f>
        <v>63561</v>
      </c>
      <c r="G457" s="40">
        <v>36941</v>
      </c>
      <c r="H457" s="26">
        <v>28107</v>
      </c>
      <c r="I457" s="27">
        <f t="shared" si="13"/>
        <v>65048</v>
      </c>
      <c r="J457" s="40">
        <v>41737</v>
      </c>
      <c r="K457" s="26">
        <v>29232</v>
      </c>
      <c r="L457" s="27">
        <v>70969</v>
      </c>
      <c r="M457" s="26">
        <v>40196</v>
      </c>
      <c r="N457" s="26">
        <v>25991</v>
      </c>
      <c r="O457" s="27">
        <v>66187</v>
      </c>
      <c r="P457" s="26">
        <v>40343</v>
      </c>
      <c r="Q457" s="26">
        <v>22497</v>
      </c>
      <c r="R457" s="27">
        <v>62840</v>
      </c>
      <c r="S457" s="26">
        <v>41384</v>
      </c>
      <c r="T457" s="26">
        <v>24903</v>
      </c>
      <c r="U457" s="27">
        <v>66287</v>
      </c>
      <c r="V457" s="26">
        <v>36675</v>
      </c>
      <c r="W457" s="26">
        <v>26598</v>
      </c>
      <c r="X457" s="31">
        <v>63273</v>
      </c>
      <c r="Y457" s="16">
        <v>38507</v>
      </c>
      <c r="Z457" s="16">
        <v>22809</v>
      </c>
      <c r="AA457" s="31">
        <v>61316</v>
      </c>
      <c r="AB457" s="32">
        <v>37197</v>
      </c>
      <c r="AC457" s="16">
        <v>22362</v>
      </c>
      <c r="AD457" s="31">
        <v>59559</v>
      </c>
      <c r="AE457" s="16">
        <v>36734</v>
      </c>
      <c r="AF457" s="16">
        <v>34752</v>
      </c>
      <c r="AG457" s="31">
        <v>71486</v>
      </c>
      <c r="AH457" s="16">
        <v>33321</v>
      </c>
      <c r="AI457" s="16">
        <v>57670</v>
      </c>
      <c r="AJ457" s="31">
        <v>90991</v>
      </c>
      <c r="AK457" s="16">
        <v>35582</v>
      </c>
      <c r="AL457" s="16">
        <v>59634</v>
      </c>
      <c r="AM457" s="31">
        <v>95216</v>
      </c>
      <c r="AN457" s="16">
        <v>43930</v>
      </c>
      <c r="AO457" s="16">
        <v>11075</v>
      </c>
      <c r="AP457" s="31">
        <v>55005</v>
      </c>
      <c r="AQ457" s="42"/>
      <c r="AR457" s="43"/>
      <c r="AS457" s="42"/>
      <c r="AT457" s="42"/>
    </row>
    <row r="458" spans="1:46" ht="12.9" customHeight="1" x14ac:dyDescent="0.25">
      <c r="A458" s="28" t="s">
        <v>945</v>
      </c>
      <c r="B458" s="29" t="s">
        <v>946</v>
      </c>
      <c r="C458" s="30" t="s">
        <v>218</v>
      </c>
      <c r="D458" s="40">
        <v>247542</v>
      </c>
      <c r="E458" s="26">
        <v>300931</v>
      </c>
      <c r="F458" s="26">
        <f t="shared" si="14"/>
        <v>548473</v>
      </c>
      <c r="G458" s="40">
        <v>248972</v>
      </c>
      <c r="H458" s="26">
        <v>314725</v>
      </c>
      <c r="I458" s="27">
        <f t="shared" ref="I458:I521" si="15">+G458+H458</f>
        <v>563697</v>
      </c>
      <c r="J458" s="40">
        <v>251237</v>
      </c>
      <c r="K458" s="26">
        <v>324270</v>
      </c>
      <c r="L458" s="27">
        <v>575507</v>
      </c>
      <c r="M458" s="26">
        <v>270231</v>
      </c>
      <c r="N458" s="26">
        <v>266498</v>
      </c>
      <c r="O458" s="27">
        <v>536729</v>
      </c>
      <c r="P458" s="26">
        <v>267314</v>
      </c>
      <c r="Q458" s="26">
        <v>244561</v>
      </c>
      <c r="R458" s="27">
        <v>511875</v>
      </c>
      <c r="S458" s="26">
        <v>251756</v>
      </c>
      <c r="T458" s="26">
        <v>285296</v>
      </c>
      <c r="U458" s="27">
        <v>537052</v>
      </c>
      <c r="V458" s="26">
        <v>249945</v>
      </c>
      <c r="W458" s="26">
        <v>268297</v>
      </c>
      <c r="X458" s="31">
        <v>518242</v>
      </c>
      <c r="Y458" s="16">
        <v>271225</v>
      </c>
      <c r="Z458" s="16">
        <v>266073</v>
      </c>
      <c r="AA458" s="31">
        <v>537298</v>
      </c>
      <c r="AB458" s="32">
        <v>245469</v>
      </c>
      <c r="AC458" s="16">
        <v>254920</v>
      </c>
      <c r="AD458" s="31">
        <v>500389</v>
      </c>
      <c r="AE458" s="16">
        <v>248563</v>
      </c>
      <c r="AF458" s="16">
        <v>210439</v>
      </c>
      <c r="AG458" s="31">
        <v>459002</v>
      </c>
      <c r="AH458" s="16">
        <v>248563</v>
      </c>
      <c r="AI458" s="16">
        <v>200592</v>
      </c>
      <c r="AJ458" s="31">
        <v>449155</v>
      </c>
      <c r="AK458" s="16">
        <v>248563.3361285053</v>
      </c>
      <c r="AL458" s="16">
        <v>183001</v>
      </c>
      <c r="AM458" s="31">
        <v>431564.3361285053</v>
      </c>
      <c r="AN458" s="16">
        <v>265397</v>
      </c>
      <c r="AO458" s="16">
        <v>196396</v>
      </c>
      <c r="AP458" s="31">
        <v>461793</v>
      </c>
      <c r="AQ458" s="42"/>
      <c r="AR458" s="43"/>
      <c r="AS458" s="42"/>
      <c r="AT458" s="42"/>
    </row>
    <row r="459" spans="1:46" ht="12.9" customHeight="1" x14ac:dyDescent="0.25">
      <c r="A459" s="28" t="s">
        <v>947</v>
      </c>
      <c r="B459" s="29" t="s">
        <v>948</v>
      </c>
      <c r="C459" s="30" t="s">
        <v>56</v>
      </c>
      <c r="D459" s="40">
        <v>108090</v>
      </c>
      <c r="E459" s="26">
        <v>104309</v>
      </c>
      <c r="F459" s="26">
        <f t="shared" si="14"/>
        <v>212399</v>
      </c>
      <c r="G459" s="40">
        <v>101875</v>
      </c>
      <c r="H459" s="26">
        <v>95938</v>
      </c>
      <c r="I459" s="27">
        <f t="shared" si="15"/>
        <v>197813</v>
      </c>
      <c r="J459" s="40">
        <v>112922</v>
      </c>
      <c r="K459" s="26">
        <v>95136</v>
      </c>
      <c r="L459" s="27">
        <v>208058</v>
      </c>
      <c r="M459" s="26">
        <v>114128</v>
      </c>
      <c r="N459" s="26">
        <v>100126</v>
      </c>
      <c r="O459" s="27">
        <v>214254</v>
      </c>
      <c r="P459" s="26">
        <v>131833</v>
      </c>
      <c r="Q459" s="26">
        <v>35174</v>
      </c>
      <c r="R459" s="27">
        <v>167007</v>
      </c>
      <c r="S459" s="26">
        <v>107302</v>
      </c>
      <c r="T459" s="26">
        <v>113210</v>
      </c>
      <c r="U459" s="27">
        <v>220512</v>
      </c>
      <c r="V459" s="26">
        <v>106265</v>
      </c>
      <c r="W459" s="26">
        <v>99945</v>
      </c>
      <c r="X459" s="31">
        <v>206210</v>
      </c>
      <c r="Y459" s="16">
        <v>106580</v>
      </c>
      <c r="Z459" s="16">
        <v>98690</v>
      </c>
      <c r="AA459" s="31">
        <v>205270</v>
      </c>
      <c r="AB459" s="32">
        <v>109341</v>
      </c>
      <c r="AC459" s="16">
        <v>88366</v>
      </c>
      <c r="AD459" s="31">
        <v>197707</v>
      </c>
      <c r="AE459" s="16">
        <v>106181</v>
      </c>
      <c r="AF459" s="16">
        <v>84053</v>
      </c>
      <c r="AG459" s="31">
        <v>190234</v>
      </c>
      <c r="AH459" s="16">
        <v>101233</v>
      </c>
      <c r="AI459" s="16">
        <v>72719</v>
      </c>
      <c r="AJ459" s="31">
        <v>173952</v>
      </c>
      <c r="AK459" s="16">
        <v>97923</v>
      </c>
      <c r="AL459" s="16">
        <v>93909</v>
      </c>
      <c r="AM459" s="31">
        <v>191832</v>
      </c>
      <c r="AN459" s="16">
        <v>97923</v>
      </c>
      <c r="AO459" s="16">
        <v>111684</v>
      </c>
      <c r="AP459" s="31">
        <v>209607</v>
      </c>
      <c r="AQ459" s="42"/>
      <c r="AR459" s="43"/>
      <c r="AS459" s="42"/>
      <c r="AT459" s="42"/>
    </row>
    <row r="460" spans="1:46" ht="12.9" customHeight="1" x14ac:dyDescent="0.25">
      <c r="A460" s="28" t="s">
        <v>949</v>
      </c>
      <c r="B460" s="29" t="s">
        <v>950</v>
      </c>
      <c r="C460" s="30" t="s">
        <v>197</v>
      </c>
      <c r="D460" s="40">
        <v>1291010</v>
      </c>
      <c r="E460" s="26">
        <v>950557</v>
      </c>
      <c r="F460" s="26">
        <f t="shared" si="14"/>
        <v>2241567</v>
      </c>
      <c r="G460" s="40">
        <v>1338162</v>
      </c>
      <c r="H460" s="26">
        <v>1100364</v>
      </c>
      <c r="I460" s="27">
        <f t="shared" si="15"/>
        <v>2438526</v>
      </c>
      <c r="J460" s="40">
        <v>1339005</v>
      </c>
      <c r="K460" s="26">
        <v>1100580</v>
      </c>
      <c r="L460" s="27">
        <v>2439585</v>
      </c>
      <c r="M460" s="26">
        <v>1412951</v>
      </c>
      <c r="N460" s="26">
        <v>1121150</v>
      </c>
      <c r="O460" s="27">
        <v>2534101</v>
      </c>
      <c r="P460" s="26">
        <v>1444681</v>
      </c>
      <c r="Q460" s="26">
        <v>1090333</v>
      </c>
      <c r="R460" s="27">
        <v>2535014</v>
      </c>
      <c r="S460" s="26">
        <v>1323001</v>
      </c>
      <c r="T460" s="26">
        <v>1175112</v>
      </c>
      <c r="U460" s="27">
        <v>2498113</v>
      </c>
      <c r="V460" s="26">
        <v>1313874</v>
      </c>
      <c r="W460" s="26">
        <v>1094258</v>
      </c>
      <c r="X460" s="31">
        <v>2408132</v>
      </c>
      <c r="Y460" s="16">
        <v>1285790</v>
      </c>
      <c r="Z460" s="16">
        <v>1086041</v>
      </c>
      <c r="AA460" s="31">
        <v>2371831</v>
      </c>
      <c r="AB460" s="32">
        <v>1262265</v>
      </c>
      <c r="AC460" s="16">
        <v>1008085</v>
      </c>
      <c r="AD460" s="31">
        <v>2270350</v>
      </c>
      <c r="AE460" s="16">
        <v>1235378</v>
      </c>
      <c r="AF460" s="16">
        <v>1030785</v>
      </c>
      <c r="AG460" s="31">
        <v>2266163</v>
      </c>
      <c r="AH460" s="16">
        <v>1238646</v>
      </c>
      <c r="AI460" s="16">
        <v>985771</v>
      </c>
      <c r="AJ460" s="31">
        <v>2224417</v>
      </c>
      <c r="AK460" s="16">
        <v>1291193</v>
      </c>
      <c r="AL460" s="16">
        <v>1040568</v>
      </c>
      <c r="AM460" s="31">
        <v>2331761</v>
      </c>
      <c r="AN460" s="16">
        <v>1287277</v>
      </c>
      <c r="AO460" s="16">
        <v>1114204</v>
      </c>
      <c r="AP460" s="31">
        <v>2401481</v>
      </c>
      <c r="AQ460" s="42"/>
      <c r="AR460" s="43"/>
      <c r="AS460" s="42"/>
      <c r="AT460" s="42"/>
    </row>
    <row r="461" spans="1:46" ht="12.9" customHeight="1" x14ac:dyDescent="0.25">
      <c r="A461" s="28" t="s">
        <v>951</v>
      </c>
      <c r="B461" s="29" t="s">
        <v>952</v>
      </c>
      <c r="C461" s="30" t="s">
        <v>184</v>
      </c>
      <c r="D461" s="40">
        <v>5529</v>
      </c>
      <c r="E461" s="26">
        <v>137309</v>
      </c>
      <c r="F461" s="26">
        <f t="shared" si="14"/>
        <v>142838</v>
      </c>
      <c r="G461" s="40">
        <v>5159</v>
      </c>
      <c r="H461" s="26">
        <v>158297</v>
      </c>
      <c r="I461" s="27">
        <f t="shared" si="15"/>
        <v>163456</v>
      </c>
      <c r="J461" s="40">
        <v>6392</v>
      </c>
      <c r="K461" s="26">
        <v>143451</v>
      </c>
      <c r="L461" s="27">
        <v>149843</v>
      </c>
      <c r="M461" s="26">
        <v>5918</v>
      </c>
      <c r="N461" s="26">
        <v>135331</v>
      </c>
      <c r="O461" s="27">
        <v>141249</v>
      </c>
      <c r="P461" s="26">
        <v>6064</v>
      </c>
      <c r="Q461" s="26">
        <v>145122</v>
      </c>
      <c r="R461" s="27">
        <v>151186</v>
      </c>
      <c r="S461" s="26">
        <v>4685</v>
      </c>
      <c r="T461" s="26">
        <v>4579</v>
      </c>
      <c r="U461" s="27">
        <v>9264</v>
      </c>
      <c r="V461" s="26">
        <v>6554</v>
      </c>
      <c r="W461" s="26">
        <v>3427</v>
      </c>
      <c r="X461" s="31">
        <v>9981</v>
      </c>
      <c r="Y461" s="16">
        <v>6946</v>
      </c>
      <c r="Z461" s="16">
        <v>4309</v>
      </c>
      <c r="AA461" s="31">
        <v>11255</v>
      </c>
      <c r="AB461" s="32">
        <v>6353</v>
      </c>
      <c r="AC461" s="16">
        <v>2236</v>
      </c>
      <c r="AD461" s="31">
        <v>8589</v>
      </c>
      <c r="AE461" s="16">
        <v>6718</v>
      </c>
      <c r="AF461" s="16">
        <v>1941</v>
      </c>
      <c r="AG461" s="31">
        <v>8659</v>
      </c>
      <c r="AH461" s="16">
        <v>6373</v>
      </c>
      <c r="AI461" s="16">
        <v>2088</v>
      </c>
      <c r="AJ461" s="31">
        <v>8461</v>
      </c>
      <c r="AK461" s="16">
        <v>5616</v>
      </c>
      <c r="AL461" s="16">
        <v>2066</v>
      </c>
      <c r="AM461" s="31">
        <v>7682</v>
      </c>
      <c r="AN461" s="16">
        <v>8125</v>
      </c>
      <c r="AO461" s="16">
        <v>67413</v>
      </c>
      <c r="AP461" s="31">
        <v>75538</v>
      </c>
      <c r="AQ461" s="42"/>
      <c r="AR461" s="43"/>
      <c r="AS461" s="42"/>
      <c r="AT461" s="42"/>
    </row>
    <row r="462" spans="1:46" ht="12.9" customHeight="1" x14ac:dyDescent="0.25">
      <c r="A462" s="28" t="s">
        <v>953</v>
      </c>
      <c r="B462" s="29" t="s">
        <v>954</v>
      </c>
      <c r="C462" s="30" t="s">
        <v>110</v>
      </c>
      <c r="D462" s="40">
        <v>31833</v>
      </c>
      <c r="E462" s="26">
        <v>15448</v>
      </c>
      <c r="F462" s="26">
        <f t="shared" si="14"/>
        <v>47281</v>
      </c>
      <c r="G462" s="40">
        <v>31078</v>
      </c>
      <c r="H462" s="26">
        <v>15003</v>
      </c>
      <c r="I462" s="27">
        <f t="shared" si="15"/>
        <v>46081</v>
      </c>
      <c r="J462" s="40">
        <v>32050</v>
      </c>
      <c r="K462" s="26">
        <v>9243</v>
      </c>
      <c r="L462" s="27">
        <v>41293</v>
      </c>
      <c r="M462" s="26">
        <v>30711</v>
      </c>
      <c r="N462" s="26">
        <v>9965</v>
      </c>
      <c r="O462" s="27">
        <v>40676</v>
      </c>
      <c r="P462" s="26">
        <v>34872</v>
      </c>
      <c r="Q462" s="26">
        <v>11138</v>
      </c>
      <c r="R462" s="27">
        <v>46010</v>
      </c>
      <c r="S462" s="26">
        <v>37786</v>
      </c>
      <c r="T462" s="26">
        <v>15597</v>
      </c>
      <c r="U462" s="27">
        <v>53383</v>
      </c>
      <c r="V462" s="26">
        <v>35758</v>
      </c>
      <c r="W462" s="26">
        <v>9779</v>
      </c>
      <c r="X462" s="31">
        <v>45537</v>
      </c>
      <c r="Y462" s="16">
        <v>30030</v>
      </c>
      <c r="Z462" s="16">
        <v>10192</v>
      </c>
      <c r="AA462" s="31">
        <v>40222</v>
      </c>
      <c r="AB462" s="32">
        <v>28868</v>
      </c>
      <c r="AC462" s="16">
        <v>5646</v>
      </c>
      <c r="AD462" s="31">
        <v>34514</v>
      </c>
      <c r="AE462" s="16">
        <v>29551</v>
      </c>
      <c r="AF462" s="16">
        <v>6679</v>
      </c>
      <c r="AG462" s="31">
        <v>36230</v>
      </c>
      <c r="AH462" s="16">
        <v>27431</v>
      </c>
      <c r="AI462" s="16">
        <v>6585</v>
      </c>
      <c r="AJ462" s="31">
        <v>34016</v>
      </c>
      <c r="AK462" s="16">
        <v>28084</v>
      </c>
      <c r="AL462" s="16">
        <v>6339</v>
      </c>
      <c r="AM462" s="31">
        <v>34423</v>
      </c>
      <c r="AN462" s="16">
        <v>33948</v>
      </c>
      <c r="AO462" s="16">
        <v>5345</v>
      </c>
      <c r="AP462" s="31">
        <v>39293</v>
      </c>
      <c r="AQ462" s="42"/>
      <c r="AR462" s="43"/>
      <c r="AS462" s="42"/>
      <c r="AT462" s="42"/>
    </row>
    <row r="463" spans="1:46" ht="12.9" customHeight="1" x14ac:dyDescent="0.25">
      <c r="A463" s="28" t="s">
        <v>955</v>
      </c>
      <c r="B463" s="29" t="s">
        <v>956</v>
      </c>
      <c r="C463" s="30" t="s">
        <v>113</v>
      </c>
      <c r="D463" s="40">
        <v>37877</v>
      </c>
      <c r="E463" s="26">
        <v>9831</v>
      </c>
      <c r="F463" s="26">
        <f t="shared" si="14"/>
        <v>47708</v>
      </c>
      <c r="G463" s="40">
        <v>37367</v>
      </c>
      <c r="H463" s="26">
        <v>10647</v>
      </c>
      <c r="I463" s="27">
        <f t="shared" si="15"/>
        <v>48014</v>
      </c>
      <c r="J463" s="40">
        <v>34750</v>
      </c>
      <c r="K463" s="26">
        <v>14206</v>
      </c>
      <c r="L463" s="27">
        <v>48956</v>
      </c>
      <c r="M463" s="26">
        <v>36303</v>
      </c>
      <c r="N463" s="26">
        <v>13328</v>
      </c>
      <c r="O463" s="27">
        <v>49631</v>
      </c>
      <c r="P463" s="26">
        <v>39393</v>
      </c>
      <c r="Q463" s="26">
        <v>11524</v>
      </c>
      <c r="R463" s="27">
        <v>50917</v>
      </c>
      <c r="S463" s="26">
        <v>36735</v>
      </c>
      <c r="T463" s="26">
        <v>11458</v>
      </c>
      <c r="U463" s="27">
        <v>48193</v>
      </c>
      <c r="V463" s="26">
        <v>35576</v>
      </c>
      <c r="W463" s="26">
        <v>12727</v>
      </c>
      <c r="X463" s="31">
        <v>48303</v>
      </c>
      <c r="Y463" s="16">
        <v>36299</v>
      </c>
      <c r="Z463" s="16">
        <v>13569</v>
      </c>
      <c r="AA463" s="31">
        <v>49868</v>
      </c>
      <c r="AB463" s="32">
        <v>33441</v>
      </c>
      <c r="AC463" s="16">
        <v>11322</v>
      </c>
      <c r="AD463" s="31">
        <v>44763</v>
      </c>
      <c r="AE463" s="16">
        <v>33629</v>
      </c>
      <c r="AF463" s="16">
        <v>10591</v>
      </c>
      <c r="AG463" s="31">
        <v>44220</v>
      </c>
      <c r="AH463" s="16">
        <v>31762</v>
      </c>
      <c r="AI463" s="16">
        <v>7412</v>
      </c>
      <c r="AJ463" s="31">
        <v>39174</v>
      </c>
      <c r="AK463" s="16">
        <v>30707</v>
      </c>
      <c r="AL463" s="16">
        <v>10215</v>
      </c>
      <c r="AM463" s="31">
        <v>40922</v>
      </c>
      <c r="AN463" s="16">
        <v>34514</v>
      </c>
      <c r="AO463" s="16">
        <v>12776</v>
      </c>
      <c r="AP463" s="31">
        <v>47290</v>
      </c>
      <c r="AQ463" s="42"/>
      <c r="AR463" s="43"/>
      <c r="AS463" s="42"/>
      <c r="AT463" s="42"/>
    </row>
    <row r="464" spans="1:46" ht="12.9" customHeight="1" x14ac:dyDescent="0.25">
      <c r="A464" s="28" t="s">
        <v>957</v>
      </c>
      <c r="B464" s="29" t="s">
        <v>958</v>
      </c>
      <c r="C464" s="30" t="s">
        <v>39</v>
      </c>
      <c r="D464" s="40">
        <v>47441</v>
      </c>
      <c r="E464" s="26">
        <v>229272</v>
      </c>
      <c r="F464" s="26">
        <f t="shared" si="14"/>
        <v>276713</v>
      </c>
      <c r="G464" s="40">
        <v>49350</v>
      </c>
      <c r="H464" s="26">
        <v>323315</v>
      </c>
      <c r="I464" s="27">
        <f t="shared" si="15"/>
        <v>372665</v>
      </c>
      <c r="J464" s="40">
        <v>51277</v>
      </c>
      <c r="K464" s="26">
        <v>283403</v>
      </c>
      <c r="L464" s="27">
        <v>334680</v>
      </c>
      <c r="M464" s="26">
        <v>55277</v>
      </c>
      <c r="N464" s="26">
        <v>322619</v>
      </c>
      <c r="O464" s="27">
        <v>377896</v>
      </c>
      <c r="P464" s="26">
        <v>50492</v>
      </c>
      <c r="Q464" s="26">
        <v>272000</v>
      </c>
      <c r="R464" s="27">
        <v>322492</v>
      </c>
      <c r="S464" s="26">
        <v>48272</v>
      </c>
      <c r="T464" s="26">
        <v>328025</v>
      </c>
      <c r="U464" s="27">
        <v>376297</v>
      </c>
      <c r="V464" s="26">
        <v>50028</v>
      </c>
      <c r="W464" s="26">
        <v>245252</v>
      </c>
      <c r="X464" s="31">
        <v>295280</v>
      </c>
      <c r="Y464" s="16">
        <v>51109</v>
      </c>
      <c r="Z464" s="16">
        <v>335160</v>
      </c>
      <c r="AA464" s="31">
        <v>386269</v>
      </c>
      <c r="AB464" s="32">
        <v>50934</v>
      </c>
      <c r="AC464" s="16">
        <v>309243</v>
      </c>
      <c r="AD464" s="31">
        <v>360177</v>
      </c>
      <c r="AE464" s="16">
        <v>47903</v>
      </c>
      <c r="AF464" s="16">
        <v>332665</v>
      </c>
      <c r="AG464" s="31">
        <v>380568</v>
      </c>
      <c r="AH464" s="16">
        <v>43845</v>
      </c>
      <c r="AI464" s="16">
        <v>257454</v>
      </c>
      <c r="AJ464" s="31">
        <v>301299</v>
      </c>
      <c r="AK464" s="16">
        <v>46001</v>
      </c>
      <c r="AL464" s="16">
        <v>224326</v>
      </c>
      <c r="AM464" s="31">
        <v>270327</v>
      </c>
      <c r="AN464" s="16">
        <v>51847.199999999997</v>
      </c>
      <c r="AO464" s="16">
        <v>331715</v>
      </c>
      <c r="AP464" s="31">
        <v>383562.2</v>
      </c>
      <c r="AQ464" s="42"/>
      <c r="AR464" s="43"/>
      <c r="AS464" s="42"/>
      <c r="AT464" s="42"/>
    </row>
    <row r="465" spans="1:46" ht="12.9" customHeight="1" x14ac:dyDescent="0.25">
      <c r="A465" s="28" t="s">
        <v>959</v>
      </c>
      <c r="B465" s="29" t="s">
        <v>960</v>
      </c>
      <c r="C465" s="30" t="s">
        <v>29</v>
      </c>
      <c r="D465" s="40">
        <v>18966</v>
      </c>
      <c r="E465" s="26">
        <v>4401</v>
      </c>
      <c r="F465" s="26">
        <f t="shared" si="14"/>
        <v>23367</v>
      </c>
      <c r="G465" s="40">
        <v>27041</v>
      </c>
      <c r="H465" s="26">
        <v>5064</v>
      </c>
      <c r="I465" s="27">
        <f t="shared" si="15"/>
        <v>32105</v>
      </c>
      <c r="J465" s="40">
        <v>28140</v>
      </c>
      <c r="K465" s="26">
        <v>4763</v>
      </c>
      <c r="L465" s="27">
        <v>32903</v>
      </c>
      <c r="M465" s="26">
        <v>25763</v>
      </c>
      <c r="N465" s="26">
        <v>3144</v>
      </c>
      <c r="O465" s="27">
        <v>28907</v>
      </c>
      <c r="P465" s="26">
        <v>38545</v>
      </c>
      <c r="Q465" s="26">
        <v>2102</v>
      </c>
      <c r="R465" s="27">
        <v>40647</v>
      </c>
      <c r="S465" s="26">
        <v>39478</v>
      </c>
      <c r="T465" s="26">
        <v>5078</v>
      </c>
      <c r="U465" s="27">
        <v>44556</v>
      </c>
      <c r="V465" s="26">
        <v>26997</v>
      </c>
      <c r="W465" s="26">
        <v>3267</v>
      </c>
      <c r="X465" s="31">
        <v>30264</v>
      </c>
      <c r="Y465" s="16">
        <v>36809</v>
      </c>
      <c r="Z465" s="16">
        <v>6165</v>
      </c>
      <c r="AA465" s="31">
        <v>42974</v>
      </c>
      <c r="AB465" s="32">
        <v>37129</v>
      </c>
      <c r="AC465" s="16">
        <v>7171</v>
      </c>
      <c r="AD465" s="31">
        <v>44300</v>
      </c>
      <c r="AE465" s="16">
        <v>37673</v>
      </c>
      <c r="AF465" s="16">
        <v>9012</v>
      </c>
      <c r="AG465" s="31">
        <v>46685</v>
      </c>
      <c r="AH465" s="16">
        <v>37818</v>
      </c>
      <c r="AI465" s="16">
        <v>7426</v>
      </c>
      <c r="AJ465" s="31">
        <v>45244</v>
      </c>
      <c r="AK465" s="16">
        <v>41530</v>
      </c>
      <c r="AL465" s="16">
        <v>3204</v>
      </c>
      <c r="AM465" s="31">
        <v>44734</v>
      </c>
      <c r="AN465" s="16">
        <v>50425</v>
      </c>
      <c r="AO465" s="16">
        <v>3204</v>
      </c>
      <c r="AP465" s="31">
        <v>53629</v>
      </c>
      <c r="AQ465" s="42"/>
      <c r="AR465" s="43"/>
      <c r="AS465" s="42"/>
      <c r="AT465" s="42"/>
    </row>
    <row r="466" spans="1:46" ht="12.9" customHeight="1" x14ac:dyDescent="0.25">
      <c r="A466" s="28" t="s">
        <v>961</v>
      </c>
      <c r="B466" s="29" t="s">
        <v>962</v>
      </c>
      <c r="C466" s="30" t="s">
        <v>14</v>
      </c>
      <c r="D466" s="40">
        <v>27251</v>
      </c>
      <c r="E466" s="26">
        <v>2604</v>
      </c>
      <c r="F466" s="26">
        <f t="shared" si="14"/>
        <v>29855</v>
      </c>
      <c r="G466" s="40">
        <v>26915</v>
      </c>
      <c r="H466" s="26">
        <v>3590</v>
      </c>
      <c r="I466" s="27">
        <f t="shared" si="15"/>
        <v>30505</v>
      </c>
      <c r="J466" s="40">
        <v>28646</v>
      </c>
      <c r="K466" s="26">
        <v>5657</v>
      </c>
      <c r="L466" s="27">
        <v>34303</v>
      </c>
      <c r="M466" s="26">
        <v>26357</v>
      </c>
      <c r="N466" s="26">
        <v>3829</v>
      </c>
      <c r="O466" s="27">
        <v>30186</v>
      </c>
      <c r="P466" s="26">
        <v>26069</v>
      </c>
      <c r="Q466" s="26">
        <v>2754</v>
      </c>
      <c r="R466" s="27">
        <v>28823</v>
      </c>
      <c r="S466" s="26">
        <v>23263</v>
      </c>
      <c r="T466" s="26">
        <v>2330</v>
      </c>
      <c r="U466" s="27">
        <v>25593</v>
      </c>
      <c r="V466" s="26">
        <v>27298</v>
      </c>
      <c r="W466" s="26">
        <v>2292</v>
      </c>
      <c r="X466" s="31">
        <v>29590</v>
      </c>
      <c r="Y466" s="16">
        <v>25534</v>
      </c>
      <c r="Z466" s="16">
        <v>2322</v>
      </c>
      <c r="AA466" s="31">
        <v>27856</v>
      </c>
      <c r="AB466" s="32">
        <v>28679</v>
      </c>
      <c r="AC466" s="16">
        <v>2393</v>
      </c>
      <c r="AD466" s="31">
        <v>31072</v>
      </c>
      <c r="AE466" s="16">
        <v>26763</v>
      </c>
      <c r="AF466" s="16">
        <v>4055</v>
      </c>
      <c r="AG466" s="31">
        <v>30818</v>
      </c>
      <c r="AH466" s="16">
        <v>28590</v>
      </c>
      <c r="AI466" s="16">
        <v>3721</v>
      </c>
      <c r="AJ466" s="31">
        <v>32311</v>
      </c>
      <c r="AK466" s="16">
        <v>32759</v>
      </c>
      <c r="AL466" s="16">
        <v>1786</v>
      </c>
      <c r="AM466" s="31">
        <v>34545</v>
      </c>
      <c r="AN466" s="16">
        <v>32759</v>
      </c>
      <c r="AO466" s="16">
        <v>1840</v>
      </c>
      <c r="AP466" s="31">
        <v>34599</v>
      </c>
      <c r="AQ466" s="42"/>
      <c r="AR466" s="43"/>
      <c r="AS466" s="42"/>
      <c r="AT466" s="42"/>
    </row>
    <row r="467" spans="1:46" ht="12.9" customHeight="1" x14ac:dyDescent="0.25">
      <c r="A467" s="28" t="s">
        <v>963</v>
      </c>
      <c r="B467" s="29" t="s">
        <v>964</v>
      </c>
      <c r="C467" s="30" t="s">
        <v>80</v>
      </c>
      <c r="D467" s="40">
        <v>463211</v>
      </c>
      <c r="E467" s="26">
        <v>64720</v>
      </c>
      <c r="F467" s="26">
        <f t="shared" si="14"/>
        <v>527931</v>
      </c>
      <c r="G467" s="40">
        <v>470991</v>
      </c>
      <c r="H467" s="26">
        <v>75462</v>
      </c>
      <c r="I467" s="27">
        <f t="shared" si="15"/>
        <v>546453</v>
      </c>
      <c r="J467" s="40">
        <v>470650</v>
      </c>
      <c r="K467" s="26">
        <v>74512</v>
      </c>
      <c r="L467" s="27">
        <v>545162</v>
      </c>
      <c r="M467" s="26">
        <v>499099</v>
      </c>
      <c r="N467" s="26">
        <v>76291</v>
      </c>
      <c r="O467" s="27">
        <v>575390</v>
      </c>
      <c r="P467" s="26">
        <v>519075</v>
      </c>
      <c r="Q467" s="26">
        <v>77524</v>
      </c>
      <c r="R467" s="27">
        <v>596599</v>
      </c>
      <c r="S467" s="26">
        <v>465243</v>
      </c>
      <c r="T467" s="26">
        <v>96376</v>
      </c>
      <c r="U467" s="27">
        <v>561619</v>
      </c>
      <c r="V467" s="26">
        <v>461585</v>
      </c>
      <c r="W467" s="26">
        <v>80492</v>
      </c>
      <c r="X467" s="31">
        <v>542077</v>
      </c>
      <c r="Y467" s="16">
        <v>460840</v>
      </c>
      <c r="Z467" s="16">
        <v>82587</v>
      </c>
      <c r="AA467" s="31">
        <v>543427</v>
      </c>
      <c r="AB467" s="32">
        <v>452732</v>
      </c>
      <c r="AC467" s="16">
        <v>74170</v>
      </c>
      <c r="AD467" s="31">
        <v>526902</v>
      </c>
      <c r="AE467" s="16">
        <v>440259</v>
      </c>
      <c r="AF467" s="16">
        <v>61438</v>
      </c>
      <c r="AG467" s="31">
        <v>501697</v>
      </c>
      <c r="AH467" s="16">
        <v>439553</v>
      </c>
      <c r="AI467" s="16">
        <v>63381</v>
      </c>
      <c r="AJ467" s="31">
        <v>502934</v>
      </c>
      <c r="AK467" s="16">
        <v>455694</v>
      </c>
      <c r="AL467" s="16">
        <v>64294</v>
      </c>
      <c r="AM467" s="31">
        <v>519988</v>
      </c>
      <c r="AN467" s="16">
        <v>459417</v>
      </c>
      <c r="AO467" s="16">
        <v>62419</v>
      </c>
      <c r="AP467" s="31">
        <v>521836</v>
      </c>
      <c r="AQ467" s="42"/>
      <c r="AR467" s="43"/>
      <c r="AS467" s="42"/>
      <c r="AT467" s="42"/>
    </row>
    <row r="468" spans="1:46" ht="12.9" customHeight="1" x14ac:dyDescent="0.25">
      <c r="A468" s="28" t="s">
        <v>965</v>
      </c>
      <c r="B468" s="29" t="s">
        <v>966</v>
      </c>
      <c r="C468" s="30" t="s">
        <v>184</v>
      </c>
      <c r="D468" s="40">
        <v>20806</v>
      </c>
      <c r="E468" s="26">
        <v>147006</v>
      </c>
      <c r="F468" s="26">
        <f t="shared" si="14"/>
        <v>167812</v>
      </c>
      <c r="G468" s="40">
        <v>22459</v>
      </c>
      <c r="H468" s="26">
        <v>137125</v>
      </c>
      <c r="I468" s="27">
        <f t="shared" si="15"/>
        <v>159584</v>
      </c>
      <c r="J468" s="40">
        <v>23755</v>
      </c>
      <c r="K468" s="26">
        <v>135675</v>
      </c>
      <c r="L468" s="27">
        <v>159430</v>
      </c>
      <c r="M468" s="26">
        <v>24645</v>
      </c>
      <c r="N468" s="26">
        <v>147841</v>
      </c>
      <c r="O468" s="27">
        <v>172486</v>
      </c>
      <c r="P468" s="26">
        <v>21354</v>
      </c>
      <c r="Q468" s="26">
        <v>129754</v>
      </c>
      <c r="R468" s="27">
        <v>151108</v>
      </c>
      <c r="S468" s="26">
        <v>19685</v>
      </c>
      <c r="T468" s="26">
        <v>4032</v>
      </c>
      <c r="U468" s="27">
        <v>23717</v>
      </c>
      <c r="V468" s="26">
        <v>21374</v>
      </c>
      <c r="W468" s="26">
        <v>3814</v>
      </c>
      <c r="X468" s="31">
        <v>25188</v>
      </c>
      <c r="Y468" s="16">
        <v>21505.333333333332</v>
      </c>
      <c r="Z468" s="16">
        <v>3251.6666666666665</v>
      </c>
      <c r="AA468" s="31">
        <v>24757</v>
      </c>
      <c r="AB468" s="32">
        <v>22154</v>
      </c>
      <c r="AC468" s="16">
        <v>3048</v>
      </c>
      <c r="AD468" s="31">
        <v>25202</v>
      </c>
      <c r="AE468" s="16">
        <v>21885</v>
      </c>
      <c r="AF468" s="16">
        <v>3000</v>
      </c>
      <c r="AG468" s="31">
        <v>24885</v>
      </c>
      <c r="AH468" s="16">
        <v>20585</v>
      </c>
      <c r="AI468" s="16">
        <v>2324</v>
      </c>
      <c r="AJ468" s="31">
        <v>22909</v>
      </c>
      <c r="AK468" s="16">
        <v>21597</v>
      </c>
      <c r="AL468" s="16">
        <v>3146</v>
      </c>
      <c r="AM468" s="31">
        <v>24743</v>
      </c>
      <c r="AN468" s="16">
        <v>30848</v>
      </c>
      <c r="AO468" s="16">
        <v>259327</v>
      </c>
      <c r="AP468" s="31">
        <v>290175</v>
      </c>
      <c r="AQ468" s="42"/>
      <c r="AR468" s="43"/>
      <c r="AS468" s="42"/>
      <c r="AT468" s="42"/>
    </row>
    <row r="469" spans="1:46" ht="12.9" customHeight="1" x14ac:dyDescent="0.25">
      <c r="A469" s="28" t="s">
        <v>967</v>
      </c>
      <c r="B469" s="29" t="s">
        <v>968</v>
      </c>
      <c r="C469" s="30" t="s">
        <v>153</v>
      </c>
      <c r="D469" s="40">
        <v>3525</v>
      </c>
      <c r="E469" s="26">
        <v>31786</v>
      </c>
      <c r="F469" s="26">
        <f t="shared" si="14"/>
        <v>35311</v>
      </c>
      <c r="G469" s="40">
        <v>3830</v>
      </c>
      <c r="H469" s="26">
        <v>31932</v>
      </c>
      <c r="I469" s="27">
        <f t="shared" si="15"/>
        <v>35762</v>
      </c>
      <c r="J469" s="40">
        <v>3983</v>
      </c>
      <c r="K469" s="26">
        <v>27317</v>
      </c>
      <c r="L469" s="27">
        <v>31300</v>
      </c>
      <c r="M469" s="26">
        <v>4114</v>
      </c>
      <c r="N469" s="26">
        <v>25001</v>
      </c>
      <c r="O469" s="27">
        <v>29115</v>
      </c>
      <c r="P469" s="26">
        <v>4465</v>
      </c>
      <c r="Q469" s="26">
        <v>27867</v>
      </c>
      <c r="R469" s="27">
        <v>32332</v>
      </c>
      <c r="S469" s="26">
        <v>3804</v>
      </c>
      <c r="T469" s="26">
        <v>20648</v>
      </c>
      <c r="U469" s="27">
        <v>24452</v>
      </c>
      <c r="V469" s="26">
        <v>3837</v>
      </c>
      <c r="W469" s="26">
        <v>30555</v>
      </c>
      <c r="X469" s="31">
        <v>34392</v>
      </c>
      <c r="Y469" s="16">
        <v>3306</v>
      </c>
      <c r="Z469" s="16">
        <v>44556</v>
      </c>
      <c r="AA469" s="31">
        <v>47862</v>
      </c>
      <c r="AB469" s="32">
        <v>3046</v>
      </c>
      <c r="AC469" s="16">
        <v>22804</v>
      </c>
      <c r="AD469" s="31">
        <v>25850</v>
      </c>
      <c r="AE469" s="16">
        <v>3735</v>
      </c>
      <c r="AF469" s="16">
        <v>25406</v>
      </c>
      <c r="AG469" s="31">
        <v>29141</v>
      </c>
      <c r="AH469" s="16">
        <v>4921</v>
      </c>
      <c r="AI469" s="16">
        <v>27993</v>
      </c>
      <c r="AJ469" s="31">
        <v>32914</v>
      </c>
      <c r="AK469" s="16">
        <v>2047</v>
      </c>
      <c r="AL469" s="16">
        <v>18756</v>
      </c>
      <c r="AM469" s="31">
        <v>20803</v>
      </c>
      <c r="AN469" s="16">
        <v>3429</v>
      </c>
      <c r="AO469" s="16">
        <v>11718</v>
      </c>
      <c r="AP469" s="31">
        <v>15147</v>
      </c>
      <c r="AQ469" s="42"/>
      <c r="AR469" s="43"/>
      <c r="AS469" s="42"/>
      <c r="AT469" s="42"/>
    </row>
    <row r="470" spans="1:46" ht="12.9" customHeight="1" x14ac:dyDescent="0.25">
      <c r="A470" s="28" t="s">
        <v>969</v>
      </c>
      <c r="B470" s="29" t="s">
        <v>970</v>
      </c>
      <c r="C470" s="30" t="s">
        <v>53</v>
      </c>
      <c r="D470" s="40">
        <v>113206</v>
      </c>
      <c r="E470" s="26">
        <v>9311</v>
      </c>
      <c r="F470" s="26">
        <f t="shared" si="14"/>
        <v>122517</v>
      </c>
      <c r="G470" s="40">
        <v>124162</v>
      </c>
      <c r="H470" s="26">
        <v>10418</v>
      </c>
      <c r="I470" s="27">
        <f t="shared" si="15"/>
        <v>134580</v>
      </c>
      <c r="J470" s="40">
        <v>131477</v>
      </c>
      <c r="K470" s="26">
        <v>15690</v>
      </c>
      <c r="L470" s="27">
        <v>147167</v>
      </c>
      <c r="M470" s="26">
        <v>135190</v>
      </c>
      <c r="N470" s="26">
        <v>4758</v>
      </c>
      <c r="O470" s="27">
        <v>139948</v>
      </c>
      <c r="P470" s="26">
        <v>126011</v>
      </c>
      <c r="Q470" s="26">
        <v>6648</v>
      </c>
      <c r="R470" s="27">
        <v>132659</v>
      </c>
      <c r="S470" s="26">
        <v>127852</v>
      </c>
      <c r="T470" s="26">
        <v>6994</v>
      </c>
      <c r="U470" s="27">
        <v>134846</v>
      </c>
      <c r="V470" s="26">
        <v>120111</v>
      </c>
      <c r="W470" s="26">
        <v>7892</v>
      </c>
      <c r="X470" s="31">
        <v>128003</v>
      </c>
      <c r="Y470" s="16">
        <v>128008</v>
      </c>
      <c r="Z470" s="16">
        <v>7097</v>
      </c>
      <c r="AA470" s="31">
        <v>135105</v>
      </c>
      <c r="AB470" s="32">
        <v>133725</v>
      </c>
      <c r="AC470" s="16">
        <v>5577</v>
      </c>
      <c r="AD470" s="31">
        <v>139302</v>
      </c>
      <c r="AE470" s="16">
        <v>130142</v>
      </c>
      <c r="AF470" s="16">
        <v>5195</v>
      </c>
      <c r="AG470" s="31">
        <v>135337</v>
      </c>
      <c r="AH470" s="16">
        <v>126939</v>
      </c>
      <c r="AI470" s="16">
        <v>5796</v>
      </c>
      <c r="AJ470" s="31">
        <v>132735</v>
      </c>
      <c r="AK470" s="16">
        <v>160888</v>
      </c>
      <c r="AL470" s="16">
        <v>7274</v>
      </c>
      <c r="AM470" s="31">
        <v>168162</v>
      </c>
      <c r="AN470" s="16">
        <v>160888</v>
      </c>
      <c r="AO470" s="16">
        <v>7274</v>
      </c>
      <c r="AP470" s="31">
        <v>168162</v>
      </c>
      <c r="AQ470" s="42"/>
      <c r="AR470" s="43"/>
      <c r="AS470" s="42"/>
      <c r="AT470" s="42"/>
    </row>
    <row r="471" spans="1:46" ht="12.9" customHeight="1" x14ac:dyDescent="0.25">
      <c r="A471" s="28" t="s">
        <v>971</v>
      </c>
      <c r="B471" s="29" t="s">
        <v>972</v>
      </c>
      <c r="C471" s="30" t="s">
        <v>26</v>
      </c>
      <c r="D471" s="40">
        <v>305250</v>
      </c>
      <c r="E471" s="26">
        <v>600100</v>
      </c>
      <c r="F471" s="26">
        <f t="shared" si="14"/>
        <v>905350</v>
      </c>
      <c r="G471" s="40">
        <v>320957</v>
      </c>
      <c r="H471" s="26">
        <v>739808</v>
      </c>
      <c r="I471" s="27">
        <f t="shared" si="15"/>
        <v>1060765</v>
      </c>
      <c r="J471" s="40">
        <v>333503</v>
      </c>
      <c r="K471" s="26">
        <v>1100838</v>
      </c>
      <c r="L471" s="27">
        <v>1434341</v>
      </c>
      <c r="M471" s="26">
        <v>343288</v>
      </c>
      <c r="N471" s="26">
        <v>1119892</v>
      </c>
      <c r="O471" s="27">
        <v>1463180</v>
      </c>
      <c r="P471" s="26">
        <v>355037</v>
      </c>
      <c r="Q471" s="26">
        <v>981908</v>
      </c>
      <c r="R471" s="27">
        <v>1336945</v>
      </c>
      <c r="S471" s="26">
        <v>327759</v>
      </c>
      <c r="T471" s="26">
        <v>941160</v>
      </c>
      <c r="U471" s="27">
        <v>1268919</v>
      </c>
      <c r="V471" s="26">
        <v>334816</v>
      </c>
      <c r="W471" s="26">
        <v>763254</v>
      </c>
      <c r="X471" s="31">
        <v>1098070</v>
      </c>
      <c r="Y471" s="16">
        <v>321295</v>
      </c>
      <c r="Z471" s="16">
        <v>562613</v>
      </c>
      <c r="AA471" s="31">
        <v>883908</v>
      </c>
      <c r="AB471" s="32">
        <v>335697</v>
      </c>
      <c r="AC471" s="16">
        <v>561412</v>
      </c>
      <c r="AD471" s="31">
        <v>897109</v>
      </c>
      <c r="AE471" s="16">
        <v>336846</v>
      </c>
      <c r="AF471" s="16">
        <v>696294</v>
      </c>
      <c r="AG471" s="31">
        <v>1033140</v>
      </c>
      <c r="AH471" s="16">
        <v>333002</v>
      </c>
      <c r="AI471" s="16">
        <v>726073</v>
      </c>
      <c r="AJ471" s="31">
        <v>1059075</v>
      </c>
      <c r="AK471" s="16">
        <v>344149</v>
      </c>
      <c r="AL471" s="16">
        <v>583114</v>
      </c>
      <c r="AM471" s="31">
        <v>927263</v>
      </c>
      <c r="AN471" s="16">
        <v>344671</v>
      </c>
      <c r="AO471" s="16">
        <v>620426</v>
      </c>
      <c r="AP471" s="31">
        <v>965097</v>
      </c>
      <c r="AQ471" s="42"/>
      <c r="AR471" s="43"/>
      <c r="AS471" s="42"/>
      <c r="AT471" s="42"/>
    </row>
    <row r="472" spans="1:46" ht="12.9" customHeight="1" x14ac:dyDescent="0.25">
      <c r="A472" s="28" t="s">
        <v>973</v>
      </c>
      <c r="B472" s="29" t="s">
        <v>974</v>
      </c>
      <c r="C472" s="30" t="s">
        <v>34</v>
      </c>
      <c r="D472" s="40">
        <v>27466</v>
      </c>
      <c r="E472" s="26">
        <v>10416</v>
      </c>
      <c r="F472" s="26">
        <f t="shared" si="14"/>
        <v>37882</v>
      </c>
      <c r="G472" s="40">
        <v>19927</v>
      </c>
      <c r="H472" s="26">
        <v>10416</v>
      </c>
      <c r="I472" s="27">
        <f t="shared" si="15"/>
        <v>30343</v>
      </c>
      <c r="J472" s="40">
        <v>19638</v>
      </c>
      <c r="K472" s="26">
        <v>15757</v>
      </c>
      <c r="L472" s="27">
        <v>35395</v>
      </c>
      <c r="M472" s="26">
        <v>16371</v>
      </c>
      <c r="N472" s="26">
        <v>15757</v>
      </c>
      <c r="O472" s="27">
        <v>32128</v>
      </c>
      <c r="P472" s="26">
        <v>16766</v>
      </c>
      <c r="Q472" s="26">
        <v>15757</v>
      </c>
      <c r="R472" s="27">
        <v>32523</v>
      </c>
      <c r="S472" s="26">
        <v>21736</v>
      </c>
      <c r="T472" s="26">
        <v>11531</v>
      </c>
      <c r="U472" s="27">
        <v>33267</v>
      </c>
      <c r="V472" s="26">
        <v>16310</v>
      </c>
      <c r="W472" s="26">
        <v>11531</v>
      </c>
      <c r="X472" s="31">
        <v>27841</v>
      </c>
      <c r="Y472" s="16">
        <v>21850</v>
      </c>
      <c r="Z472" s="16">
        <v>11531</v>
      </c>
      <c r="AA472" s="31">
        <v>33381</v>
      </c>
      <c r="AB472" s="32">
        <v>22815</v>
      </c>
      <c r="AC472" s="16">
        <v>11269</v>
      </c>
      <c r="AD472" s="31">
        <v>34084</v>
      </c>
      <c r="AE472" s="16">
        <v>25985</v>
      </c>
      <c r="AF472" s="16">
        <v>12257</v>
      </c>
      <c r="AG472" s="31">
        <v>38242</v>
      </c>
      <c r="AH472" s="16">
        <v>22222</v>
      </c>
      <c r="AI472" s="16">
        <v>11718</v>
      </c>
      <c r="AJ472" s="31">
        <v>33940</v>
      </c>
      <c r="AK472" s="16">
        <v>22222</v>
      </c>
      <c r="AL472" s="16">
        <v>11718</v>
      </c>
      <c r="AM472" s="31">
        <v>33940</v>
      </c>
      <c r="AN472" s="16">
        <v>22222</v>
      </c>
      <c r="AO472" s="16">
        <v>11718</v>
      </c>
      <c r="AP472" s="31">
        <v>33940</v>
      </c>
      <c r="AQ472" s="42"/>
      <c r="AR472" s="43"/>
      <c r="AS472" s="42"/>
      <c r="AT472" s="42"/>
    </row>
    <row r="473" spans="1:46" ht="12.9" customHeight="1" x14ac:dyDescent="0.25">
      <c r="A473" s="28" t="s">
        <v>975</v>
      </c>
      <c r="B473" s="29" t="s">
        <v>976</v>
      </c>
      <c r="C473" s="30" t="s">
        <v>281</v>
      </c>
      <c r="D473" s="40">
        <v>8350</v>
      </c>
      <c r="E473" s="26">
        <v>1492</v>
      </c>
      <c r="F473" s="26">
        <f t="shared" si="14"/>
        <v>9842</v>
      </c>
      <c r="G473" s="40">
        <v>8158</v>
      </c>
      <c r="H473" s="26">
        <v>809</v>
      </c>
      <c r="I473" s="27">
        <f t="shared" si="15"/>
        <v>8967</v>
      </c>
      <c r="J473" s="40">
        <v>7216</v>
      </c>
      <c r="K473" s="26">
        <v>966</v>
      </c>
      <c r="L473" s="27">
        <v>8182</v>
      </c>
      <c r="M473" s="26">
        <v>7278</v>
      </c>
      <c r="N473" s="26">
        <v>1100</v>
      </c>
      <c r="O473" s="27">
        <v>8378</v>
      </c>
      <c r="P473" s="26">
        <v>6976</v>
      </c>
      <c r="Q473" s="26">
        <v>1306</v>
      </c>
      <c r="R473" s="27">
        <v>8282</v>
      </c>
      <c r="S473" s="26">
        <v>6767</v>
      </c>
      <c r="T473" s="26">
        <v>1544</v>
      </c>
      <c r="U473" s="27">
        <v>8311</v>
      </c>
      <c r="V473" s="26">
        <v>7038</v>
      </c>
      <c r="W473" s="26">
        <v>2362</v>
      </c>
      <c r="X473" s="31">
        <v>9400</v>
      </c>
      <c r="Y473" s="16">
        <v>7965</v>
      </c>
      <c r="Z473" s="16">
        <v>2738</v>
      </c>
      <c r="AA473" s="31">
        <v>10703</v>
      </c>
      <c r="AB473" s="32">
        <v>11609</v>
      </c>
      <c r="AC473" s="16">
        <v>2311</v>
      </c>
      <c r="AD473" s="31">
        <v>13920</v>
      </c>
      <c r="AE473" s="16">
        <v>10389</v>
      </c>
      <c r="AF473" s="16">
        <v>2516</v>
      </c>
      <c r="AG473" s="31">
        <v>12905</v>
      </c>
      <c r="AH473" s="16">
        <v>8943</v>
      </c>
      <c r="AI473" s="16">
        <v>422</v>
      </c>
      <c r="AJ473" s="31">
        <v>9365</v>
      </c>
      <c r="AK473" s="16">
        <v>9683</v>
      </c>
      <c r="AL473" s="16">
        <v>550</v>
      </c>
      <c r="AM473" s="31">
        <v>10233</v>
      </c>
      <c r="AN473" s="16">
        <v>9683</v>
      </c>
      <c r="AO473" s="16">
        <v>550</v>
      </c>
      <c r="AP473" s="31">
        <v>10233</v>
      </c>
      <c r="AQ473" s="42"/>
      <c r="AR473" s="43"/>
      <c r="AS473" s="42"/>
      <c r="AT473" s="42"/>
    </row>
    <row r="474" spans="1:46" ht="12.9" customHeight="1" x14ac:dyDescent="0.25">
      <c r="A474" s="28" t="s">
        <v>977</v>
      </c>
      <c r="B474" s="29" t="s">
        <v>978</v>
      </c>
      <c r="C474" s="30" t="s">
        <v>281</v>
      </c>
      <c r="D474" s="40">
        <v>4488</v>
      </c>
      <c r="E474" s="26">
        <v>121</v>
      </c>
      <c r="F474" s="26">
        <f t="shared" si="14"/>
        <v>4609</v>
      </c>
      <c r="G474" s="40">
        <v>4324</v>
      </c>
      <c r="H474" s="26">
        <v>165</v>
      </c>
      <c r="I474" s="27">
        <f t="shared" si="15"/>
        <v>4489</v>
      </c>
      <c r="J474" s="40">
        <v>4398</v>
      </c>
      <c r="K474" s="26">
        <v>68</v>
      </c>
      <c r="L474" s="27">
        <v>4466</v>
      </c>
      <c r="M474" s="26">
        <v>3805</v>
      </c>
      <c r="N474" s="26">
        <v>0</v>
      </c>
      <c r="O474" s="27">
        <v>3805</v>
      </c>
      <c r="P474" s="26">
        <v>3375</v>
      </c>
      <c r="Q474" s="26">
        <v>14</v>
      </c>
      <c r="R474" s="27">
        <v>3389</v>
      </c>
      <c r="S474" s="26">
        <v>2904</v>
      </c>
      <c r="T474" s="26">
        <v>14</v>
      </c>
      <c r="U474" s="27">
        <v>2918</v>
      </c>
      <c r="V474" s="26">
        <v>2843</v>
      </c>
      <c r="W474" s="26">
        <v>106</v>
      </c>
      <c r="X474" s="31">
        <v>2949</v>
      </c>
      <c r="Y474" s="16">
        <v>5287</v>
      </c>
      <c r="Z474" s="16">
        <v>48</v>
      </c>
      <c r="AA474" s="31">
        <v>5335</v>
      </c>
      <c r="AB474" s="32">
        <v>4425</v>
      </c>
      <c r="AC474" s="16">
        <v>0</v>
      </c>
      <c r="AD474" s="31">
        <v>4425</v>
      </c>
      <c r="AE474" s="16">
        <v>4494</v>
      </c>
      <c r="AF474" s="16">
        <v>0</v>
      </c>
      <c r="AG474" s="31">
        <v>4494</v>
      </c>
      <c r="AH474" s="16">
        <v>4369</v>
      </c>
      <c r="AI474" s="16">
        <v>0</v>
      </c>
      <c r="AJ474" s="31">
        <v>4369</v>
      </c>
      <c r="AK474" s="16">
        <v>1918</v>
      </c>
      <c r="AL474" s="16">
        <v>0</v>
      </c>
      <c r="AM474" s="31">
        <v>1918</v>
      </c>
      <c r="AN474" s="16">
        <v>2885</v>
      </c>
      <c r="AO474" s="16">
        <v>0</v>
      </c>
      <c r="AP474" s="31">
        <v>2885</v>
      </c>
      <c r="AQ474" s="42"/>
      <c r="AR474" s="43"/>
      <c r="AS474" s="42"/>
      <c r="AT474" s="42"/>
    </row>
    <row r="475" spans="1:46" ht="12.9" customHeight="1" x14ac:dyDescent="0.25">
      <c r="A475" s="28" t="s">
        <v>979</v>
      </c>
      <c r="B475" s="29" t="s">
        <v>980</v>
      </c>
      <c r="C475" s="30" t="s">
        <v>26</v>
      </c>
      <c r="D475" s="40">
        <v>586982</v>
      </c>
      <c r="E475" s="26">
        <v>531263</v>
      </c>
      <c r="F475" s="26">
        <f t="shared" si="14"/>
        <v>1118245</v>
      </c>
      <c r="G475" s="40">
        <v>633586</v>
      </c>
      <c r="H475" s="26">
        <v>580079</v>
      </c>
      <c r="I475" s="27">
        <f t="shared" si="15"/>
        <v>1213665</v>
      </c>
      <c r="J475" s="40">
        <v>645616</v>
      </c>
      <c r="K475" s="26">
        <v>706157</v>
      </c>
      <c r="L475" s="27">
        <v>1351773</v>
      </c>
      <c r="M475" s="26">
        <v>688393</v>
      </c>
      <c r="N475" s="26">
        <v>693471</v>
      </c>
      <c r="O475" s="27">
        <v>1381864</v>
      </c>
      <c r="P475" s="26">
        <v>678746</v>
      </c>
      <c r="Q475" s="26">
        <v>685748</v>
      </c>
      <c r="R475" s="27">
        <v>1364494</v>
      </c>
      <c r="S475" s="26">
        <v>630465</v>
      </c>
      <c r="T475" s="26">
        <v>709907</v>
      </c>
      <c r="U475" s="27">
        <v>1340372</v>
      </c>
      <c r="V475" s="26">
        <v>614475</v>
      </c>
      <c r="W475" s="26">
        <v>696073</v>
      </c>
      <c r="X475" s="31">
        <v>1310548</v>
      </c>
      <c r="Y475" s="16">
        <v>629858</v>
      </c>
      <c r="Z475" s="16">
        <v>754468</v>
      </c>
      <c r="AA475" s="31">
        <v>1384326</v>
      </c>
      <c r="AB475" s="32">
        <v>619766</v>
      </c>
      <c r="AC475" s="16">
        <v>656202</v>
      </c>
      <c r="AD475" s="31">
        <v>1275968</v>
      </c>
      <c r="AE475" s="16">
        <v>614414</v>
      </c>
      <c r="AF475" s="16">
        <v>602866</v>
      </c>
      <c r="AG475" s="31">
        <v>1217280</v>
      </c>
      <c r="AH475" s="16">
        <v>614979</v>
      </c>
      <c r="AI475" s="16">
        <v>545336</v>
      </c>
      <c r="AJ475" s="31">
        <v>1160315</v>
      </c>
      <c r="AK475" s="16">
        <v>606574</v>
      </c>
      <c r="AL475" s="16">
        <v>619071</v>
      </c>
      <c r="AM475" s="31">
        <v>1225645</v>
      </c>
      <c r="AN475" s="16">
        <v>644520</v>
      </c>
      <c r="AO475" s="16">
        <v>724228</v>
      </c>
      <c r="AP475" s="31">
        <v>1368748</v>
      </c>
      <c r="AQ475" s="42"/>
      <c r="AR475" s="43"/>
      <c r="AS475" s="42"/>
      <c r="AT475" s="42"/>
    </row>
    <row r="476" spans="1:46" ht="12.9" customHeight="1" x14ac:dyDescent="0.25">
      <c r="A476" s="28" t="s">
        <v>981</v>
      </c>
      <c r="B476" s="29" t="s">
        <v>982</v>
      </c>
      <c r="C476" s="30" t="s">
        <v>29</v>
      </c>
      <c r="D476" s="40">
        <v>8476</v>
      </c>
      <c r="E476" s="26">
        <v>202</v>
      </c>
      <c r="F476" s="26">
        <f t="shared" si="14"/>
        <v>8678</v>
      </c>
      <c r="G476" s="40">
        <v>8764</v>
      </c>
      <c r="H476" s="26">
        <v>298</v>
      </c>
      <c r="I476" s="27">
        <f t="shared" si="15"/>
        <v>9062</v>
      </c>
      <c r="J476" s="40">
        <v>12137</v>
      </c>
      <c r="K476" s="26">
        <v>339</v>
      </c>
      <c r="L476" s="27">
        <v>12476</v>
      </c>
      <c r="M476" s="26">
        <v>11371</v>
      </c>
      <c r="N476" s="26">
        <v>425</v>
      </c>
      <c r="O476" s="27">
        <v>11796</v>
      </c>
      <c r="P476" s="26">
        <v>11522</v>
      </c>
      <c r="Q476" s="26">
        <v>348</v>
      </c>
      <c r="R476" s="27">
        <v>11870</v>
      </c>
      <c r="S476" s="26">
        <v>18188</v>
      </c>
      <c r="T476" s="26">
        <v>387</v>
      </c>
      <c r="U476" s="27">
        <v>18575</v>
      </c>
      <c r="V476" s="26">
        <v>12475</v>
      </c>
      <c r="W476" s="26">
        <v>231</v>
      </c>
      <c r="X476" s="31">
        <v>12706</v>
      </c>
      <c r="Y476" s="16">
        <v>14315</v>
      </c>
      <c r="Z476" s="16">
        <v>282</v>
      </c>
      <c r="AA476" s="31">
        <v>14597</v>
      </c>
      <c r="AB476" s="32">
        <v>13888</v>
      </c>
      <c r="AC476" s="16">
        <v>225</v>
      </c>
      <c r="AD476" s="31">
        <v>14113</v>
      </c>
      <c r="AE476" s="16">
        <v>13446</v>
      </c>
      <c r="AF476" s="16">
        <v>224</v>
      </c>
      <c r="AG476" s="31">
        <v>13670</v>
      </c>
      <c r="AH476" s="16">
        <v>11472</v>
      </c>
      <c r="AI476" s="16">
        <v>226</v>
      </c>
      <c r="AJ476" s="31">
        <v>11698</v>
      </c>
      <c r="AK476" s="16">
        <v>15115</v>
      </c>
      <c r="AL476" s="16">
        <v>367</v>
      </c>
      <c r="AM476" s="31">
        <v>15482</v>
      </c>
      <c r="AN476" s="16">
        <v>15115</v>
      </c>
      <c r="AO476" s="16">
        <v>367</v>
      </c>
      <c r="AP476" s="31">
        <v>15482</v>
      </c>
      <c r="AQ476" s="42"/>
      <c r="AR476" s="43"/>
      <c r="AS476" s="42"/>
      <c r="AT476" s="42"/>
    </row>
    <row r="477" spans="1:46" ht="12.9" customHeight="1" x14ac:dyDescent="0.25">
      <c r="A477" s="28" t="s">
        <v>983</v>
      </c>
      <c r="B477" s="29" t="s">
        <v>984</v>
      </c>
      <c r="C477" s="30" t="s">
        <v>59</v>
      </c>
      <c r="D477" s="40">
        <v>79335</v>
      </c>
      <c r="E477" s="26">
        <v>30887</v>
      </c>
      <c r="F477" s="26">
        <f t="shared" si="14"/>
        <v>110222</v>
      </c>
      <c r="G477" s="40">
        <v>80944</v>
      </c>
      <c r="H477" s="26">
        <v>31249</v>
      </c>
      <c r="I477" s="27">
        <f t="shared" si="15"/>
        <v>112193</v>
      </c>
      <c r="J477" s="40">
        <v>97030</v>
      </c>
      <c r="K477" s="26">
        <v>32748</v>
      </c>
      <c r="L477" s="27">
        <v>129778</v>
      </c>
      <c r="M477" s="26">
        <v>98263</v>
      </c>
      <c r="N477" s="26">
        <v>37785</v>
      </c>
      <c r="O477" s="27">
        <v>136048</v>
      </c>
      <c r="P477" s="26">
        <v>96071</v>
      </c>
      <c r="Q477" s="26">
        <v>29847</v>
      </c>
      <c r="R477" s="27">
        <v>125918</v>
      </c>
      <c r="S477" s="26">
        <v>92023</v>
      </c>
      <c r="T477" s="26">
        <v>32983</v>
      </c>
      <c r="U477" s="27">
        <v>125006</v>
      </c>
      <c r="V477" s="26">
        <v>92440</v>
      </c>
      <c r="W477" s="26">
        <v>30190</v>
      </c>
      <c r="X477" s="31">
        <v>122630</v>
      </c>
      <c r="Y477" s="16">
        <v>92192</v>
      </c>
      <c r="Z477" s="16">
        <v>38035</v>
      </c>
      <c r="AA477" s="31">
        <v>130227</v>
      </c>
      <c r="AB477" s="32">
        <v>91635</v>
      </c>
      <c r="AC477" s="16">
        <v>41542</v>
      </c>
      <c r="AD477" s="31">
        <v>133177</v>
      </c>
      <c r="AE477" s="16">
        <v>93229</v>
      </c>
      <c r="AF477" s="16">
        <v>32582</v>
      </c>
      <c r="AG477" s="31">
        <v>125811</v>
      </c>
      <c r="AH477" s="16">
        <v>85060</v>
      </c>
      <c r="AI477" s="16">
        <v>28349</v>
      </c>
      <c r="AJ477" s="31">
        <v>113409</v>
      </c>
      <c r="AK477" s="16">
        <v>87616</v>
      </c>
      <c r="AL477" s="16">
        <v>27783</v>
      </c>
      <c r="AM477" s="31">
        <v>115399</v>
      </c>
      <c r="AN477" s="16">
        <v>96185</v>
      </c>
      <c r="AO477" s="16">
        <v>29809</v>
      </c>
      <c r="AP477" s="31">
        <v>125994</v>
      </c>
      <c r="AQ477" s="42"/>
      <c r="AR477" s="43"/>
      <c r="AS477" s="42"/>
      <c r="AT477" s="42"/>
    </row>
    <row r="478" spans="1:46" ht="12.9" customHeight="1" x14ac:dyDescent="0.25">
      <c r="A478" s="28" t="s">
        <v>985</v>
      </c>
      <c r="B478" s="29" t="s">
        <v>986</v>
      </c>
      <c r="C478" s="30" t="s">
        <v>56</v>
      </c>
      <c r="D478" s="40">
        <v>1350644</v>
      </c>
      <c r="E478" s="26">
        <v>968109</v>
      </c>
      <c r="F478" s="26">
        <f t="shared" si="14"/>
        <v>2318753</v>
      </c>
      <c r="G478" s="40">
        <v>1348595</v>
      </c>
      <c r="H478" s="26">
        <v>651441</v>
      </c>
      <c r="I478" s="27">
        <f t="shared" si="15"/>
        <v>2000036</v>
      </c>
      <c r="J478" s="40">
        <v>1406108</v>
      </c>
      <c r="K478" s="26">
        <v>789476</v>
      </c>
      <c r="L478" s="27">
        <v>2195584</v>
      </c>
      <c r="M478" s="26">
        <v>1398526</v>
      </c>
      <c r="N478" s="26">
        <v>670309</v>
      </c>
      <c r="O478" s="27">
        <v>2068835</v>
      </c>
      <c r="P478" s="26">
        <v>1330672</v>
      </c>
      <c r="Q478" s="26">
        <v>835546</v>
      </c>
      <c r="R478" s="27">
        <v>2166218</v>
      </c>
      <c r="S478" s="26">
        <v>1407486</v>
      </c>
      <c r="T478" s="26">
        <v>964087</v>
      </c>
      <c r="U478" s="27">
        <v>2371573</v>
      </c>
      <c r="V478" s="26">
        <v>1461813</v>
      </c>
      <c r="W478" s="26">
        <v>817920</v>
      </c>
      <c r="X478" s="31">
        <v>2279733</v>
      </c>
      <c r="Y478" s="16">
        <v>1396806</v>
      </c>
      <c r="Z478" s="16">
        <v>870639</v>
      </c>
      <c r="AA478" s="31">
        <v>2267445</v>
      </c>
      <c r="AB478" s="32">
        <v>1371698</v>
      </c>
      <c r="AC478" s="16">
        <v>696662</v>
      </c>
      <c r="AD478" s="31">
        <v>2068360</v>
      </c>
      <c r="AE478" s="16">
        <v>1437961</v>
      </c>
      <c r="AF478" s="16">
        <v>603367</v>
      </c>
      <c r="AG478" s="31">
        <v>2041328</v>
      </c>
      <c r="AH478" s="16">
        <v>1577873</v>
      </c>
      <c r="AI478" s="16">
        <v>605921</v>
      </c>
      <c r="AJ478" s="31">
        <v>2183794</v>
      </c>
      <c r="AK478" s="16">
        <v>1595618</v>
      </c>
      <c r="AL478" s="16">
        <v>700424</v>
      </c>
      <c r="AM478" s="31">
        <v>2296042</v>
      </c>
      <c r="AN478" s="16">
        <v>1773827.1732909379</v>
      </c>
      <c r="AO478" s="16">
        <v>559985.10638297873</v>
      </c>
      <c r="AP478" s="31">
        <v>2333812.2796739168</v>
      </c>
      <c r="AQ478" s="42"/>
      <c r="AR478" s="43"/>
      <c r="AS478" s="42"/>
      <c r="AT478" s="42"/>
    </row>
    <row r="479" spans="1:46" ht="12.9" customHeight="1" x14ac:dyDescent="0.25">
      <c r="A479" s="28" t="s">
        <v>987</v>
      </c>
      <c r="B479" s="29" t="s">
        <v>988</v>
      </c>
      <c r="C479" s="30" t="s">
        <v>26</v>
      </c>
      <c r="D479" s="40">
        <v>11994</v>
      </c>
      <c r="E479" s="26">
        <v>14302</v>
      </c>
      <c r="F479" s="26">
        <f t="shared" si="14"/>
        <v>26296</v>
      </c>
      <c r="G479" s="40">
        <v>13158</v>
      </c>
      <c r="H479" s="26">
        <v>14056</v>
      </c>
      <c r="I479" s="27">
        <f t="shared" si="15"/>
        <v>27214</v>
      </c>
      <c r="J479" s="40">
        <v>16040</v>
      </c>
      <c r="K479" s="26">
        <v>10100</v>
      </c>
      <c r="L479" s="27">
        <v>26140</v>
      </c>
      <c r="M479" s="26">
        <v>13589</v>
      </c>
      <c r="N479" s="26">
        <v>7957</v>
      </c>
      <c r="O479" s="27">
        <v>21546</v>
      </c>
      <c r="P479" s="26">
        <v>14900</v>
      </c>
      <c r="Q479" s="26">
        <v>14528</v>
      </c>
      <c r="R479" s="27">
        <v>29428</v>
      </c>
      <c r="S479" s="26">
        <v>13178</v>
      </c>
      <c r="T479" s="26">
        <v>16017</v>
      </c>
      <c r="U479" s="27">
        <v>29195</v>
      </c>
      <c r="V479" s="26">
        <v>14073</v>
      </c>
      <c r="W479" s="26">
        <v>15480</v>
      </c>
      <c r="X479" s="31">
        <v>29553</v>
      </c>
      <c r="Y479" s="16">
        <v>14715</v>
      </c>
      <c r="Z479" s="16">
        <v>14720</v>
      </c>
      <c r="AA479" s="31">
        <v>29435</v>
      </c>
      <c r="AB479" s="32">
        <v>14534</v>
      </c>
      <c r="AC479" s="16">
        <v>15017</v>
      </c>
      <c r="AD479" s="31">
        <v>29551</v>
      </c>
      <c r="AE479" s="16">
        <v>13880</v>
      </c>
      <c r="AF479" s="16">
        <v>14447</v>
      </c>
      <c r="AG479" s="31">
        <v>28327</v>
      </c>
      <c r="AH479" s="16">
        <v>13464</v>
      </c>
      <c r="AI479" s="16">
        <v>13567</v>
      </c>
      <c r="AJ479" s="31">
        <v>27031</v>
      </c>
      <c r="AK479" s="16">
        <v>13270</v>
      </c>
      <c r="AL479" s="16">
        <v>13473</v>
      </c>
      <c r="AM479" s="31">
        <v>26743</v>
      </c>
      <c r="AN479" s="16">
        <v>14882</v>
      </c>
      <c r="AO479" s="16">
        <v>14282</v>
      </c>
      <c r="AP479" s="31">
        <v>29164</v>
      </c>
      <c r="AQ479" s="42"/>
      <c r="AR479" s="43"/>
      <c r="AS479" s="42"/>
      <c r="AT479" s="42"/>
    </row>
    <row r="480" spans="1:46" ht="12.9" customHeight="1" x14ac:dyDescent="0.25">
      <c r="A480" s="28" t="s">
        <v>989</v>
      </c>
      <c r="B480" s="29" t="s">
        <v>990</v>
      </c>
      <c r="C480" s="30" t="s">
        <v>177</v>
      </c>
      <c r="D480" s="40">
        <v>210918</v>
      </c>
      <c r="E480" s="26">
        <v>640779</v>
      </c>
      <c r="F480" s="26">
        <f t="shared" si="14"/>
        <v>851697</v>
      </c>
      <c r="G480" s="40">
        <v>211706</v>
      </c>
      <c r="H480" s="26">
        <v>774975</v>
      </c>
      <c r="I480" s="27">
        <f t="shared" si="15"/>
        <v>986681</v>
      </c>
      <c r="J480" s="40">
        <v>216203</v>
      </c>
      <c r="K480" s="26">
        <v>790150</v>
      </c>
      <c r="L480" s="27">
        <v>1006353</v>
      </c>
      <c r="M480" s="26">
        <v>220596</v>
      </c>
      <c r="N480" s="26">
        <v>747836</v>
      </c>
      <c r="O480" s="27">
        <v>968432</v>
      </c>
      <c r="P480" s="26">
        <v>234743</v>
      </c>
      <c r="Q480" s="26">
        <v>656460</v>
      </c>
      <c r="R480" s="27">
        <v>891203</v>
      </c>
      <c r="S480" s="26">
        <v>222022</v>
      </c>
      <c r="T480" s="26">
        <v>674297</v>
      </c>
      <c r="U480" s="27">
        <v>896319</v>
      </c>
      <c r="V480" s="26">
        <v>222627</v>
      </c>
      <c r="W480" s="26">
        <v>624641</v>
      </c>
      <c r="X480" s="31">
        <v>847268</v>
      </c>
      <c r="Y480" s="16">
        <v>221346</v>
      </c>
      <c r="Z480" s="16">
        <v>637244</v>
      </c>
      <c r="AA480" s="31">
        <v>858590</v>
      </c>
      <c r="AB480" s="32">
        <v>232590</v>
      </c>
      <c r="AC480" s="16">
        <v>696318</v>
      </c>
      <c r="AD480" s="31">
        <v>928908</v>
      </c>
      <c r="AE480" s="16">
        <v>232265</v>
      </c>
      <c r="AF480" s="16">
        <v>611226</v>
      </c>
      <c r="AG480" s="31">
        <v>843491</v>
      </c>
      <c r="AH480" s="16">
        <v>230230</v>
      </c>
      <c r="AI480" s="16">
        <v>577357</v>
      </c>
      <c r="AJ480" s="31">
        <v>807587</v>
      </c>
      <c r="AK480" s="16">
        <v>229607</v>
      </c>
      <c r="AL480" s="16">
        <v>541322</v>
      </c>
      <c r="AM480" s="31">
        <v>770929</v>
      </c>
      <c r="AN480" s="16">
        <v>251762</v>
      </c>
      <c r="AO480" s="16">
        <v>573515</v>
      </c>
      <c r="AP480" s="31">
        <v>825277</v>
      </c>
      <c r="AQ480" s="42"/>
      <c r="AR480" s="43"/>
      <c r="AS480" s="42"/>
      <c r="AT480" s="42"/>
    </row>
    <row r="481" spans="1:46" ht="12.9" customHeight="1" x14ac:dyDescent="0.25">
      <c r="A481" s="28" t="s">
        <v>991</v>
      </c>
      <c r="B481" s="29" t="s">
        <v>992</v>
      </c>
      <c r="C481" s="30" t="s">
        <v>177</v>
      </c>
      <c r="D481" s="40">
        <v>131431</v>
      </c>
      <c r="E481" s="26">
        <v>159789</v>
      </c>
      <c r="F481" s="26">
        <f t="shared" si="14"/>
        <v>291220</v>
      </c>
      <c r="G481" s="40">
        <v>123246</v>
      </c>
      <c r="H481" s="26">
        <v>146143</v>
      </c>
      <c r="I481" s="27">
        <f t="shared" si="15"/>
        <v>269389</v>
      </c>
      <c r="J481" s="40">
        <v>124102</v>
      </c>
      <c r="K481" s="26">
        <v>159699</v>
      </c>
      <c r="L481" s="27">
        <v>283801</v>
      </c>
      <c r="M481" s="26">
        <v>128602</v>
      </c>
      <c r="N481" s="26">
        <v>222020</v>
      </c>
      <c r="O481" s="27">
        <v>350622</v>
      </c>
      <c r="P481" s="26">
        <v>135443</v>
      </c>
      <c r="Q481" s="26">
        <v>141653</v>
      </c>
      <c r="R481" s="27">
        <v>277096</v>
      </c>
      <c r="S481" s="26">
        <v>131201</v>
      </c>
      <c r="T481" s="26">
        <v>200160</v>
      </c>
      <c r="U481" s="27">
        <v>331361</v>
      </c>
      <c r="V481" s="26">
        <v>124108</v>
      </c>
      <c r="W481" s="26">
        <v>236357</v>
      </c>
      <c r="X481" s="31">
        <v>360465</v>
      </c>
      <c r="Y481" s="16">
        <v>121298</v>
      </c>
      <c r="Z481" s="16">
        <v>219010</v>
      </c>
      <c r="AA481" s="31">
        <v>340308</v>
      </c>
      <c r="AB481" s="32">
        <v>125939</v>
      </c>
      <c r="AC481" s="16">
        <v>165433</v>
      </c>
      <c r="AD481" s="31">
        <v>291372</v>
      </c>
      <c r="AE481" s="16">
        <v>121959</v>
      </c>
      <c r="AF481" s="16">
        <v>161401</v>
      </c>
      <c r="AG481" s="31">
        <v>283360</v>
      </c>
      <c r="AH481" s="16">
        <v>128977</v>
      </c>
      <c r="AI481" s="16">
        <v>159424</v>
      </c>
      <c r="AJ481" s="31">
        <v>288401</v>
      </c>
      <c r="AK481" s="16">
        <v>126164</v>
      </c>
      <c r="AL481" s="16">
        <v>165482</v>
      </c>
      <c r="AM481" s="31">
        <v>291646</v>
      </c>
      <c r="AN481" s="16">
        <v>131329</v>
      </c>
      <c r="AO481" s="16">
        <v>143438</v>
      </c>
      <c r="AP481" s="31">
        <v>274767</v>
      </c>
      <c r="AQ481" s="42"/>
      <c r="AR481" s="43"/>
      <c r="AS481" s="42"/>
      <c r="AT481" s="42"/>
    </row>
    <row r="482" spans="1:46" ht="12.9" customHeight="1" x14ac:dyDescent="0.25">
      <c r="A482" s="28" t="s">
        <v>993</v>
      </c>
      <c r="B482" s="29" t="s">
        <v>994</v>
      </c>
      <c r="C482" s="30" t="s">
        <v>120</v>
      </c>
      <c r="D482" s="40">
        <v>126617.60000000001</v>
      </c>
      <c r="E482" s="26">
        <v>6794946</v>
      </c>
      <c r="F482" s="26">
        <f t="shared" si="14"/>
        <v>6921563.5999999996</v>
      </c>
      <c r="G482" s="40">
        <f>86903+31654</f>
        <v>118557</v>
      </c>
      <c r="H482" s="26">
        <v>7724679</v>
      </c>
      <c r="I482" s="27">
        <f t="shared" si="15"/>
        <v>7843236</v>
      </c>
      <c r="J482" s="40">
        <v>128042</v>
      </c>
      <c r="K482" s="26">
        <v>8318561</v>
      </c>
      <c r="L482" s="27">
        <v>8446603</v>
      </c>
      <c r="M482" s="26">
        <v>115858</v>
      </c>
      <c r="N482" s="26">
        <v>8356913</v>
      </c>
      <c r="O482" s="27">
        <v>8472771</v>
      </c>
      <c r="P482" s="26">
        <v>127440</v>
      </c>
      <c r="Q482" s="26">
        <v>7750570</v>
      </c>
      <c r="R482" s="27">
        <v>7878010</v>
      </c>
      <c r="S482" s="26">
        <v>127440</v>
      </c>
      <c r="T482" s="26">
        <v>8269718</v>
      </c>
      <c r="U482" s="27">
        <v>8397158</v>
      </c>
      <c r="V482" s="26">
        <v>129530</v>
      </c>
      <c r="W482" s="26">
        <v>7349011</v>
      </c>
      <c r="X482" s="31">
        <v>7478541</v>
      </c>
      <c r="Y482" s="16">
        <v>118124</v>
      </c>
      <c r="Z482" s="16">
        <v>8696674</v>
      </c>
      <c r="AA482" s="31">
        <v>8814798</v>
      </c>
      <c r="AB482" s="32">
        <v>115406</v>
      </c>
      <c r="AC482" s="16">
        <v>8093280</v>
      </c>
      <c r="AD482" s="31">
        <v>8208686</v>
      </c>
      <c r="AE482" s="16">
        <v>127508</v>
      </c>
      <c r="AF482" s="16">
        <v>7983150</v>
      </c>
      <c r="AG482" s="31">
        <v>8110658</v>
      </c>
      <c r="AH482" s="16">
        <v>118144</v>
      </c>
      <c r="AI482" s="16">
        <v>7203600</v>
      </c>
      <c r="AJ482" s="31">
        <v>7321744</v>
      </c>
      <c r="AK482" s="16">
        <v>126063</v>
      </c>
      <c r="AL482" s="16">
        <v>6702496</v>
      </c>
      <c r="AM482" s="31">
        <v>6828559</v>
      </c>
      <c r="AN482" s="16">
        <v>126063</v>
      </c>
      <c r="AO482" s="16">
        <v>7701791</v>
      </c>
      <c r="AP482" s="31">
        <v>7827854</v>
      </c>
      <c r="AQ482" s="42"/>
      <c r="AR482" s="43"/>
      <c r="AS482" s="42"/>
      <c r="AT482" s="42"/>
    </row>
    <row r="483" spans="1:46" ht="12.9" customHeight="1" x14ac:dyDescent="0.25">
      <c r="A483" s="28" t="s">
        <v>995</v>
      </c>
      <c r="B483" s="29" t="s">
        <v>996</v>
      </c>
      <c r="C483" s="30" t="s">
        <v>249</v>
      </c>
      <c r="D483" s="40">
        <v>11858</v>
      </c>
      <c r="E483" s="26">
        <v>10578</v>
      </c>
      <c r="F483" s="26">
        <f t="shared" si="14"/>
        <v>22436</v>
      </c>
      <c r="G483" s="40">
        <v>12510</v>
      </c>
      <c r="H483" s="26">
        <v>5736</v>
      </c>
      <c r="I483" s="27">
        <f t="shared" si="15"/>
        <v>18246</v>
      </c>
      <c r="J483" s="40">
        <v>13248</v>
      </c>
      <c r="K483" s="26">
        <v>4719</v>
      </c>
      <c r="L483" s="27">
        <v>17967</v>
      </c>
      <c r="M483" s="26">
        <v>12415</v>
      </c>
      <c r="N483" s="26">
        <v>4859</v>
      </c>
      <c r="O483" s="27">
        <v>17274</v>
      </c>
      <c r="P483" s="26">
        <v>12489</v>
      </c>
      <c r="Q483" s="26">
        <v>4203</v>
      </c>
      <c r="R483" s="27">
        <v>16692</v>
      </c>
      <c r="S483" s="26">
        <v>12219</v>
      </c>
      <c r="T483" s="26">
        <v>5951</v>
      </c>
      <c r="U483" s="27">
        <v>18170</v>
      </c>
      <c r="V483" s="26">
        <v>12369</v>
      </c>
      <c r="W483" s="26">
        <v>6201</v>
      </c>
      <c r="X483" s="31">
        <v>18570</v>
      </c>
      <c r="Y483" s="16">
        <v>12594</v>
      </c>
      <c r="Z483" s="16">
        <v>4958</v>
      </c>
      <c r="AA483" s="31">
        <v>17552</v>
      </c>
      <c r="AB483" s="32">
        <v>13209</v>
      </c>
      <c r="AC483" s="16">
        <v>7015</v>
      </c>
      <c r="AD483" s="31">
        <v>20224</v>
      </c>
      <c r="AE483" s="16">
        <v>11315</v>
      </c>
      <c r="AF483" s="16">
        <v>7820</v>
      </c>
      <c r="AG483" s="31">
        <v>19135</v>
      </c>
      <c r="AH483" s="16">
        <v>11004</v>
      </c>
      <c r="AI483" s="16">
        <v>5109</v>
      </c>
      <c r="AJ483" s="31">
        <v>16113</v>
      </c>
      <c r="AK483" s="16">
        <v>10566</v>
      </c>
      <c r="AL483" s="16">
        <v>766</v>
      </c>
      <c r="AM483" s="31">
        <v>11332</v>
      </c>
      <c r="AN483" s="16">
        <v>10566</v>
      </c>
      <c r="AO483" s="16">
        <v>970</v>
      </c>
      <c r="AP483" s="31">
        <v>11536</v>
      </c>
      <c r="AQ483" s="42"/>
      <c r="AR483" s="43"/>
      <c r="AS483" s="42"/>
      <c r="AT483" s="42"/>
    </row>
    <row r="484" spans="1:46" ht="12.9" customHeight="1" x14ac:dyDescent="0.25">
      <c r="A484" s="28" t="s">
        <v>997</v>
      </c>
      <c r="B484" s="29" t="s">
        <v>998</v>
      </c>
      <c r="C484" s="30" t="s">
        <v>113</v>
      </c>
      <c r="D484" s="40">
        <v>27002</v>
      </c>
      <c r="E484" s="26">
        <v>17714</v>
      </c>
      <c r="F484" s="26">
        <f t="shared" si="14"/>
        <v>44716</v>
      </c>
      <c r="G484" s="40">
        <v>31218</v>
      </c>
      <c r="H484" s="26">
        <v>16050</v>
      </c>
      <c r="I484" s="27">
        <f t="shared" si="15"/>
        <v>47268</v>
      </c>
      <c r="J484" s="40">
        <v>34931</v>
      </c>
      <c r="K484" s="26">
        <v>19182</v>
      </c>
      <c r="L484" s="27">
        <v>54113</v>
      </c>
      <c r="M484" s="26">
        <v>36495</v>
      </c>
      <c r="N484" s="26">
        <v>15495</v>
      </c>
      <c r="O484" s="27">
        <v>51990</v>
      </c>
      <c r="P484" s="26">
        <v>30046</v>
      </c>
      <c r="Q484" s="26">
        <v>14955</v>
      </c>
      <c r="R484" s="27">
        <v>45001</v>
      </c>
      <c r="S484" s="26">
        <v>26080</v>
      </c>
      <c r="T484" s="26">
        <v>11936</v>
      </c>
      <c r="U484" s="27">
        <v>38016</v>
      </c>
      <c r="V484" s="26">
        <v>29019</v>
      </c>
      <c r="W484" s="26">
        <v>11135</v>
      </c>
      <c r="X484" s="31">
        <v>40154</v>
      </c>
      <c r="Y484" s="16">
        <v>25280</v>
      </c>
      <c r="Z484" s="16">
        <v>22924</v>
      </c>
      <c r="AA484" s="31">
        <v>48204</v>
      </c>
      <c r="AB484" s="32">
        <v>23112</v>
      </c>
      <c r="AC484" s="16">
        <v>31223</v>
      </c>
      <c r="AD484" s="31">
        <v>54335</v>
      </c>
      <c r="AE484" s="16">
        <v>24399</v>
      </c>
      <c r="AF484" s="16">
        <v>28151</v>
      </c>
      <c r="AG484" s="31">
        <v>52550</v>
      </c>
      <c r="AH484" s="16">
        <v>20541</v>
      </c>
      <c r="AI484" s="16">
        <v>28615</v>
      </c>
      <c r="AJ484" s="31">
        <v>49156</v>
      </c>
      <c r="AK484" s="16">
        <v>38424</v>
      </c>
      <c r="AL484" s="16">
        <v>244</v>
      </c>
      <c r="AM484" s="31">
        <v>38668</v>
      </c>
      <c r="AN484" s="16">
        <v>38424</v>
      </c>
      <c r="AO484" s="16">
        <v>368</v>
      </c>
      <c r="AP484" s="31">
        <v>38792</v>
      </c>
      <c r="AQ484" s="42"/>
      <c r="AR484" s="43"/>
      <c r="AS484" s="42"/>
      <c r="AT484" s="42"/>
    </row>
    <row r="485" spans="1:46" ht="12.9" customHeight="1" x14ac:dyDescent="0.25">
      <c r="A485" s="28" t="s">
        <v>999</v>
      </c>
      <c r="B485" s="29" t="s">
        <v>1000</v>
      </c>
      <c r="C485" s="30" t="s">
        <v>20</v>
      </c>
      <c r="D485" s="40">
        <v>12658</v>
      </c>
      <c r="E485" s="26">
        <v>5193</v>
      </c>
      <c r="F485" s="26">
        <f t="shared" si="14"/>
        <v>17851</v>
      </c>
      <c r="G485" s="40">
        <v>13768</v>
      </c>
      <c r="H485" s="26">
        <v>5245</v>
      </c>
      <c r="I485" s="27">
        <f t="shared" si="15"/>
        <v>19013</v>
      </c>
      <c r="J485" s="40">
        <v>15340</v>
      </c>
      <c r="K485" s="26">
        <v>6606</v>
      </c>
      <c r="L485" s="27">
        <v>21946</v>
      </c>
      <c r="M485" s="26">
        <v>15799</v>
      </c>
      <c r="N485" s="26">
        <v>4697</v>
      </c>
      <c r="O485" s="27">
        <v>20496</v>
      </c>
      <c r="P485" s="26">
        <v>15731</v>
      </c>
      <c r="Q485" s="26">
        <v>4352</v>
      </c>
      <c r="R485" s="27">
        <v>20083</v>
      </c>
      <c r="S485" s="26">
        <v>15079</v>
      </c>
      <c r="T485" s="26">
        <v>5019</v>
      </c>
      <c r="U485" s="27">
        <v>20098</v>
      </c>
      <c r="V485" s="26">
        <v>12514</v>
      </c>
      <c r="W485" s="26">
        <v>4205</v>
      </c>
      <c r="X485" s="31">
        <v>16719</v>
      </c>
      <c r="Y485" s="16">
        <v>14692</v>
      </c>
      <c r="Z485" s="16">
        <v>4707</v>
      </c>
      <c r="AA485" s="31">
        <v>19399</v>
      </c>
      <c r="AB485" s="32">
        <v>14293</v>
      </c>
      <c r="AC485" s="16">
        <v>5529</v>
      </c>
      <c r="AD485" s="31">
        <v>19822</v>
      </c>
      <c r="AE485" s="16">
        <v>13523</v>
      </c>
      <c r="AF485" s="16">
        <v>6721</v>
      </c>
      <c r="AG485" s="31">
        <v>20244</v>
      </c>
      <c r="AH485" s="16">
        <v>12928</v>
      </c>
      <c r="AI485" s="16">
        <v>4967</v>
      </c>
      <c r="AJ485" s="31">
        <v>17895</v>
      </c>
      <c r="AK485" s="16">
        <v>10637</v>
      </c>
      <c r="AL485" s="16">
        <v>3600</v>
      </c>
      <c r="AM485" s="31">
        <v>14237</v>
      </c>
      <c r="AN485" s="16">
        <v>13017</v>
      </c>
      <c r="AO485" s="16">
        <v>4102</v>
      </c>
      <c r="AP485" s="31">
        <v>17119</v>
      </c>
      <c r="AQ485" s="42"/>
      <c r="AR485" s="43"/>
      <c r="AS485" s="42"/>
      <c r="AT485" s="42"/>
    </row>
    <row r="486" spans="1:46" ht="12.9" customHeight="1" x14ac:dyDescent="0.25">
      <c r="A486" s="28" t="s">
        <v>1001</v>
      </c>
      <c r="B486" s="29" t="s">
        <v>1002</v>
      </c>
      <c r="C486" s="30" t="s">
        <v>17</v>
      </c>
      <c r="D486" s="40">
        <v>4582</v>
      </c>
      <c r="E486" s="26">
        <v>2074</v>
      </c>
      <c r="F486" s="26">
        <f t="shared" si="14"/>
        <v>6656</v>
      </c>
      <c r="G486" s="40">
        <v>3052</v>
      </c>
      <c r="H486" s="26">
        <v>1182</v>
      </c>
      <c r="I486" s="27">
        <f t="shared" si="15"/>
        <v>4234</v>
      </c>
      <c r="J486" s="40">
        <v>5499.333333333333</v>
      </c>
      <c r="K486" s="26">
        <v>1117</v>
      </c>
      <c r="L486" s="27">
        <v>6616.333333333333</v>
      </c>
      <c r="M486" s="26">
        <v>4813</v>
      </c>
      <c r="N486" s="26">
        <v>650</v>
      </c>
      <c r="O486" s="27">
        <v>5463</v>
      </c>
      <c r="P486" s="26">
        <v>4271</v>
      </c>
      <c r="Q486" s="26">
        <v>1316</v>
      </c>
      <c r="R486" s="27">
        <v>5587</v>
      </c>
      <c r="S486" s="26">
        <v>4281</v>
      </c>
      <c r="T486" s="26">
        <v>1573</v>
      </c>
      <c r="U486" s="27">
        <v>5854</v>
      </c>
      <c r="V486" s="26">
        <v>4463</v>
      </c>
      <c r="W486" s="26">
        <v>1217</v>
      </c>
      <c r="X486" s="31">
        <v>5680</v>
      </c>
      <c r="Y486" s="16">
        <v>4321</v>
      </c>
      <c r="Z486" s="16">
        <v>890</v>
      </c>
      <c r="AA486" s="31">
        <v>5211</v>
      </c>
      <c r="AB486" s="32">
        <v>4836</v>
      </c>
      <c r="AC486" s="16">
        <v>8621</v>
      </c>
      <c r="AD486" s="31">
        <v>13457</v>
      </c>
      <c r="AE486" s="16">
        <v>4778</v>
      </c>
      <c r="AF486" s="16">
        <v>6771</v>
      </c>
      <c r="AG486" s="31">
        <v>11549</v>
      </c>
      <c r="AH486" s="16">
        <v>5099</v>
      </c>
      <c r="AI486" s="16">
        <v>6172</v>
      </c>
      <c r="AJ486" s="31">
        <v>11271</v>
      </c>
      <c r="AK486" s="16">
        <v>5366</v>
      </c>
      <c r="AL486" s="16">
        <v>618</v>
      </c>
      <c r="AM486" s="31">
        <v>5984</v>
      </c>
      <c r="AN486" s="16">
        <v>5366</v>
      </c>
      <c r="AO486" s="16">
        <v>618</v>
      </c>
      <c r="AP486" s="31">
        <v>5984</v>
      </c>
      <c r="AQ486" s="42"/>
      <c r="AR486" s="43"/>
      <c r="AS486" s="42"/>
      <c r="AT486" s="42"/>
    </row>
    <row r="487" spans="1:46" ht="12.9" customHeight="1" x14ac:dyDescent="0.25">
      <c r="A487" s="28" t="s">
        <v>1003</v>
      </c>
      <c r="B487" s="29" t="s">
        <v>1004</v>
      </c>
      <c r="C487" s="30" t="s">
        <v>166</v>
      </c>
      <c r="D487" s="40">
        <v>595602</v>
      </c>
      <c r="E487" s="26">
        <v>778138</v>
      </c>
      <c r="F487" s="26">
        <f t="shared" si="14"/>
        <v>1373740</v>
      </c>
      <c r="G487" s="40">
        <v>596484</v>
      </c>
      <c r="H487" s="26">
        <v>855658</v>
      </c>
      <c r="I487" s="27">
        <f t="shared" si="15"/>
        <v>1452142</v>
      </c>
      <c r="J487" s="40">
        <v>592830</v>
      </c>
      <c r="K487" s="26">
        <v>681941</v>
      </c>
      <c r="L487" s="27">
        <v>1274771</v>
      </c>
      <c r="M487" s="26">
        <v>592830</v>
      </c>
      <c r="N487" s="26">
        <v>708842</v>
      </c>
      <c r="O487" s="27">
        <v>1301672</v>
      </c>
      <c r="P487" s="26">
        <v>593334</v>
      </c>
      <c r="Q487" s="26">
        <v>827554</v>
      </c>
      <c r="R487" s="27">
        <v>1420888</v>
      </c>
      <c r="S487" s="26">
        <v>574056</v>
      </c>
      <c r="T487" s="26">
        <v>956525</v>
      </c>
      <c r="U487" s="27">
        <v>1530581</v>
      </c>
      <c r="V487" s="26">
        <v>574056</v>
      </c>
      <c r="W487" s="26">
        <v>754332</v>
      </c>
      <c r="X487" s="31">
        <v>1328388</v>
      </c>
      <c r="Y487" s="16">
        <v>574182</v>
      </c>
      <c r="Z487" s="16">
        <v>897275</v>
      </c>
      <c r="AA487" s="31">
        <v>1471457</v>
      </c>
      <c r="AB487" s="32">
        <v>543823</v>
      </c>
      <c r="AC487" s="16">
        <v>769790</v>
      </c>
      <c r="AD487" s="31">
        <v>1313613</v>
      </c>
      <c r="AE487" s="16">
        <v>486648</v>
      </c>
      <c r="AF487" s="16">
        <v>413528</v>
      </c>
      <c r="AG487" s="31">
        <v>900176</v>
      </c>
      <c r="AH487" s="16">
        <v>483300</v>
      </c>
      <c r="AI487" s="16">
        <v>330204</v>
      </c>
      <c r="AJ487" s="31">
        <v>813504</v>
      </c>
      <c r="AK487" s="16">
        <v>486324</v>
      </c>
      <c r="AL487" s="16">
        <v>320138</v>
      </c>
      <c r="AM487" s="31">
        <v>806462</v>
      </c>
      <c r="AN487" s="16">
        <v>486324</v>
      </c>
      <c r="AO487" s="16">
        <v>496200</v>
      </c>
      <c r="AP487" s="31">
        <v>982524</v>
      </c>
      <c r="AQ487" s="42"/>
      <c r="AR487" s="43"/>
      <c r="AS487" s="42"/>
      <c r="AT487" s="42"/>
    </row>
    <row r="488" spans="1:46" ht="12.9" customHeight="1" x14ac:dyDescent="0.25">
      <c r="A488" s="28" t="s">
        <v>1005</v>
      </c>
      <c r="B488" s="29" t="s">
        <v>1006</v>
      </c>
      <c r="C488" s="30" t="s">
        <v>20</v>
      </c>
      <c r="D488" s="40">
        <v>214008</v>
      </c>
      <c r="E488" s="26">
        <v>138682</v>
      </c>
      <c r="F488" s="26">
        <f t="shared" si="14"/>
        <v>352690</v>
      </c>
      <c r="G488" s="40">
        <v>219938</v>
      </c>
      <c r="H488" s="26">
        <v>117801</v>
      </c>
      <c r="I488" s="27">
        <f t="shared" si="15"/>
        <v>337739</v>
      </c>
      <c r="J488" s="40">
        <v>231342</v>
      </c>
      <c r="K488" s="26">
        <v>124537</v>
      </c>
      <c r="L488" s="27">
        <v>355879</v>
      </c>
      <c r="M488" s="26">
        <v>247565</v>
      </c>
      <c r="N488" s="26">
        <v>124996</v>
      </c>
      <c r="O488" s="27">
        <v>372561</v>
      </c>
      <c r="P488" s="26">
        <v>250384</v>
      </c>
      <c r="Q488" s="26">
        <v>97031</v>
      </c>
      <c r="R488" s="27">
        <v>347415</v>
      </c>
      <c r="S488" s="26">
        <v>235768</v>
      </c>
      <c r="T488" s="26">
        <v>115854</v>
      </c>
      <c r="U488" s="27">
        <v>351622</v>
      </c>
      <c r="V488" s="26">
        <v>224253</v>
      </c>
      <c r="W488" s="26">
        <v>91313</v>
      </c>
      <c r="X488" s="31">
        <v>315566</v>
      </c>
      <c r="Y488" s="16">
        <v>234923</v>
      </c>
      <c r="Z488" s="16">
        <v>80064</v>
      </c>
      <c r="AA488" s="31">
        <v>314987</v>
      </c>
      <c r="AB488" s="32">
        <v>229329</v>
      </c>
      <c r="AC488" s="16">
        <v>76600</v>
      </c>
      <c r="AD488" s="31">
        <v>305929</v>
      </c>
      <c r="AE488" s="16">
        <v>234981</v>
      </c>
      <c r="AF488" s="16">
        <v>74795</v>
      </c>
      <c r="AG488" s="31">
        <v>309776</v>
      </c>
      <c r="AH488" s="16">
        <v>232427</v>
      </c>
      <c r="AI488" s="16">
        <v>97630</v>
      </c>
      <c r="AJ488" s="31">
        <v>330057</v>
      </c>
      <c r="AK488" s="16">
        <v>225636</v>
      </c>
      <c r="AL488" s="16">
        <v>46670</v>
      </c>
      <c r="AM488" s="31">
        <v>272306</v>
      </c>
      <c r="AN488" s="16">
        <v>239023</v>
      </c>
      <c r="AO488" s="16">
        <v>38220</v>
      </c>
      <c r="AP488" s="31">
        <v>277243</v>
      </c>
      <c r="AQ488" s="42"/>
      <c r="AR488" s="43"/>
      <c r="AS488" s="42"/>
      <c r="AT488" s="42"/>
    </row>
    <row r="489" spans="1:46" ht="12.9" customHeight="1" x14ac:dyDescent="0.25">
      <c r="A489" s="28" t="s">
        <v>1007</v>
      </c>
      <c r="B489" s="29" t="s">
        <v>1008</v>
      </c>
      <c r="C489" s="30" t="s">
        <v>20</v>
      </c>
      <c r="D489" s="40">
        <v>220567</v>
      </c>
      <c r="E489" s="26">
        <v>121053</v>
      </c>
      <c r="F489" s="26">
        <f t="shared" si="14"/>
        <v>341620</v>
      </c>
      <c r="G489" s="40">
        <v>231838</v>
      </c>
      <c r="H489" s="26">
        <v>141805</v>
      </c>
      <c r="I489" s="27">
        <f t="shared" si="15"/>
        <v>373643</v>
      </c>
      <c r="J489" s="40">
        <v>239116</v>
      </c>
      <c r="K489" s="26">
        <v>132189</v>
      </c>
      <c r="L489" s="27">
        <v>371305</v>
      </c>
      <c r="M489" s="26">
        <v>250773</v>
      </c>
      <c r="N489" s="26">
        <v>127098</v>
      </c>
      <c r="O489" s="27">
        <v>377871</v>
      </c>
      <c r="P489" s="26">
        <v>249231</v>
      </c>
      <c r="Q489" s="26">
        <v>112693</v>
      </c>
      <c r="R489" s="27">
        <v>361924</v>
      </c>
      <c r="S489" s="26">
        <v>235436</v>
      </c>
      <c r="T489" s="26">
        <v>130497</v>
      </c>
      <c r="U489" s="27">
        <v>365933</v>
      </c>
      <c r="V489" s="26">
        <v>226071</v>
      </c>
      <c r="W489" s="26">
        <v>122673</v>
      </c>
      <c r="X489" s="31">
        <v>348744</v>
      </c>
      <c r="Y489" s="16">
        <v>227461</v>
      </c>
      <c r="Z489" s="16">
        <v>126751</v>
      </c>
      <c r="AA489" s="31">
        <v>354212</v>
      </c>
      <c r="AB489" s="32">
        <v>232244</v>
      </c>
      <c r="AC489" s="16">
        <v>130512</v>
      </c>
      <c r="AD489" s="31">
        <v>362756</v>
      </c>
      <c r="AE489" s="16">
        <v>228986</v>
      </c>
      <c r="AF489" s="16">
        <v>127151</v>
      </c>
      <c r="AG489" s="31">
        <v>356137</v>
      </c>
      <c r="AH489" s="16">
        <v>226574</v>
      </c>
      <c r="AI489" s="16">
        <v>120265</v>
      </c>
      <c r="AJ489" s="31">
        <v>346839</v>
      </c>
      <c r="AK489" s="16">
        <v>228489</v>
      </c>
      <c r="AL489" s="16">
        <v>100698</v>
      </c>
      <c r="AM489" s="31">
        <v>329187</v>
      </c>
      <c r="AN489" s="16">
        <v>240210</v>
      </c>
      <c r="AO489" s="16">
        <v>88243</v>
      </c>
      <c r="AP489" s="31">
        <v>328453</v>
      </c>
      <c r="AQ489" s="42"/>
      <c r="AR489" s="43"/>
      <c r="AS489" s="42"/>
      <c r="AT489" s="42"/>
    </row>
    <row r="490" spans="1:46" ht="12.9" customHeight="1" x14ac:dyDescent="0.25">
      <c r="A490" s="28" t="s">
        <v>1009</v>
      </c>
      <c r="B490" s="29" t="s">
        <v>1010</v>
      </c>
      <c r="C490" s="30" t="s">
        <v>23</v>
      </c>
      <c r="D490" s="40">
        <v>98769</v>
      </c>
      <c r="E490" s="26">
        <v>151732</v>
      </c>
      <c r="F490" s="26">
        <f t="shared" si="14"/>
        <v>250501</v>
      </c>
      <c r="G490" s="40">
        <v>100322</v>
      </c>
      <c r="H490" s="26">
        <v>148999</v>
      </c>
      <c r="I490" s="27">
        <f t="shared" si="15"/>
        <v>249321</v>
      </c>
      <c r="J490" s="40">
        <v>114954</v>
      </c>
      <c r="K490" s="26">
        <v>230223</v>
      </c>
      <c r="L490" s="27">
        <v>345177</v>
      </c>
      <c r="M490" s="26">
        <v>149036</v>
      </c>
      <c r="N490" s="26">
        <v>243252</v>
      </c>
      <c r="O490" s="27">
        <v>392288</v>
      </c>
      <c r="P490" s="26">
        <v>115232</v>
      </c>
      <c r="Q490" s="26">
        <v>225672</v>
      </c>
      <c r="R490" s="27">
        <v>340904</v>
      </c>
      <c r="S490" s="26">
        <v>133226</v>
      </c>
      <c r="T490" s="26">
        <v>247824</v>
      </c>
      <c r="U490" s="27">
        <v>381050</v>
      </c>
      <c r="V490" s="26">
        <v>107071</v>
      </c>
      <c r="W490" s="26">
        <v>233749</v>
      </c>
      <c r="X490" s="31">
        <v>340820</v>
      </c>
      <c r="Y490" s="16">
        <v>108490</v>
      </c>
      <c r="Z490" s="16">
        <v>263689</v>
      </c>
      <c r="AA490" s="31">
        <v>372179</v>
      </c>
      <c r="AB490" s="32">
        <v>117163</v>
      </c>
      <c r="AC490" s="16">
        <v>243080</v>
      </c>
      <c r="AD490" s="31">
        <v>360243</v>
      </c>
      <c r="AE490" s="16">
        <v>109373</v>
      </c>
      <c r="AF490" s="16">
        <v>215202</v>
      </c>
      <c r="AG490" s="31">
        <v>324575</v>
      </c>
      <c r="AH490" s="16">
        <v>99425</v>
      </c>
      <c r="AI490" s="16">
        <v>188364</v>
      </c>
      <c r="AJ490" s="31">
        <v>287789</v>
      </c>
      <c r="AK490" s="16">
        <v>95427</v>
      </c>
      <c r="AL490" s="16">
        <v>202842</v>
      </c>
      <c r="AM490" s="31">
        <v>298269</v>
      </c>
      <c r="AN490" s="16">
        <v>140892</v>
      </c>
      <c r="AO490" s="16">
        <v>191137</v>
      </c>
      <c r="AP490" s="31">
        <v>332029</v>
      </c>
      <c r="AQ490" s="42"/>
      <c r="AR490" s="43"/>
      <c r="AS490" s="42"/>
      <c r="AT490" s="42"/>
    </row>
    <row r="491" spans="1:46" ht="12.9" customHeight="1" x14ac:dyDescent="0.25">
      <c r="A491" s="28" t="s">
        <v>1011</v>
      </c>
      <c r="B491" s="29" t="s">
        <v>1012</v>
      </c>
      <c r="C491" s="30" t="s">
        <v>438</v>
      </c>
      <c r="D491" s="40">
        <v>9132</v>
      </c>
      <c r="E491" s="26">
        <v>84477</v>
      </c>
      <c r="F491" s="26">
        <f t="shared" si="14"/>
        <v>93609</v>
      </c>
      <c r="G491" s="40">
        <v>12568</v>
      </c>
      <c r="H491" s="26">
        <v>104973</v>
      </c>
      <c r="I491" s="27">
        <f t="shared" si="15"/>
        <v>117541</v>
      </c>
      <c r="J491" s="40">
        <v>16685</v>
      </c>
      <c r="K491" s="26">
        <v>132606</v>
      </c>
      <c r="L491" s="27">
        <v>149291</v>
      </c>
      <c r="M491" s="26">
        <v>11630</v>
      </c>
      <c r="N491" s="26">
        <v>97252</v>
      </c>
      <c r="O491" s="27">
        <v>108882</v>
      </c>
      <c r="P491" s="26">
        <v>8767</v>
      </c>
      <c r="Q491" s="26">
        <v>81751</v>
      </c>
      <c r="R491" s="27">
        <v>90518</v>
      </c>
      <c r="S491" s="26">
        <v>13755</v>
      </c>
      <c r="T491" s="26">
        <v>26220</v>
      </c>
      <c r="U491" s="27">
        <v>39975</v>
      </c>
      <c r="V491" s="26">
        <v>14982</v>
      </c>
      <c r="W491" s="26">
        <v>21947</v>
      </c>
      <c r="X491" s="31">
        <v>36929</v>
      </c>
      <c r="Y491" s="16">
        <v>13275</v>
      </c>
      <c r="Z491" s="16">
        <v>21333</v>
      </c>
      <c r="AA491" s="31">
        <v>34608</v>
      </c>
      <c r="AB491" s="32">
        <v>10768</v>
      </c>
      <c r="AC491" s="16">
        <v>44795</v>
      </c>
      <c r="AD491" s="31">
        <v>55563</v>
      </c>
      <c r="AE491" s="16">
        <v>11657</v>
      </c>
      <c r="AF491" s="16">
        <v>3844</v>
      </c>
      <c r="AG491" s="31">
        <v>15501</v>
      </c>
      <c r="AH491" s="16">
        <v>11657</v>
      </c>
      <c r="AI491" s="16">
        <v>48417</v>
      </c>
      <c r="AJ491" s="31">
        <v>60074</v>
      </c>
      <c r="AK491" s="16">
        <v>11657</v>
      </c>
      <c r="AL491" s="16">
        <v>19337</v>
      </c>
      <c r="AM491" s="31">
        <v>30994</v>
      </c>
      <c r="AN491" s="16">
        <v>24890</v>
      </c>
      <c r="AO491" s="16">
        <v>16044</v>
      </c>
      <c r="AP491" s="31">
        <v>40934</v>
      </c>
      <c r="AQ491" s="42"/>
      <c r="AR491" s="43"/>
      <c r="AS491" s="42"/>
      <c r="AT491" s="42"/>
    </row>
    <row r="492" spans="1:46" ht="12.9" customHeight="1" x14ac:dyDescent="0.25">
      <c r="A492" s="28" t="s">
        <v>1013</v>
      </c>
      <c r="B492" s="29" t="s">
        <v>1014</v>
      </c>
      <c r="C492" s="30" t="s">
        <v>184</v>
      </c>
      <c r="D492" s="40">
        <v>5161</v>
      </c>
      <c r="E492" s="26">
        <v>2650</v>
      </c>
      <c r="F492" s="26">
        <f t="shared" si="14"/>
        <v>7811</v>
      </c>
      <c r="G492" s="40">
        <v>5558</v>
      </c>
      <c r="H492" s="26">
        <v>2511</v>
      </c>
      <c r="I492" s="27">
        <f t="shared" si="15"/>
        <v>8069</v>
      </c>
      <c r="J492" s="40">
        <v>5964</v>
      </c>
      <c r="K492" s="26">
        <v>2281</v>
      </c>
      <c r="L492" s="27">
        <v>8245</v>
      </c>
      <c r="M492" s="26">
        <v>6043</v>
      </c>
      <c r="N492" s="26">
        <v>2297</v>
      </c>
      <c r="O492" s="27">
        <v>8340</v>
      </c>
      <c r="P492" s="26">
        <v>5203</v>
      </c>
      <c r="Q492" s="26">
        <v>1972</v>
      </c>
      <c r="R492" s="27">
        <v>7175</v>
      </c>
      <c r="S492" s="26">
        <v>5225</v>
      </c>
      <c r="T492" s="26">
        <v>2324</v>
      </c>
      <c r="U492" s="27">
        <v>7549</v>
      </c>
      <c r="V492" s="26">
        <v>4104</v>
      </c>
      <c r="W492" s="26">
        <v>1864.6666666666667</v>
      </c>
      <c r="X492" s="31">
        <v>5968.666666666667</v>
      </c>
      <c r="Y492" s="16">
        <v>5548</v>
      </c>
      <c r="Z492" s="16">
        <v>2015</v>
      </c>
      <c r="AA492" s="31">
        <v>7563</v>
      </c>
      <c r="AB492" s="32">
        <v>5582</v>
      </c>
      <c r="AC492" s="16">
        <v>2788</v>
      </c>
      <c r="AD492" s="31">
        <v>8370</v>
      </c>
      <c r="AE492" s="16">
        <v>5401</v>
      </c>
      <c r="AF492" s="16">
        <v>2331</v>
      </c>
      <c r="AG492" s="31">
        <v>7732</v>
      </c>
      <c r="AH492" s="16">
        <v>4761</v>
      </c>
      <c r="AI492" s="16">
        <v>1738</v>
      </c>
      <c r="AJ492" s="31">
        <v>6499</v>
      </c>
      <c r="AK492" s="16">
        <v>4712</v>
      </c>
      <c r="AL492" s="16">
        <v>1446</v>
      </c>
      <c r="AM492" s="31">
        <v>6158</v>
      </c>
      <c r="AN492" s="16">
        <v>5805</v>
      </c>
      <c r="AO492" s="16">
        <v>1079</v>
      </c>
      <c r="AP492" s="31">
        <v>6884</v>
      </c>
      <c r="AQ492" s="42"/>
      <c r="AR492" s="43"/>
      <c r="AS492" s="42"/>
      <c r="AT492" s="42"/>
    </row>
    <row r="493" spans="1:46" ht="12.9" customHeight="1" x14ac:dyDescent="0.25">
      <c r="A493" s="28" t="s">
        <v>1015</v>
      </c>
      <c r="B493" s="29" t="s">
        <v>1016</v>
      </c>
      <c r="C493" s="30" t="s">
        <v>120</v>
      </c>
      <c r="D493" s="40">
        <v>22716</v>
      </c>
      <c r="E493" s="26">
        <v>30</v>
      </c>
      <c r="F493" s="26">
        <f t="shared" si="14"/>
        <v>22746</v>
      </c>
      <c r="G493" s="40">
        <v>24251</v>
      </c>
      <c r="H493" s="26">
        <v>1</v>
      </c>
      <c r="I493" s="27">
        <f t="shared" si="15"/>
        <v>24252</v>
      </c>
      <c r="J493" s="40">
        <v>24712</v>
      </c>
      <c r="K493" s="26">
        <v>3</v>
      </c>
      <c r="L493" s="27">
        <v>24715</v>
      </c>
      <c r="M493" s="26">
        <v>23878</v>
      </c>
      <c r="N493" s="26">
        <v>19</v>
      </c>
      <c r="O493" s="27">
        <v>23897</v>
      </c>
      <c r="P493" s="26">
        <v>26442</v>
      </c>
      <c r="Q493" s="26">
        <v>23</v>
      </c>
      <c r="R493" s="27">
        <v>26465</v>
      </c>
      <c r="S493" s="26">
        <v>22196</v>
      </c>
      <c r="T493" s="26">
        <v>31</v>
      </c>
      <c r="U493" s="27">
        <v>22227</v>
      </c>
      <c r="V493" s="26">
        <v>23109</v>
      </c>
      <c r="W493" s="26">
        <v>50</v>
      </c>
      <c r="X493" s="31">
        <v>23159</v>
      </c>
      <c r="Y493" s="16">
        <v>22784</v>
      </c>
      <c r="Z493" s="16">
        <v>49</v>
      </c>
      <c r="AA493" s="31">
        <v>22833</v>
      </c>
      <c r="AB493" s="32">
        <v>23341</v>
      </c>
      <c r="AC493" s="16">
        <v>36</v>
      </c>
      <c r="AD493" s="31">
        <v>23377</v>
      </c>
      <c r="AE493" s="16">
        <v>22144</v>
      </c>
      <c r="AF493" s="16">
        <v>51</v>
      </c>
      <c r="AG493" s="31">
        <v>22195</v>
      </c>
      <c r="AH493" s="16">
        <v>22977</v>
      </c>
      <c r="AI493" s="16">
        <v>111</v>
      </c>
      <c r="AJ493" s="31">
        <v>23088</v>
      </c>
      <c r="AK493" s="16">
        <v>25111</v>
      </c>
      <c r="AL493" s="16">
        <v>231</v>
      </c>
      <c r="AM493" s="31">
        <v>25342</v>
      </c>
      <c r="AN493" s="16">
        <v>25111</v>
      </c>
      <c r="AO493" s="16">
        <v>231</v>
      </c>
      <c r="AP493" s="31">
        <v>25342</v>
      </c>
      <c r="AQ493" s="42"/>
      <c r="AR493" s="43"/>
      <c r="AS493" s="42"/>
      <c r="AT493" s="42"/>
    </row>
    <row r="494" spans="1:46" ht="12.9" customHeight="1" x14ac:dyDescent="0.25">
      <c r="A494" s="28" t="s">
        <v>1017</v>
      </c>
      <c r="B494" s="29" t="s">
        <v>1018</v>
      </c>
      <c r="C494" s="30" t="s">
        <v>29</v>
      </c>
      <c r="D494" s="40">
        <v>21082</v>
      </c>
      <c r="E494" s="26">
        <v>2160</v>
      </c>
      <c r="F494" s="26">
        <f t="shared" si="14"/>
        <v>23242</v>
      </c>
      <c r="G494" s="40">
        <v>23894</v>
      </c>
      <c r="H494" s="26">
        <v>1429</v>
      </c>
      <c r="I494" s="27">
        <f t="shared" si="15"/>
        <v>25323</v>
      </c>
      <c r="J494" s="40">
        <v>20254</v>
      </c>
      <c r="K494" s="26">
        <v>1653</v>
      </c>
      <c r="L494" s="27">
        <v>21907</v>
      </c>
      <c r="M494" s="26">
        <v>22787</v>
      </c>
      <c r="N494" s="26">
        <v>1676</v>
      </c>
      <c r="O494" s="27">
        <v>24463</v>
      </c>
      <c r="P494" s="26">
        <v>21068</v>
      </c>
      <c r="Q494" s="26">
        <v>1675</v>
      </c>
      <c r="R494" s="27">
        <v>22743</v>
      </c>
      <c r="S494" s="26">
        <v>19121</v>
      </c>
      <c r="T494" s="26">
        <v>943</v>
      </c>
      <c r="U494" s="27">
        <v>20064</v>
      </c>
      <c r="V494" s="26">
        <v>20364</v>
      </c>
      <c r="W494" s="26">
        <v>775</v>
      </c>
      <c r="X494" s="31">
        <v>21139</v>
      </c>
      <c r="Y494" s="16">
        <v>20529</v>
      </c>
      <c r="Z494" s="16">
        <v>823</v>
      </c>
      <c r="AA494" s="31">
        <v>21352</v>
      </c>
      <c r="AB494" s="32">
        <v>20061</v>
      </c>
      <c r="AC494" s="16">
        <v>581</v>
      </c>
      <c r="AD494" s="31">
        <v>20642</v>
      </c>
      <c r="AE494" s="16">
        <v>19407</v>
      </c>
      <c r="AF494" s="16">
        <v>1030</v>
      </c>
      <c r="AG494" s="31">
        <v>20437</v>
      </c>
      <c r="AH494" s="16">
        <v>19677</v>
      </c>
      <c r="AI494" s="16">
        <v>3019</v>
      </c>
      <c r="AJ494" s="31">
        <v>22696</v>
      </c>
      <c r="AK494" s="16">
        <v>20564</v>
      </c>
      <c r="AL494" s="16">
        <v>4737</v>
      </c>
      <c r="AM494" s="31">
        <v>25301</v>
      </c>
      <c r="AN494" s="16">
        <v>20564</v>
      </c>
      <c r="AO494" s="16">
        <v>4737</v>
      </c>
      <c r="AP494" s="31">
        <v>25301</v>
      </c>
      <c r="AQ494" s="42"/>
      <c r="AR494" s="43"/>
      <c r="AS494" s="42"/>
      <c r="AT494" s="42"/>
    </row>
    <row r="495" spans="1:46" ht="12.9" customHeight="1" x14ac:dyDescent="0.25">
      <c r="A495" s="28" t="s">
        <v>1019</v>
      </c>
      <c r="B495" s="29" t="s">
        <v>1020</v>
      </c>
      <c r="C495" s="30" t="s">
        <v>438</v>
      </c>
      <c r="D495" s="40">
        <v>2171</v>
      </c>
      <c r="E495" s="26">
        <v>11295</v>
      </c>
      <c r="F495" s="26">
        <f t="shared" si="14"/>
        <v>13466</v>
      </c>
      <c r="G495" s="40">
        <v>2388</v>
      </c>
      <c r="H495" s="26">
        <v>6983</v>
      </c>
      <c r="I495" s="27">
        <f t="shared" si="15"/>
        <v>9371</v>
      </c>
      <c r="J495" s="40">
        <v>2670</v>
      </c>
      <c r="K495" s="26">
        <v>7791</v>
      </c>
      <c r="L495" s="27">
        <v>10461</v>
      </c>
      <c r="M495" s="26">
        <v>2329</v>
      </c>
      <c r="N495" s="26">
        <v>4664</v>
      </c>
      <c r="O495" s="27">
        <v>6993</v>
      </c>
      <c r="P495" s="26">
        <v>1389</v>
      </c>
      <c r="Q495" s="26">
        <v>5680</v>
      </c>
      <c r="R495" s="27">
        <v>7069</v>
      </c>
      <c r="S495" s="26">
        <v>2190</v>
      </c>
      <c r="T495" s="26">
        <v>6518</v>
      </c>
      <c r="U495" s="27">
        <v>8708</v>
      </c>
      <c r="V495" s="26">
        <v>2083</v>
      </c>
      <c r="W495" s="26">
        <v>6068</v>
      </c>
      <c r="X495" s="31">
        <v>8151</v>
      </c>
      <c r="Y495" s="16">
        <v>2068</v>
      </c>
      <c r="Z495" s="16">
        <v>8634</v>
      </c>
      <c r="AA495" s="31">
        <v>10702</v>
      </c>
      <c r="AB495" s="32">
        <v>1905</v>
      </c>
      <c r="AC495" s="16">
        <v>7974</v>
      </c>
      <c r="AD495" s="31">
        <v>9879</v>
      </c>
      <c r="AE495" s="16">
        <v>2241</v>
      </c>
      <c r="AF495" s="16">
        <v>6931</v>
      </c>
      <c r="AG495" s="31">
        <v>9172</v>
      </c>
      <c r="AH495" s="16">
        <v>1669</v>
      </c>
      <c r="AI495" s="16">
        <v>7198</v>
      </c>
      <c r="AJ495" s="31">
        <v>8867</v>
      </c>
      <c r="AK495" s="16">
        <v>2135</v>
      </c>
      <c r="AL495" s="16">
        <v>7196</v>
      </c>
      <c r="AM495" s="31">
        <v>9331</v>
      </c>
      <c r="AN495" s="16">
        <v>2115</v>
      </c>
      <c r="AO495" s="16">
        <v>6207</v>
      </c>
      <c r="AP495" s="31">
        <v>8322</v>
      </c>
      <c r="AQ495" s="42"/>
      <c r="AR495" s="43"/>
      <c r="AS495" s="42"/>
      <c r="AT495" s="42"/>
    </row>
    <row r="496" spans="1:46" ht="12.9" customHeight="1" x14ac:dyDescent="0.25">
      <c r="A496" s="28" t="s">
        <v>1021</v>
      </c>
      <c r="B496" s="29" t="s">
        <v>1022</v>
      </c>
      <c r="C496" s="30" t="s">
        <v>153</v>
      </c>
      <c r="D496" s="40">
        <v>125116</v>
      </c>
      <c r="E496" s="26">
        <v>133420</v>
      </c>
      <c r="F496" s="26">
        <f t="shared" si="14"/>
        <v>258536</v>
      </c>
      <c r="G496" s="40">
        <v>126664</v>
      </c>
      <c r="H496" s="26">
        <v>126881</v>
      </c>
      <c r="I496" s="27">
        <f t="shared" si="15"/>
        <v>253545</v>
      </c>
      <c r="J496" s="40">
        <v>128979</v>
      </c>
      <c r="K496" s="26">
        <v>179447</v>
      </c>
      <c r="L496" s="27">
        <v>308426</v>
      </c>
      <c r="M496" s="26">
        <v>136989</v>
      </c>
      <c r="N496" s="26">
        <v>149499</v>
      </c>
      <c r="O496" s="27">
        <v>286488</v>
      </c>
      <c r="P496" s="26">
        <v>134733</v>
      </c>
      <c r="Q496" s="26">
        <v>108317</v>
      </c>
      <c r="R496" s="27">
        <v>243050</v>
      </c>
      <c r="S496" s="26">
        <v>131976</v>
      </c>
      <c r="T496" s="26">
        <v>158655</v>
      </c>
      <c r="U496" s="27">
        <v>290631</v>
      </c>
      <c r="V496" s="26">
        <v>122406</v>
      </c>
      <c r="W496" s="26">
        <v>143035</v>
      </c>
      <c r="X496" s="31">
        <v>265441</v>
      </c>
      <c r="Y496" s="16">
        <v>122482</v>
      </c>
      <c r="Z496" s="16">
        <v>142032</v>
      </c>
      <c r="AA496" s="31">
        <v>264514</v>
      </c>
      <c r="AB496" s="32">
        <v>96994</v>
      </c>
      <c r="AC496" s="16">
        <v>113254</v>
      </c>
      <c r="AD496" s="31">
        <v>210248</v>
      </c>
      <c r="AE496" s="16">
        <v>123950</v>
      </c>
      <c r="AF496" s="16">
        <v>123904</v>
      </c>
      <c r="AG496" s="31">
        <v>247854</v>
      </c>
      <c r="AH496" s="16">
        <v>112784</v>
      </c>
      <c r="AI496" s="16">
        <v>122250</v>
      </c>
      <c r="AJ496" s="31">
        <v>235034</v>
      </c>
      <c r="AK496" s="16">
        <v>112047</v>
      </c>
      <c r="AL496" s="16">
        <v>142031</v>
      </c>
      <c r="AM496" s="31">
        <v>254078</v>
      </c>
      <c r="AN496" s="16">
        <v>118480</v>
      </c>
      <c r="AO496" s="16">
        <v>177766</v>
      </c>
      <c r="AP496" s="31">
        <v>296246</v>
      </c>
      <c r="AQ496" s="42"/>
      <c r="AR496" s="43"/>
      <c r="AS496" s="42"/>
      <c r="AT496" s="42"/>
    </row>
    <row r="497" spans="1:46" ht="12.9" customHeight="1" x14ac:dyDescent="0.25">
      <c r="A497" s="28" t="s">
        <v>1023</v>
      </c>
      <c r="B497" s="29" t="s">
        <v>1024</v>
      </c>
      <c r="C497" s="30" t="s">
        <v>384</v>
      </c>
      <c r="D497" s="40">
        <v>6750</v>
      </c>
      <c r="E497" s="26">
        <v>4568</v>
      </c>
      <c r="F497" s="26">
        <f t="shared" si="14"/>
        <v>11318</v>
      </c>
      <c r="G497" s="40">
        <v>8225</v>
      </c>
      <c r="H497" s="26">
        <v>9160</v>
      </c>
      <c r="I497" s="27">
        <f t="shared" si="15"/>
        <v>17385</v>
      </c>
      <c r="J497" s="40">
        <v>13525</v>
      </c>
      <c r="K497" s="26">
        <v>7767</v>
      </c>
      <c r="L497" s="27">
        <v>21292</v>
      </c>
      <c r="M497" s="26">
        <v>9652</v>
      </c>
      <c r="N497" s="26">
        <v>13652</v>
      </c>
      <c r="O497" s="27">
        <v>23304</v>
      </c>
      <c r="P497" s="26">
        <v>10462</v>
      </c>
      <c r="Q497" s="26">
        <v>12022</v>
      </c>
      <c r="R497" s="27">
        <v>22484</v>
      </c>
      <c r="S497" s="26">
        <v>16272</v>
      </c>
      <c r="T497" s="26">
        <v>1331</v>
      </c>
      <c r="U497" s="27">
        <v>17603</v>
      </c>
      <c r="V497" s="26">
        <v>16272</v>
      </c>
      <c r="W497" s="26">
        <v>978</v>
      </c>
      <c r="X497" s="31">
        <v>17250</v>
      </c>
      <c r="Y497" s="16">
        <v>16272</v>
      </c>
      <c r="Z497" s="16">
        <v>978</v>
      </c>
      <c r="AA497" s="31">
        <v>17250</v>
      </c>
      <c r="AB497" s="32">
        <v>16128</v>
      </c>
      <c r="AC497" s="16">
        <v>152</v>
      </c>
      <c r="AD497" s="31">
        <v>16280</v>
      </c>
      <c r="AE497" s="16">
        <v>16056</v>
      </c>
      <c r="AF497" s="16">
        <v>152</v>
      </c>
      <c r="AG497" s="31">
        <v>16208</v>
      </c>
      <c r="AH497" s="32" t="s">
        <v>160</v>
      </c>
      <c r="AI497" s="16">
        <v>152</v>
      </c>
      <c r="AJ497" s="31">
        <v>152</v>
      </c>
      <c r="AK497" s="16">
        <v>16200</v>
      </c>
      <c r="AL497" s="16">
        <v>872</v>
      </c>
      <c r="AM497" s="31">
        <v>17072</v>
      </c>
      <c r="AN497" s="16">
        <v>16200</v>
      </c>
      <c r="AO497" s="16">
        <v>872</v>
      </c>
      <c r="AP497" s="31">
        <v>17072</v>
      </c>
      <c r="AQ497" s="42"/>
      <c r="AR497" s="43"/>
      <c r="AS497" s="42"/>
      <c r="AT497" s="42"/>
    </row>
    <row r="498" spans="1:46" ht="12.9" customHeight="1" x14ac:dyDescent="0.25">
      <c r="A498" s="28" t="s">
        <v>1025</v>
      </c>
      <c r="B498" s="29" t="s">
        <v>1026</v>
      </c>
      <c r="C498" s="30" t="s">
        <v>191</v>
      </c>
      <c r="D498" s="40">
        <v>167308</v>
      </c>
      <c r="E498" s="26">
        <v>243292</v>
      </c>
      <c r="F498" s="26">
        <f t="shared" si="14"/>
        <v>410600</v>
      </c>
      <c r="G498" s="40">
        <v>179036</v>
      </c>
      <c r="H498" s="26">
        <v>282852</v>
      </c>
      <c r="I498" s="27">
        <f t="shared" si="15"/>
        <v>461888</v>
      </c>
      <c r="J498" s="40">
        <v>175749</v>
      </c>
      <c r="K498" s="26">
        <v>307890</v>
      </c>
      <c r="L498" s="27">
        <v>483639</v>
      </c>
      <c r="M498" s="26">
        <v>186102</v>
      </c>
      <c r="N498" s="26">
        <v>305923</v>
      </c>
      <c r="O498" s="27">
        <v>492025</v>
      </c>
      <c r="P498" s="26">
        <v>157778</v>
      </c>
      <c r="Q498" s="26">
        <v>257310</v>
      </c>
      <c r="R498" s="27">
        <v>415088</v>
      </c>
      <c r="S498" s="26">
        <v>163885</v>
      </c>
      <c r="T498" s="26">
        <v>237109</v>
      </c>
      <c r="U498" s="27">
        <v>400994</v>
      </c>
      <c r="V498" s="26">
        <v>150807</v>
      </c>
      <c r="W498" s="26">
        <v>226475</v>
      </c>
      <c r="X498" s="31">
        <v>377282</v>
      </c>
      <c r="Y498" s="16">
        <v>154043</v>
      </c>
      <c r="Z498" s="16">
        <v>184138</v>
      </c>
      <c r="AA498" s="31">
        <v>338181</v>
      </c>
      <c r="AB498" s="32">
        <v>157937</v>
      </c>
      <c r="AC498" s="16">
        <v>176653</v>
      </c>
      <c r="AD498" s="31">
        <v>334590</v>
      </c>
      <c r="AE498" s="16">
        <v>153677</v>
      </c>
      <c r="AF498" s="16">
        <v>217939</v>
      </c>
      <c r="AG498" s="31">
        <v>371616</v>
      </c>
      <c r="AH498" s="16">
        <v>161471</v>
      </c>
      <c r="AI498" s="16">
        <v>169172</v>
      </c>
      <c r="AJ498" s="31">
        <v>330643</v>
      </c>
      <c r="AK498" s="16">
        <v>164343</v>
      </c>
      <c r="AL498" s="16">
        <v>183186</v>
      </c>
      <c r="AM498" s="31">
        <v>347529</v>
      </c>
      <c r="AN498" s="16">
        <v>179556</v>
      </c>
      <c r="AO498" s="16">
        <v>192707</v>
      </c>
      <c r="AP498" s="31">
        <v>372263</v>
      </c>
      <c r="AQ498" s="42"/>
      <c r="AR498" s="43"/>
      <c r="AS498" s="42"/>
      <c r="AT498" s="42"/>
    </row>
    <row r="499" spans="1:46" ht="12.9" customHeight="1" x14ac:dyDescent="0.25">
      <c r="A499" s="28" t="s">
        <v>1027</v>
      </c>
      <c r="B499" s="29" t="s">
        <v>1028</v>
      </c>
      <c r="C499" s="30" t="s">
        <v>191</v>
      </c>
      <c r="D499" s="40">
        <v>101380</v>
      </c>
      <c r="E499" s="26">
        <v>23024</v>
      </c>
      <c r="F499" s="26">
        <f t="shared" si="14"/>
        <v>124404</v>
      </c>
      <c r="G499" s="40">
        <v>108381</v>
      </c>
      <c r="H499" s="26">
        <v>21900</v>
      </c>
      <c r="I499" s="27">
        <f t="shared" si="15"/>
        <v>130281</v>
      </c>
      <c r="J499" s="40">
        <v>110760</v>
      </c>
      <c r="K499" s="26">
        <v>29507</v>
      </c>
      <c r="L499" s="27">
        <v>140267</v>
      </c>
      <c r="M499" s="26">
        <v>109863</v>
      </c>
      <c r="N499" s="26">
        <v>30323</v>
      </c>
      <c r="O499" s="27">
        <v>140186</v>
      </c>
      <c r="P499" s="26">
        <v>108257</v>
      </c>
      <c r="Q499" s="26">
        <v>29672</v>
      </c>
      <c r="R499" s="27">
        <v>137929</v>
      </c>
      <c r="S499" s="26">
        <v>100337</v>
      </c>
      <c r="T499" s="26">
        <v>30832</v>
      </c>
      <c r="U499" s="27">
        <v>131169</v>
      </c>
      <c r="V499" s="26">
        <v>97515</v>
      </c>
      <c r="W499" s="26">
        <v>11692</v>
      </c>
      <c r="X499" s="31">
        <v>109207</v>
      </c>
      <c r="Y499" s="16">
        <v>97177</v>
      </c>
      <c r="Z499" s="16">
        <v>33377</v>
      </c>
      <c r="AA499" s="31">
        <v>130554</v>
      </c>
      <c r="AB499" s="32">
        <v>92203</v>
      </c>
      <c r="AC499" s="16">
        <v>32647</v>
      </c>
      <c r="AD499" s="31">
        <v>124850</v>
      </c>
      <c r="AE499" s="16">
        <v>101645</v>
      </c>
      <c r="AF499" s="16">
        <v>25594</v>
      </c>
      <c r="AG499" s="31">
        <v>127239</v>
      </c>
      <c r="AH499" s="16">
        <v>88634</v>
      </c>
      <c r="AI499" s="16">
        <v>28525</v>
      </c>
      <c r="AJ499" s="31">
        <v>117159</v>
      </c>
      <c r="AK499" s="16">
        <v>96714</v>
      </c>
      <c r="AL499" s="16">
        <v>22173</v>
      </c>
      <c r="AM499" s="31">
        <v>118887</v>
      </c>
      <c r="AN499" s="16">
        <v>105023</v>
      </c>
      <c r="AO499" s="16">
        <v>28288</v>
      </c>
      <c r="AP499" s="31">
        <v>133311</v>
      </c>
      <c r="AQ499" s="42"/>
      <c r="AR499" s="43"/>
      <c r="AS499" s="42"/>
      <c r="AT499" s="42"/>
    </row>
    <row r="500" spans="1:46" ht="12.9" customHeight="1" x14ac:dyDescent="0.25">
      <c r="A500" s="28" t="s">
        <v>1029</v>
      </c>
      <c r="B500" s="29" t="s">
        <v>1030</v>
      </c>
      <c r="C500" s="30" t="s">
        <v>11</v>
      </c>
      <c r="D500" s="40">
        <v>882032</v>
      </c>
      <c r="E500" s="26">
        <v>937631</v>
      </c>
      <c r="F500" s="26">
        <f t="shared" si="14"/>
        <v>1819663</v>
      </c>
      <c r="G500" s="40">
        <v>921941</v>
      </c>
      <c r="H500" s="26">
        <v>1039286</v>
      </c>
      <c r="I500" s="27">
        <f t="shared" si="15"/>
        <v>1961227</v>
      </c>
      <c r="J500" s="40">
        <v>941312</v>
      </c>
      <c r="K500" s="26">
        <v>1164821</v>
      </c>
      <c r="L500" s="27">
        <v>2106133</v>
      </c>
      <c r="M500" s="26">
        <v>993919</v>
      </c>
      <c r="N500" s="26">
        <v>1129724</v>
      </c>
      <c r="O500" s="27">
        <v>2123643</v>
      </c>
      <c r="P500" s="26">
        <v>987009</v>
      </c>
      <c r="Q500" s="26">
        <v>1037268</v>
      </c>
      <c r="R500" s="27">
        <v>2024277</v>
      </c>
      <c r="S500" s="26">
        <v>938872</v>
      </c>
      <c r="T500" s="26">
        <v>1353796</v>
      </c>
      <c r="U500" s="27">
        <v>2292668</v>
      </c>
      <c r="V500" s="26">
        <v>932387</v>
      </c>
      <c r="W500" s="26">
        <v>1403730</v>
      </c>
      <c r="X500" s="31">
        <v>2336117</v>
      </c>
      <c r="Y500" s="16">
        <v>939995</v>
      </c>
      <c r="Z500" s="16">
        <v>1433425</v>
      </c>
      <c r="AA500" s="31">
        <v>2373420</v>
      </c>
      <c r="AB500" s="32">
        <v>983083</v>
      </c>
      <c r="AC500" s="16">
        <v>1308649</v>
      </c>
      <c r="AD500" s="31">
        <v>2291732</v>
      </c>
      <c r="AE500" s="16">
        <v>890956</v>
      </c>
      <c r="AF500" s="16">
        <v>1313982</v>
      </c>
      <c r="AG500" s="31">
        <v>2204938</v>
      </c>
      <c r="AH500" s="16">
        <v>941470</v>
      </c>
      <c r="AI500" s="16">
        <v>1347339</v>
      </c>
      <c r="AJ500" s="31">
        <v>2288809</v>
      </c>
      <c r="AK500" s="16">
        <v>977590</v>
      </c>
      <c r="AL500" s="16">
        <v>1303918</v>
      </c>
      <c r="AM500" s="31">
        <v>2281508</v>
      </c>
      <c r="AN500" s="16">
        <v>1003568</v>
      </c>
      <c r="AO500" s="16">
        <v>1376716</v>
      </c>
      <c r="AP500" s="31">
        <v>2380284</v>
      </c>
      <c r="AQ500" s="42"/>
      <c r="AR500" s="43"/>
      <c r="AS500" s="42"/>
      <c r="AT500" s="42"/>
    </row>
    <row r="501" spans="1:46" ht="12.9" customHeight="1" x14ac:dyDescent="0.25">
      <c r="A501" s="28" t="s">
        <v>1031</v>
      </c>
      <c r="B501" s="29" t="s">
        <v>1032</v>
      </c>
      <c r="C501" s="30" t="s">
        <v>39</v>
      </c>
      <c r="D501" s="40">
        <v>84833</v>
      </c>
      <c r="E501" s="26">
        <v>86069</v>
      </c>
      <c r="F501" s="26">
        <f t="shared" si="14"/>
        <v>170902</v>
      </c>
      <c r="G501" s="40">
        <v>82607</v>
      </c>
      <c r="H501" s="26">
        <v>112292</v>
      </c>
      <c r="I501" s="27">
        <f t="shared" si="15"/>
        <v>194899</v>
      </c>
      <c r="J501" s="40">
        <v>91590</v>
      </c>
      <c r="K501" s="26">
        <v>128850</v>
      </c>
      <c r="L501" s="27">
        <v>220440</v>
      </c>
      <c r="M501" s="26">
        <v>110439</v>
      </c>
      <c r="N501" s="26">
        <v>152234</v>
      </c>
      <c r="O501" s="27">
        <v>262673</v>
      </c>
      <c r="P501" s="26">
        <v>92366</v>
      </c>
      <c r="Q501" s="26">
        <v>137298</v>
      </c>
      <c r="R501" s="27">
        <v>229664</v>
      </c>
      <c r="S501" s="26">
        <v>93564</v>
      </c>
      <c r="T501" s="26">
        <v>152503</v>
      </c>
      <c r="U501" s="27">
        <v>246067</v>
      </c>
      <c r="V501" s="26">
        <v>82507</v>
      </c>
      <c r="W501" s="26">
        <v>103801</v>
      </c>
      <c r="X501" s="31">
        <v>186308</v>
      </c>
      <c r="Y501" s="16">
        <v>85217</v>
      </c>
      <c r="Z501" s="16">
        <v>106609</v>
      </c>
      <c r="AA501" s="31">
        <v>191826</v>
      </c>
      <c r="AB501" s="32">
        <v>83739</v>
      </c>
      <c r="AC501" s="16">
        <v>117715</v>
      </c>
      <c r="AD501" s="31">
        <v>201454</v>
      </c>
      <c r="AE501" s="16">
        <v>87443</v>
      </c>
      <c r="AF501" s="16">
        <v>113023</v>
      </c>
      <c r="AG501" s="31">
        <v>200466</v>
      </c>
      <c r="AH501" s="16">
        <v>75822</v>
      </c>
      <c r="AI501" s="16">
        <v>109783</v>
      </c>
      <c r="AJ501" s="31">
        <v>185605</v>
      </c>
      <c r="AK501" s="16">
        <v>85293</v>
      </c>
      <c r="AL501" s="16">
        <v>113286</v>
      </c>
      <c r="AM501" s="31">
        <v>198579</v>
      </c>
      <c r="AN501" s="16">
        <v>92611</v>
      </c>
      <c r="AO501" s="16">
        <v>174261</v>
      </c>
      <c r="AP501" s="31">
        <v>266872</v>
      </c>
      <c r="AQ501" s="42"/>
      <c r="AR501" s="43"/>
      <c r="AS501" s="42"/>
      <c r="AT501" s="42"/>
    </row>
    <row r="502" spans="1:46" ht="12.9" customHeight="1" x14ac:dyDescent="0.25">
      <c r="A502" s="28" t="s">
        <v>1033</v>
      </c>
      <c r="B502" s="29" t="s">
        <v>1034</v>
      </c>
      <c r="C502" s="30" t="s">
        <v>14</v>
      </c>
      <c r="D502" s="40">
        <v>5959</v>
      </c>
      <c r="E502" s="26">
        <v>158583</v>
      </c>
      <c r="F502" s="26">
        <f t="shared" si="14"/>
        <v>164542</v>
      </c>
      <c r="G502" s="40">
        <v>6560</v>
      </c>
      <c r="H502" s="26">
        <v>163346</v>
      </c>
      <c r="I502" s="27">
        <f t="shared" si="15"/>
        <v>169906</v>
      </c>
      <c r="J502" s="40">
        <v>7663</v>
      </c>
      <c r="K502" s="26">
        <v>173723</v>
      </c>
      <c r="L502" s="27">
        <v>181386</v>
      </c>
      <c r="M502" s="26">
        <v>8406</v>
      </c>
      <c r="N502" s="26">
        <v>151034</v>
      </c>
      <c r="O502" s="27">
        <v>159440</v>
      </c>
      <c r="P502" s="26">
        <v>7353</v>
      </c>
      <c r="Q502" s="26">
        <v>141138</v>
      </c>
      <c r="R502" s="27">
        <v>148491</v>
      </c>
      <c r="S502" s="26">
        <v>11023</v>
      </c>
      <c r="T502" s="26">
        <v>149359</v>
      </c>
      <c r="U502" s="27">
        <v>160382</v>
      </c>
      <c r="V502" s="26">
        <v>10329</v>
      </c>
      <c r="W502" s="26">
        <v>136677</v>
      </c>
      <c r="X502" s="31">
        <v>147006</v>
      </c>
      <c r="Y502" s="16">
        <v>10388</v>
      </c>
      <c r="Z502" s="16">
        <v>128973</v>
      </c>
      <c r="AA502" s="31">
        <v>139361</v>
      </c>
      <c r="AB502" s="32">
        <v>9511</v>
      </c>
      <c r="AC502" s="16">
        <v>135970</v>
      </c>
      <c r="AD502" s="31">
        <v>145481</v>
      </c>
      <c r="AE502" s="16">
        <v>9373</v>
      </c>
      <c r="AF502" s="16">
        <v>128000</v>
      </c>
      <c r="AG502" s="31">
        <v>137373</v>
      </c>
      <c r="AH502" s="16">
        <v>10606</v>
      </c>
      <c r="AI502" s="16">
        <v>135420</v>
      </c>
      <c r="AJ502" s="31">
        <v>146026</v>
      </c>
      <c r="AK502" s="16">
        <v>6000</v>
      </c>
      <c r="AL502" s="16">
        <v>6007</v>
      </c>
      <c r="AM502" s="31">
        <v>12007</v>
      </c>
      <c r="AN502" s="16">
        <v>9960</v>
      </c>
      <c r="AO502" s="16">
        <v>162330</v>
      </c>
      <c r="AP502" s="31">
        <v>172290</v>
      </c>
      <c r="AQ502" s="42"/>
      <c r="AR502" s="43"/>
      <c r="AS502" s="42"/>
      <c r="AT502" s="42"/>
    </row>
    <row r="503" spans="1:46" ht="12.9" customHeight="1" x14ac:dyDescent="0.25">
      <c r="A503" s="28" t="s">
        <v>1035</v>
      </c>
      <c r="B503" s="29" t="s">
        <v>1036</v>
      </c>
      <c r="C503" s="30" t="s">
        <v>438</v>
      </c>
      <c r="D503" s="40">
        <v>40569</v>
      </c>
      <c r="E503" s="26">
        <v>47951</v>
      </c>
      <c r="F503" s="26">
        <f t="shared" si="14"/>
        <v>88520</v>
      </c>
      <c r="G503" s="40">
        <v>43041</v>
      </c>
      <c r="H503" s="26">
        <v>57576</v>
      </c>
      <c r="I503" s="27">
        <f t="shared" si="15"/>
        <v>100617</v>
      </c>
      <c r="J503" s="40">
        <v>51650</v>
      </c>
      <c r="K503" s="26">
        <v>73118</v>
      </c>
      <c r="L503" s="27">
        <v>124768</v>
      </c>
      <c r="M503" s="26">
        <v>50405</v>
      </c>
      <c r="N503" s="26">
        <v>69178</v>
      </c>
      <c r="O503" s="27">
        <v>119583</v>
      </c>
      <c r="P503" s="26">
        <v>50405</v>
      </c>
      <c r="Q503" s="26">
        <v>67936</v>
      </c>
      <c r="R503" s="27">
        <v>118341</v>
      </c>
      <c r="S503" s="26">
        <v>50405</v>
      </c>
      <c r="T503" s="26">
        <v>86596</v>
      </c>
      <c r="U503" s="27">
        <v>137001</v>
      </c>
      <c r="V503" s="26">
        <v>47941</v>
      </c>
      <c r="W503" s="26">
        <v>88697</v>
      </c>
      <c r="X503" s="31">
        <v>136638</v>
      </c>
      <c r="Y503" s="16">
        <v>56350</v>
      </c>
      <c r="Z503" s="16">
        <v>163876</v>
      </c>
      <c r="AA503" s="31">
        <v>220226</v>
      </c>
      <c r="AB503" s="32">
        <v>50450</v>
      </c>
      <c r="AC503" s="16">
        <v>151968</v>
      </c>
      <c r="AD503" s="31">
        <v>202418</v>
      </c>
      <c r="AE503" s="16">
        <v>50450</v>
      </c>
      <c r="AF503" s="16">
        <v>149974</v>
      </c>
      <c r="AG503" s="31">
        <v>200424</v>
      </c>
      <c r="AH503" s="16">
        <v>42938</v>
      </c>
      <c r="AI503" s="16">
        <v>145547</v>
      </c>
      <c r="AJ503" s="31">
        <v>188485</v>
      </c>
      <c r="AK503" s="16">
        <v>44496</v>
      </c>
      <c r="AL503" s="16">
        <v>197480</v>
      </c>
      <c r="AM503" s="31">
        <v>241976</v>
      </c>
      <c r="AN503" s="16">
        <v>54769</v>
      </c>
      <c r="AO503" s="16">
        <v>69159</v>
      </c>
      <c r="AP503" s="31">
        <v>123928</v>
      </c>
      <c r="AQ503" s="42"/>
      <c r="AR503" s="43"/>
      <c r="AS503" s="42"/>
      <c r="AT503" s="42"/>
    </row>
    <row r="504" spans="1:46" ht="12.9" customHeight="1" x14ac:dyDescent="0.25">
      <c r="A504" s="28" t="s">
        <v>1037</v>
      </c>
      <c r="B504" s="29" t="s">
        <v>1038</v>
      </c>
      <c r="C504" s="30" t="s">
        <v>409</v>
      </c>
      <c r="D504" s="40">
        <v>237380</v>
      </c>
      <c r="E504" s="26">
        <v>17555</v>
      </c>
      <c r="F504" s="26">
        <f t="shared" si="14"/>
        <v>254935</v>
      </c>
      <c r="G504" s="40">
        <v>254899</v>
      </c>
      <c r="H504" s="26">
        <v>21342</v>
      </c>
      <c r="I504" s="27">
        <f t="shared" si="15"/>
        <v>276241</v>
      </c>
      <c r="J504" s="40">
        <v>273121</v>
      </c>
      <c r="K504" s="26">
        <v>24357</v>
      </c>
      <c r="L504" s="27">
        <v>297478</v>
      </c>
      <c r="M504" s="26">
        <v>262159</v>
      </c>
      <c r="N504" s="26">
        <v>22164</v>
      </c>
      <c r="O504" s="27">
        <v>284323</v>
      </c>
      <c r="P504" s="26">
        <v>281676</v>
      </c>
      <c r="Q504" s="26">
        <v>21951</v>
      </c>
      <c r="R504" s="27">
        <v>303627</v>
      </c>
      <c r="S504" s="26">
        <v>271638</v>
      </c>
      <c r="T504" s="26">
        <v>21482</v>
      </c>
      <c r="U504" s="27">
        <v>293120</v>
      </c>
      <c r="V504" s="26">
        <v>246388</v>
      </c>
      <c r="W504" s="26">
        <v>18657</v>
      </c>
      <c r="X504" s="31">
        <v>265045</v>
      </c>
      <c r="Y504" s="16">
        <v>252430</v>
      </c>
      <c r="Z504" s="16">
        <v>18815</v>
      </c>
      <c r="AA504" s="31">
        <v>271245</v>
      </c>
      <c r="AB504" s="32">
        <v>242740</v>
      </c>
      <c r="AC504" s="16">
        <v>24847</v>
      </c>
      <c r="AD504" s="31">
        <v>267587</v>
      </c>
      <c r="AE504" s="16">
        <v>234561</v>
      </c>
      <c r="AF504" s="16">
        <v>22487</v>
      </c>
      <c r="AG504" s="31">
        <v>257048</v>
      </c>
      <c r="AH504" s="16">
        <v>221844</v>
      </c>
      <c r="AI504" s="16">
        <v>24362</v>
      </c>
      <c r="AJ504" s="31">
        <v>246206</v>
      </c>
      <c r="AK504" s="16">
        <v>221084</v>
      </c>
      <c r="AL504" s="16">
        <v>34180</v>
      </c>
      <c r="AM504" s="31">
        <v>255264</v>
      </c>
      <c r="AN504" s="16">
        <v>227782</v>
      </c>
      <c r="AO504" s="16">
        <v>35291</v>
      </c>
      <c r="AP504" s="31">
        <v>263073</v>
      </c>
      <c r="AQ504" s="42"/>
      <c r="AR504" s="43"/>
      <c r="AS504" s="42"/>
      <c r="AT504" s="42"/>
    </row>
    <row r="505" spans="1:46" ht="12.9" customHeight="1" x14ac:dyDescent="0.25">
      <c r="A505" s="28" t="s">
        <v>1039</v>
      </c>
      <c r="B505" s="29" t="s">
        <v>1040</v>
      </c>
      <c r="C505" s="47" t="s">
        <v>1946</v>
      </c>
      <c r="D505" s="40">
        <v>36304</v>
      </c>
      <c r="E505" s="26">
        <v>121806</v>
      </c>
      <c r="F505" s="26">
        <f t="shared" si="14"/>
        <v>158110</v>
      </c>
      <c r="G505" s="40">
        <v>39989</v>
      </c>
      <c r="H505" s="26">
        <v>168140</v>
      </c>
      <c r="I505" s="27">
        <f t="shared" si="15"/>
        <v>208129</v>
      </c>
      <c r="J505" s="40">
        <v>46165</v>
      </c>
      <c r="K505" s="26">
        <v>195900</v>
      </c>
      <c r="L505" s="27">
        <v>242065</v>
      </c>
      <c r="M505" s="26">
        <v>47419</v>
      </c>
      <c r="N505" s="26">
        <v>172950</v>
      </c>
      <c r="O505" s="27">
        <v>220369</v>
      </c>
      <c r="P505" s="26">
        <v>41845</v>
      </c>
      <c r="Q505" s="26">
        <v>156585</v>
      </c>
      <c r="R505" s="27">
        <v>198430</v>
      </c>
      <c r="S505" s="26">
        <v>43834</v>
      </c>
      <c r="T505" s="26">
        <v>158925</v>
      </c>
      <c r="U505" s="27">
        <v>202759</v>
      </c>
      <c r="V505" s="26">
        <v>41352</v>
      </c>
      <c r="W505" s="26">
        <v>150666</v>
      </c>
      <c r="X505" s="31">
        <v>192018</v>
      </c>
      <c r="Y505" s="16">
        <v>43706</v>
      </c>
      <c r="Z505" s="16">
        <v>150386</v>
      </c>
      <c r="AA505" s="31">
        <v>194092</v>
      </c>
      <c r="AB505" s="32">
        <v>44451</v>
      </c>
      <c r="AC505" s="16">
        <v>156573</v>
      </c>
      <c r="AD505" s="31">
        <v>201024</v>
      </c>
      <c r="AE505" s="16">
        <v>45451</v>
      </c>
      <c r="AF505" s="16">
        <v>141586</v>
      </c>
      <c r="AG505" s="31">
        <v>187037</v>
      </c>
      <c r="AH505" s="16">
        <v>39181</v>
      </c>
      <c r="AI505" s="16">
        <v>112771</v>
      </c>
      <c r="AJ505" s="31">
        <v>151952</v>
      </c>
      <c r="AK505" s="16">
        <v>39058</v>
      </c>
      <c r="AL505" s="16">
        <v>62149</v>
      </c>
      <c r="AM505" s="31">
        <v>101207</v>
      </c>
      <c r="AN505" s="16">
        <v>46482</v>
      </c>
      <c r="AO505" s="16">
        <v>183898</v>
      </c>
      <c r="AP505" s="31">
        <v>230380</v>
      </c>
      <c r="AQ505" s="42"/>
      <c r="AR505" s="43"/>
      <c r="AS505" s="42"/>
      <c r="AT505" s="42"/>
    </row>
    <row r="506" spans="1:46" ht="12.9" customHeight="1" x14ac:dyDescent="0.25">
      <c r="A506" s="28" t="s">
        <v>1041</v>
      </c>
      <c r="B506" s="29" t="s">
        <v>1042</v>
      </c>
      <c r="C506" s="30" t="s">
        <v>150</v>
      </c>
      <c r="D506" s="40">
        <v>1467032</v>
      </c>
      <c r="E506" s="26">
        <v>1510906</v>
      </c>
      <c r="F506" s="26">
        <f t="shared" si="14"/>
        <v>2977938</v>
      </c>
      <c r="G506" s="40">
        <v>1527052</v>
      </c>
      <c r="H506" s="26">
        <v>1623313</v>
      </c>
      <c r="I506" s="27">
        <f t="shared" si="15"/>
        <v>3150365</v>
      </c>
      <c r="J506" s="40">
        <v>1516487</v>
      </c>
      <c r="K506" s="26">
        <v>1730627</v>
      </c>
      <c r="L506" s="27">
        <v>3247114</v>
      </c>
      <c r="M506" s="26">
        <v>1551400</v>
      </c>
      <c r="N506" s="26">
        <v>1699492</v>
      </c>
      <c r="O506" s="27">
        <v>3250892</v>
      </c>
      <c r="P506" s="26">
        <v>1601304</v>
      </c>
      <c r="Q506" s="26">
        <v>1602899</v>
      </c>
      <c r="R506" s="27">
        <v>3204203</v>
      </c>
      <c r="S506" s="26">
        <v>1457804</v>
      </c>
      <c r="T506" s="26">
        <v>1726092</v>
      </c>
      <c r="U506" s="27">
        <v>3183896</v>
      </c>
      <c r="V506" s="26">
        <v>1406348</v>
      </c>
      <c r="W506" s="26">
        <v>1714065</v>
      </c>
      <c r="X506" s="31">
        <v>3120413</v>
      </c>
      <c r="Y506" s="16">
        <v>1394810</v>
      </c>
      <c r="Z506" s="16">
        <v>1756554</v>
      </c>
      <c r="AA506" s="31">
        <v>3151364</v>
      </c>
      <c r="AB506" s="32">
        <v>1354802</v>
      </c>
      <c r="AC506" s="16">
        <v>1774357</v>
      </c>
      <c r="AD506" s="31">
        <v>3129159</v>
      </c>
      <c r="AE506" s="16">
        <v>1346657</v>
      </c>
      <c r="AF506" s="16">
        <v>1719949</v>
      </c>
      <c r="AG506" s="31">
        <v>3066606</v>
      </c>
      <c r="AH506" s="16">
        <v>1230422.5714285714</v>
      </c>
      <c r="AI506" s="16">
        <v>1660146.5714285714</v>
      </c>
      <c r="AJ506" s="31">
        <v>2890569.1428571427</v>
      </c>
      <c r="AK506" s="16">
        <v>1205992</v>
      </c>
      <c r="AL506" s="16">
        <v>1637032</v>
      </c>
      <c r="AM506" s="31">
        <v>2843024</v>
      </c>
      <c r="AN506" s="16">
        <v>1381553</v>
      </c>
      <c r="AO506" s="16">
        <v>1609930</v>
      </c>
      <c r="AP506" s="31">
        <v>2991483</v>
      </c>
      <c r="AQ506" s="42"/>
      <c r="AR506" s="43"/>
      <c r="AS506" s="42"/>
      <c r="AT506" s="42"/>
    </row>
    <row r="507" spans="1:46" ht="12.9" customHeight="1" x14ac:dyDescent="0.25">
      <c r="A507" s="28" t="s">
        <v>1043</v>
      </c>
      <c r="B507" s="29" t="s">
        <v>1044</v>
      </c>
      <c r="C507" s="30" t="s">
        <v>281</v>
      </c>
      <c r="D507" s="40">
        <v>7332</v>
      </c>
      <c r="E507" s="26">
        <v>6168</v>
      </c>
      <c r="F507" s="26">
        <f t="shared" si="14"/>
        <v>13500</v>
      </c>
      <c r="G507" s="40">
        <v>7705</v>
      </c>
      <c r="H507" s="26">
        <v>6436</v>
      </c>
      <c r="I507" s="27">
        <f t="shared" si="15"/>
        <v>14141</v>
      </c>
      <c r="J507" s="40">
        <v>7510</v>
      </c>
      <c r="K507" s="26">
        <v>6477</v>
      </c>
      <c r="L507" s="27">
        <v>13987</v>
      </c>
      <c r="M507" s="26">
        <v>6837</v>
      </c>
      <c r="N507" s="26">
        <v>6643</v>
      </c>
      <c r="O507" s="27">
        <v>13480</v>
      </c>
      <c r="P507" s="26">
        <v>6158</v>
      </c>
      <c r="Q507" s="26">
        <v>7223</v>
      </c>
      <c r="R507" s="27">
        <v>13381</v>
      </c>
      <c r="S507" s="26">
        <v>6469</v>
      </c>
      <c r="T507" s="26">
        <v>7150</v>
      </c>
      <c r="U507" s="27">
        <v>13619</v>
      </c>
      <c r="V507" s="26">
        <v>6183</v>
      </c>
      <c r="W507" s="26">
        <v>7014</v>
      </c>
      <c r="X507" s="31">
        <v>13197</v>
      </c>
      <c r="Y507" s="16">
        <v>6775</v>
      </c>
      <c r="Z507" s="16">
        <v>9721</v>
      </c>
      <c r="AA507" s="31">
        <v>16496</v>
      </c>
      <c r="AB507" s="32">
        <v>7274</v>
      </c>
      <c r="AC507" s="16">
        <v>10511</v>
      </c>
      <c r="AD507" s="31">
        <v>17785</v>
      </c>
      <c r="AE507" s="16">
        <v>7306</v>
      </c>
      <c r="AF507" s="16">
        <v>7781</v>
      </c>
      <c r="AG507" s="31">
        <v>15087</v>
      </c>
      <c r="AH507" s="16">
        <v>8635</v>
      </c>
      <c r="AI507" s="16">
        <v>8604</v>
      </c>
      <c r="AJ507" s="31">
        <v>17239</v>
      </c>
      <c r="AK507" s="16">
        <v>6662</v>
      </c>
      <c r="AL507" s="16">
        <v>7258</v>
      </c>
      <c r="AM507" s="31">
        <v>13920</v>
      </c>
      <c r="AN507" s="16">
        <v>6945</v>
      </c>
      <c r="AO507" s="16">
        <v>16168</v>
      </c>
      <c r="AP507" s="31">
        <v>23113</v>
      </c>
      <c r="AQ507" s="42"/>
      <c r="AR507" s="43"/>
      <c r="AS507" s="42"/>
      <c r="AT507" s="42"/>
    </row>
    <row r="508" spans="1:46" ht="12.9" customHeight="1" x14ac:dyDescent="0.25">
      <c r="A508" s="28" t="s">
        <v>1045</v>
      </c>
      <c r="B508" s="29" t="s">
        <v>1046</v>
      </c>
      <c r="C508" s="30" t="s">
        <v>184</v>
      </c>
      <c r="D508" s="40">
        <v>25711</v>
      </c>
      <c r="E508" s="26">
        <v>23211</v>
      </c>
      <c r="F508" s="26">
        <f t="shared" si="14"/>
        <v>48922</v>
      </c>
      <c r="G508" s="40">
        <v>24969</v>
      </c>
      <c r="H508" s="26">
        <v>20668</v>
      </c>
      <c r="I508" s="27">
        <f t="shared" si="15"/>
        <v>45637</v>
      </c>
      <c r="J508" s="40">
        <v>25566</v>
      </c>
      <c r="K508" s="26">
        <v>11115</v>
      </c>
      <c r="L508" s="27">
        <v>36681</v>
      </c>
      <c r="M508" s="26">
        <v>26668</v>
      </c>
      <c r="N508" s="26">
        <v>8807</v>
      </c>
      <c r="O508" s="27">
        <v>35475</v>
      </c>
      <c r="P508" s="26">
        <v>27336</v>
      </c>
      <c r="Q508" s="26">
        <v>8175</v>
      </c>
      <c r="R508" s="27">
        <v>35511</v>
      </c>
      <c r="S508" s="26">
        <v>26187</v>
      </c>
      <c r="T508" s="26">
        <v>8053</v>
      </c>
      <c r="U508" s="27">
        <v>34240</v>
      </c>
      <c r="V508" s="26">
        <v>24980</v>
      </c>
      <c r="W508" s="26">
        <v>5526.6666666666661</v>
      </c>
      <c r="X508" s="31">
        <v>30506.666666666664</v>
      </c>
      <c r="Y508" s="16">
        <v>27840</v>
      </c>
      <c r="Z508" s="16">
        <v>11165</v>
      </c>
      <c r="AA508" s="31">
        <v>39005</v>
      </c>
      <c r="AB508" s="32">
        <v>26980</v>
      </c>
      <c r="AC508" s="16">
        <v>12164</v>
      </c>
      <c r="AD508" s="31">
        <v>39144</v>
      </c>
      <c r="AE508" s="16">
        <v>26396</v>
      </c>
      <c r="AF508" s="16">
        <v>10174</v>
      </c>
      <c r="AG508" s="31">
        <v>36570</v>
      </c>
      <c r="AH508" s="16">
        <v>28465</v>
      </c>
      <c r="AI508" s="16">
        <v>10396</v>
      </c>
      <c r="AJ508" s="31">
        <v>38861</v>
      </c>
      <c r="AK508" s="16">
        <v>30245</v>
      </c>
      <c r="AL508" s="16">
        <v>11345</v>
      </c>
      <c r="AM508" s="31">
        <v>41590</v>
      </c>
      <c r="AN508" s="16">
        <v>29292</v>
      </c>
      <c r="AO508" s="16">
        <v>12021</v>
      </c>
      <c r="AP508" s="31">
        <v>41313</v>
      </c>
      <c r="AQ508" s="42"/>
      <c r="AR508" s="43"/>
      <c r="AS508" s="42"/>
      <c r="AT508" s="42"/>
    </row>
    <row r="509" spans="1:46" ht="12.9" customHeight="1" x14ac:dyDescent="0.25">
      <c r="A509" s="28" t="s">
        <v>1047</v>
      </c>
      <c r="B509" s="29" t="s">
        <v>1048</v>
      </c>
      <c r="C509" s="30" t="s">
        <v>42</v>
      </c>
      <c r="D509" s="40">
        <v>7420</v>
      </c>
      <c r="E509" s="26">
        <v>1558.7142857142858</v>
      </c>
      <c r="F509" s="26">
        <f t="shared" si="14"/>
        <v>8978.7142857142862</v>
      </c>
      <c r="G509" s="40">
        <v>6204</v>
      </c>
      <c r="H509" s="26">
        <v>335</v>
      </c>
      <c r="I509" s="27">
        <f t="shared" si="15"/>
        <v>6539</v>
      </c>
      <c r="J509" s="40">
        <v>8195</v>
      </c>
      <c r="K509" s="26">
        <v>1568</v>
      </c>
      <c r="L509" s="27">
        <v>9763</v>
      </c>
      <c r="M509" s="26">
        <v>8195</v>
      </c>
      <c r="N509" s="26">
        <v>1568</v>
      </c>
      <c r="O509" s="27">
        <v>9763</v>
      </c>
      <c r="P509" s="26">
        <v>8201</v>
      </c>
      <c r="Q509" s="26">
        <v>3473</v>
      </c>
      <c r="R509" s="27">
        <v>11674</v>
      </c>
      <c r="S509" s="26">
        <v>10110</v>
      </c>
      <c r="T509" s="26">
        <v>13128</v>
      </c>
      <c r="U509" s="27">
        <v>23238</v>
      </c>
      <c r="V509" s="26">
        <v>8585</v>
      </c>
      <c r="W509" s="26">
        <v>15377</v>
      </c>
      <c r="X509" s="31">
        <v>23962</v>
      </c>
      <c r="Y509" s="16">
        <v>8474</v>
      </c>
      <c r="Z509" s="16">
        <v>3206</v>
      </c>
      <c r="AA509" s="31">
        <v>11680</v>
      </c>
      <c r="AB509" s="32">
        <v>9269</v>
      </c>
      <c r="AC509" s="16">
        <v>5973</v>
      </c>
      <c r="AD509" s="31">
        <v>15242</v>
      </c>
      <c r="AE509" s="16">
        <v>9404</v>
      </c>
      <c r="AF509" s="16">
        <v>4977</v>
      </c>
      <c r="AG509" s="31">
        <v>14381</v>
      </c>
      <c r="AH509" s="16">
        <v>8776</v>
      </c>
      <c r="AI509" s="16">
        <v>7701</v>
      </c>
      <c r="AJ509" s="31">
        <v>16477</v>
      </c>
      <c r="AK509" s="16">
        <v>9132</v>
      </c>
      <c r="AL509" s="16">
        <v>4623</v>
      </c>
      <c r="AM509" s="31">
        <v>13755</v>
      </c>
      <c r="AN509" s="16">
        <v>9714</v>
      </c>
      <c r="AO509" s="16">
        <v>16338</v>
      </c>
      <c r="AP509" s="31">
        <v>26052</v>
      </c>
      <c r="AQ509" s="42"/>
      <c r="AR509" s="43"/>
      <c r="AS509" s="42"/>
      <c r="AT509" s="42"/>
    </row>
    <row r="510" spans="1:46" ht="12.9" customHeight="1" x14ac:dyDescent="0.25">
      <c r="A510" s="28" t="s">
        <v>1049</v>
      </c>
      <c r="B510" s="29" t="s">
        <v>1050</v>
      </c>
      <c r="C510" s="30" t="s">
        <v>17</v>
      </c>
      <c r="D510" s="40">
        <v>5403</v>
      </c>
      <c r="E510" s="26">
        <v>23336</v>
      </c>
      <c r="F510" s="26">
        <f t="shared" si="14"/>
        <v>28739</v>
      </c>
      <c r="G510" s="40">
        <v>5465</v>
      </c>
      <c r="H510" s="26">
        <v>22817</v>
      </c>
      <c r="I510" s="27">
        <f t="shared" si="15"/>
        <v>28282</v>
      </c>
      <c r="J510" s="40">
        <v>6060</v>
      </c>
      <c r="K510" s="26">
        <v>16068</v>
      </c>
      <c r="L510" s="27">
        <v>22128</v>
      </c>
      <c r="M510" s="26">
        <v>6408</v>
      </c>
      <c r="N510" s="26">
        <v>12776</v>
      </c>
      <c r="O510" s="27">
        <v>19184</v>
      </c>
      <c r="P510" s="26">
        <v>5528</v>
      </c>
      <c r="Q510" s="26">
        <v>10957</v>
      </c>
      <c r="R510" s="27">
        <v>16485</v>
      </c>
      <c r="S510" s="26">
        <v>5402</v>
      </c>
      <c r="T510" s="26">
        <v>10869</v>
      </c>
      <c r="U510" s="27">
        <v>16271</v>
      </c>
      <c r="V510" s="26">
        <v>4846</v>
      </c>
      <c r="W510" s="26">
        <v>10986</v>
      </c>
      <c r="X510" s="31">
        <v>15832</v>
      </c>
      <c r="Y510" s="16">
        <v>5651</v>
      </c>
      <c r="Z510" s="16">
        <v>12930</v>
      </c>
      <c r="AA510" s="31">
        <v>18581</v>
      </c>
      <c r="AB510" s="32">
        <v>5745</v>
      </c>
      <c r="AC510" s="16">
        <v>12937</v>
      </c>
      <c r="AD510" s="31">
        <v>18682</v>
      </c>
      <c r="AE510" s="16">
        <v>5833</v>
      </c>
      <c r="AF510" s="16">
        <v>9927</v>
      </c>
      <c r="AG510" s="31">
        <v>15760</v>
      </c>
      <c r="AH510" s="16">
        <v>6007</v>
      </c>
      <c r="AI510" s="16">
        <v>9584</v>
      </c>
      <c r="AJ510" s="31">
        <v>15591</v>
      </c>
      <c r="AK510" s="16">
        <v>6310</v>
      </c>
      <c r="AL510" s="16">
        <v>9702</v>
      </c>
      <c r="AM510" s="31">
        <v>16012</v>
      </c>
      <c r="AN510" s="16">
        <v>6310</v>
      </c>
      <c r="AO510" s="16">
        <v>9702</v>
      </c>
      <c r="AP510" s="31">
        <v>16012</v>
      </c>
      <c r="AQ510" s="42"/>
      <c r="AR510" s="43"/>
      <c r="AS510" s="42"/>
      <c r="AT510" s="42"/>
    </row>
    <row r="511" spans="1:46" ht="12.9" customHeight="1" x14ac:dyDescent="0.25">
      <c r="A511" s="28" t="s">
        <v>1051</v>
      </c>
      <c r="B511" s="29" t="s">
        <v>1052</v>
      </c>
      <c r="C511" s="30" t="s">
        <v>23</v>
      </c>
      <c r="D511" s="40">
        <v>14103</v>
      </c>
      <c r="E511" s="26">
        <v>11707</v>
      </c>
      <c r="F511" s="26">
        <f t="shared" si="14"/>
        <v>25810</v>
      </c>
      <c r="G511" s="40">
        <v>15183</v>
      </c>
      <c r="H511" s="26">
        <v>14054</v>
      </c>
      <c r="I511" s="27">
        <f t="shared" si="15"/>
        <v>29237</v>
      </c>
      <c r="J511" s="40">
        <v>18616</v>
      </c>
      <c r="K511" s="26">
        <v>15325</v>
      </c>
      <c r="L511" s="27">
        <v>33941</v>
      </c>
      <c r="M511" s="26">
        <v>18229</v>
      </c>
      <c r="N511" s="26">
        <v>11143</v>
      </c>
      <c r="O511" s="27">
        <v>29372</v>
      </c>
      <c r="P511" s="26">
        <v>19167</v>
      </c>
      <c r="Q511" s="26">
        <v>6829</v>
      </c>
      <c r="R511" s="27">
        <v>25996</v>
      </c>
      <c r="S511" s="26">
        <v>16709</v>
      </c>
      <c r="T511" s="26">
        <v>8171</v>
      </c>
      <c r="U511" s="27">
        <v>24880</v>
      </c>
      <c r="V511" s="26">
        <v>16998</v>
      </c>
      <c r="W511" s="26">
        <v>7121</v>
      </c>
      <c r="X511" s="31">
        <v>24119</v>
      </c>
      <c r="Y511" s="16">
        <v>18421</v>
      </c>
      <c r="Z511" s="16">
        <v>9032</v>
      </c>
      <c r="AA511" s="31">
        <v>27453</v>
      </c>
      <c r="AB511" s="32">
        <v>19853</v>
      </c>
      <c r="AC511" s="16">
        <v>6196</v>
      </c>
      <c r="AD511" s="31">
        <v>26049</v>
      </c>
      <c r="AE511" s="16">
        <v>19128</v>
      </c>
      <c r="AF511" s="16">
        <v>14189</v>
      </c>
      <c r="AG511" s="31">
        <v>33317</v>
      </c>
      <c r="AH511" s="16">
        <v>16913</v>
      </c>
      <c r="AI511" s="16">
        <v>8877</v>
      </c>
      <c r="AJ511" s="31">
        <v>25790</v>
      </c>
      <c r="AK511" s="16">
        <v>16665</v>
      </c>
      <c r="AL511" s="16">
        <v>10798</v>
      </c>
      <c r="AM511" s="31">
        <v>27463</v>
      </c>
      <c r="AN511" s="16">
        <v>20305</v>
      </c>
      <c r="AO511" s="16">
        <v>9496</v>
      </c>
      <c r="AP511" s="31">
        <v>29801</v>
      </c>
      <c r="AQ511" s="42"/>
      <c r="AR511" s="43"/>
      <c r="AS511" s="42"/>
      <c r="AT511" s="42"/>
    </row>
    <row r="512" spans="1:46" ht="12.9" customHeight="1" x14ac:dyDescent="0.25">
      <c r="A512" s="28" t="s">
        <v>1053</v>
      </c>
      <c r="B512" s="29" t="s">
        <v>1054</v>
      </c>
      <c r="C512" s="30" t="s">
        <v>39</v>
      </c>
      <c r="D512" s="40">
        <v>52834</v>
      </c>
      <c r="E512" s="26">
        <v>58112</v>
      </c>
      <c r="F512" s="26">
        <f t="shared" si="14"/>
        <v>110946</v>
      </c>
      <c r="G512" s="40">
        <v>43112</v>
      </c>
      <c r="H512" s="26">
        <v>39984</v>
      </c>
      <c r="I512" s="27">
        <f t="shared" si="15"/>
        <v>83096</v>
      </c>
      <c r="J512" s="40">
        <v>62371</v>
      </c>
      <c r="K512" s="26">
        <v>47840</v>
      </c>
      <c r="L512" s="27">
        <v>110211</v>
      </c>
      <c r="M512" s="26">
        <v>54643</v>
      </c>
      <c r="N512" s="26">
        <v>41100</v>
      </c>
      <c r="O512" s="27">
        <v>95743</v>
      </c>
      <c r="P512" s="26">
        <v>52837</v>
      </c>
      <c r="Q512" s="26">
        <v>49944</v>
      </c>
      <c r="R512" s="27">
        <v>102781</v>
      </c>
      <c r="S512" s="26">
        <v>56440</v>
      </c>
      <c r="T512" s="26">
        <v>58080</v>
      </c>
      <c r="U512" s="27">
        <v>114520</v>
      </c>
      <c r="V512" s="26">
        <v>46700</v>
      </c>
      <c r="W512" s="26">
        <v>42503</v>
      </c>
      <c r="X512" s="31">
        <v>89203</v>
      </c>
      <c r="Y512" s="16">
        <v>51249</v>
      </c>
      <c r="Z512" s="16">
        <v>52479</v>
      </c>
      <c r="AA512" s="31">
        <v>103728</v>
      </c>
      <c r="AB512" s="32">
        <v>58698</v>
      </c>
      <c r="AC512" s="16">
        <v>53080</v>
      </c>
      <c r="AD512" s="31">
        <v>111778</v>
      </c>
      <c r="AE512" s="16">
        <v>54902</v>
      </c>
      <c r="AF512" s="16">
        <v>41786</v>
      </c>
      <c r="AG512" s="31">
        <v>96688</v>
      </c>
      <c r="AH512" s="16">
        <v>53032</v>
      </c>
      <c r="AI512" s="16">
        <v>40954</v>
      </c>
      <c r="AJ512" s="31">
        <v>93986</v>
      </c>
      <c r="AK512" s="16">
        <v>48995.429156010228</v>
      </c>
      <c r="AL512" s="16">
        <v>37090.893939393936</v>
      </c>
      <c r="AM512" s="31">
        <v>86086.323095404165</v>
      </c>
      <c r="AN512" s="16">
        <v>53336</v>
      </c>
      <c r="AO512" s="16">
        <v>25612</v>
      </c>
      <c r="AP512" s="31">
        <v>78948</v>
      </c>
      <c r="AQ512" s="42"/>
      <c r="AR512" s="43"/>
      <c r="AS512" s="42"/>
      <c r="AT512" s="42"/>
    </row>
    <row r="513" spans="1:46" ht="12.9" customHeight="1" x14ac:dyDescent="0.25">
      <c r="A513" s="28" t="s">
        <v>1055</v>
      </c>
      <c r="B513" s="29" t="s">
        <v>1056</v>
      </c>
      <c r="C513" s="30" t="s">
        <v>113</v>
      </c>
      <c r="D513" s="40">
        <v>10556</v>
      </c>
      <c r="E513" s="26">
        <v>83500</v>
      </c>
      <c r="F513" s="26">
        <f t="shared" si="14"/>
        <v>94056</v>
      </c>
      <c r="G513" s="40">
        <v>9729</v>
      </c>
      <c r="H513" s="26">
        <v>103121</v>
      </c>
      <c r="I513" s="27">
        <f t="shared" si="15"/>
        <v>112850</v>
      </c>
      <c r="J513" s="40">
        <v>11758</v>
      </c>
      <c r="K513" s="26">
        <v>77064</v>
      </c>
      <c r="L513" s="27">
        <v>88822</v>
      </c>
      <c r="M513" s="26">
        <v>10294</v>
      </c>
      <c r="N513" s="26">
        <v>86905</v>
      </c>
      <c r="O513" s="27">
        <v>97199</v>
      </c>
      <c r="P513" s="26">
        <v>9233</v>
      </c>
      <c r="Q513" s="26">
        <v>78620</v>
      </c>
      <c r="R513" s="27">
        <v>87853</v>
      </c>
      <c r="S513" s="26">
        <v>8840</v>
      </c>
      <c r="T513" s="26">
        <v>93033</v>
      </c>
      <c r="U513" s="27">
        <v>101873</v>
      </c>
      <c r="V513" s="26">
        <v>7780</v>
      </c>
      <c r="W513" s="26">
        <v>77178</v>
      </c>
      <c r="X513" s="31">
        <v>84958</v>
      </c>
      <c r="Y513" s="16">
        <v>10138</v>
      </c>
      <c r="Z513" s="16">
        <v>78058</v>
      </c>
      <c r="AA513" s="31">
        <v>88196</v>
      </c>
      <c r="AB513" s="32">
        <v>10164</v>
      </c>
      <c r="AC513" s="16">
        <v>63446</v>
      </c>
      <c r="AD513" s="31">
        <v>73610</v>
      </c>
      <c r="AE513" s="16">
        <v>8308</v>
      </c>
      <c r="AF513" s="16">
        <v>46189</v>
      </c>
      <c r="AG513" s="31">
        <v>54497</v>
      </c>
      <c r="AH513" s="16">
        <v>7506</v>
      </c>
      <c r="AI513" s="16">
        <v>53722</v>
      </c>
      <c r="AJ513" s="31">
        <v>61228</v>
      </c>
      <c r="AK513" s="16">
        <v>7598</v>
      </c>
      <c r="AL513" s="16">
        <v>44382</v>
      </c>
      <c r="AM513" s="31">
        <v>51980</v>
      </c>
      <c r="AN513" s="16">
        <v>8506</v>
      </c>
      <c r="AO513" s="16">
        <v>73059</v>
      </c>
      <c r="AP513" s="31">
        <v>81565</v>
      </c>
      <c r="AQ513" s="42"/>
      <c r="AR513" s="43"/>
      <c r="AS513" s="42"/>
      <c r="AT513" s="42"/>
    </row>
    <row r="514" spans="1:46" ht="12.9" customHeight="1" x14ac:dyDescent="0.25">
      <c r="A514" s="28" t="s">
        <v>1057</v>
      </c>
      <c r="B514" s="29" t="s">
        <v>1058</v>
      </c>
      <c r="C514" s="47" t="s">
        <v>1946</v>
      </c>
      <c r="D514" s="40">
        <v>15500</v>
      </c>
      <c r="E514" s="26">
        <v>43733</v>
      </c>
      <c r="F514" s="26">
        <f t="shared" si="14"/>
        <v>59233</v>
      </c>
      <c r="G514" s="40">
        <v>15078</v>
      </c>
      <c r="H514" s="26">
        <v>47781</v>
      </c>
      <c r="I514" s="27">
        <f t="shared" si="15"/>
        <v>62859</v>
      </c>
      <c r="J514" s="40">
        <v>17113</v>
      </c>
      <c r="K514" s="26">
        <v>55295</v>
      </c>
      <c r="L514" s="27">
        <v>72408</v>
      </c>
      <c r="M514" s="26">
        <v>17206</v>
      </c>
      <c r="N514" s="26">
        <v>57578</v>
      </c>
      <c r="O514" s="27">
        <v>74784</v>
      </c>
      <c r="P514" s="26">
        <v>16889</v>
      </c>
      <c r="Q514" s="26">
        <v>55678</v>
      </c>
      <c r="R514" s="27">
        <v>72567</v>
      </c>
      <c r="S514" s="26">
        <v>16503</v>
      </c>
      <c r="T514" s="26">
        <v>64663</v>
      </c>
      <c r="U514" s="27">
        <v>81166</v>
      </c>
      <c r="V514" s="26">
        <v>14565</v>
      </c>
      <c r="W514" s="26">
        <v>54511</v>
      </c>
      <c r="X514" s="31">
        <v>69076</v>
      </c>
      <c r="Y514" s="16">
        <v>15941</v>
      </c>
      <c r="Z514" s="16">
        <v>58717</v>
      </c>
      <c r="AA514" s="31">
        <v>74658</v>
      </c>
      <c r="AB514" s="32">
        <v>19412</v>
      </c>
      <c r="AC514" s="16">
        <v>55121</v>
      </c>
      <c r="AD514" s="31">
        <v>74533</v>
      </c>
      <c r="AE514" s="16">
        <v>14595</v>
      </c>
      <c r="AF514" s="16">
        <v>54539</v>
      </c>
      <c r="AG514" s="31">
        <v>69134</v>
      </c>
      <c r="AH514" s="16">
        <v>13433</v>
      </c>
      <c r="AI514" s="16">
        <v>53845</v>
      </c>
      <c r="AJ514" s="31">
        <v>67278</v>
      </c>
      <c r="AK514" s="16">
        <v>14286.366992399566</v>
      </c>
      <c r="AL514" s="16">
        <v>20093.19540229885</v>
      </c>
      <c r="AM514" s="31">
        <v>34379.562394698412</v>
      </c>
      <c r="AN514" s="16">
        <v>16836</v>
      </c>
      <c r="AO514" s="16">
        <v>50605</v>
      </c>
      <c r="AP514" s="31">
        <v>67441</v>
      </c>
      <c r="AQ514" s="42"/>
      <c r="AR514" s="43"/>
      <c r="AS514" s="42"/>
      <c r="AT514" s="42"/>
    </row>
    <row r="515" spans="1:46" ht="12.9" customHeight="1" x14ac:dyDescent="0.25">
      <c r="A515" s="28" t="s">
        <v>1059</v>
      </c>
      <c r="B515" s="29" t="s">
        <v>1060</v>
      </c>
      <c r="C515" s="30" t="s">
        <v>153</v>
      </c>
      <c r="D515" s="40">
        <v>5379</v>
      </c>
      <c r="E515" s="26">
        <v>971</v>
      </c>
      <c r="F515" s="26">
        <f t="shared" si="14"/>
        <v>6350</v>
      </c>
      <c r="G515" s="40">
        <v>6500</v>
      </c>
      <c r="H515" s="26">
        <v>1557</v>
      </c>
      <c r="I515" s="27">
        <f t="shared" si="15"/>
        <v>8057</v>
      </c>
      <c r="J515" s="40">
        <v>6005</v>
      </c>
      <c r="K515" s="26">
        <v>1632</v>
      </c>
      <c r="L515" s="27">
        <v>7637</v>
      </c>
      <c r="M515" s="26">
        <v>6782</v>
      </c>
      <c r="N515" s="26">
        <v>1360</v>
      </c>
      <c r="O515" s="27">
        <v>8142</v>
      </c>
      <c r="P515" s="26">
        <v>7156</v>
      </c>
      <c r="Q515" s="26">
        <v>1162</v>
      </c>
      <c r="R515" s="27">
        <v>8318</v>
      </c>
      <c r="S515" s="26">
        <v>6632</v>
      </c>
      <c r="T515" s="26">
        <v>1106</v>
      </c>
      <c r="U515" s="27">
        <v>7738</v>
      </c>
      <c r="V515" s="26">
        <v>6646</v>
      </c>
      <c r="W515" s="26">
        <v>1401</v>
      </c>
      <c r="X515" s="31">
        <v>8047</v>
      </c>
      <c r="Y515" s="16">
        <v>7663</v>
      </c>
      <c r="Z515" s="16">
        <v>2595</v>
      </c>
      <c r="AA515" s="31">
        <v>10258</v>
      </c>
      <c r="AB515" s="32">
        <v>6678</v>
      </c>
      <c r="AC515" s="16">
        <v>2056</v>
      </c>
      <c r="AD515" s="31">
        <v>8734</v>
      </c>
      <c r="AE515" s="16">
        <v>6854</v>
      </c>
      <c r="AF515" s="16">
        <v>2414</v>
      </c>
      <c r="AG515" s="31">
        <v>9268</v>
      </c>
      <c r="AH515" s="16">
        <v>6570</v>
      </c>
      <c r="AI515" s="16">
        <v>2136</v>
      </c>
      <c r="AJ515" s="31">
        <v>8706</v>
      </c>
      <c r="AK515" s="16">
        <v>6904</v>
      </c>
      <c r="AL515" s="16">
        <v>2630</v>
      </c>
      <c r="AM515" s="31">
        <v>9534</v>
      </c>
      <c r="AN515" s="16">
        <v>7201</v>
      </c>
      <c r="AO515" s="16">
        <v>3524</v>
      </c>
      <c r="AP515" s="31">
        <v>10725</v>
      </c>
      <c r="AQ515" s="42"/>
      <c r="AR515" s="43"/>
      <c r="AS515" s="42"/>
      <c r="AT515" s="42"/>
    </row>
    <row r="516" spans="1:46" ht="12.9" customHeight="1" x14ac:dyDescent="0.25">
      <c r="A516" s="28" t="s">
        <v>1061</v>
      </c>
      <c r="B516" s="29" t="s">
        <v>1062</v>
      </c>
      <c r="C516" s="30" t="s">
        <v>80</v>
      </c>
      <c r="D516" s="40">
        <v>26865</v>
      </c>
      <c r="E516" s="26">
        <v>3589</v>
      </c>
      <c r="F516" s="26">
        <f t="shared" si="14"/>
        <v>30454</v>
      </c>
      <c r="G516" s="40">
        <v>35734</v>
      </c>
      <c r="H516" s="26">
        <v>6158</v>
      </c>
      <c r="I516" s="27">
        <f t="shared" si="15"/>
        <v>41892</v>
      </c>
      <c r="J516" s="40">
        <v>37147</v>
      </c>
      <c r="K516" s="26">
        <v>6233</v>
      </c>
      <c r="L516" s="27">
        <v>43380</v>
      </c>
      <c r="M516" s="26">
        <v>40680</v>
      </c>
      <c r="N516" s="26">
        <v>5635</v>
      </c>
      <c r="O516" s="27">
        <v>46315</v>
      </c>
      <c r="P516" s="26">
        <v>46500</v>
      </c>
      <c r="Q516" s="26">
        <v>3903</v>
      </c>
      <c r="R516" s="27">
        <v>50403</v>
      </c>
      <c r="S516" s="26">
        <v>35263</v>
      </c>
      <c r="T516" s="26">
        <v>3605</v>
      </c>
      <c r="U516" s="27">
        <v>38868</v>
      </c>
      <c r="V516" s="26">
        <v>34123</v>
      </c>
      <c r="W516" s="26">
        <v>3843</v>
      </c>
      <c r="X516" s="31">
        <v>37966</v>
      </c>
      <c r="Y516" s="16">
        <v>33267</v>
      </c>
      <c r="Z516" s="16">
        <v>4007</v>
      </c>
      <c r="AA516" s="31">
        <v>37274</v>
      </c>
      <c r="AB516" s="32">
        <v>35459</v>
      </c>
      <c r="AC516" s="16">
        <v>3994</v>
      </c>
      <c r="AD516" s="31">
        <v>39453</v>
      </c>
      <c r="AE516" s="16">
        <v>33863</v>
      </c>
      <c r="AF516" s="16">
        <v>5226</v>
      </c>
      <c r="AG516" s="31">
        <v>39089</v>
      </c>
      <c r="AH516" s="16">
        <v>34237</v>
      </c>
      <c r="AI516" s="16">
        <v>3800</v>
      </c>
      <c r="AJ516" s="31">
        <v>38037</v>
      </c>
      <c r="AK516" s="16">
        <v>32085</v>
      </c>
      <c r="AL516" s="16">
        <v>3217</v>
      </c>
      <c r="AM516" s="31">
        <v>35302</v>
      </c>
      <c r="AN516" s="16">
        <v>38290</v>
      </c>
      <c r="AO516" s="16">
        <v>3280</v>
      </c>
      <c r="AP516" s="31">
        <v>41570</v>
      </c>
      <c r="AQ516" s="42"/>
      <c r="AR516" s="43"/>
      <c r="AS516" s="42"/>
      <c r="AT516" s="42"/>
    </row>
    <row r="517" spans="1:46" ht="12.9" customHeight="1" x14ac:dyDescent="0.25">
      <c r="A517" s="28" t="s">
        <v>1063</v>
      </c>
      <c r="B517" s="29" t="s">
        <v>1064</v>
      </c>
      <c r="C517" s="30" t="s">
        <v>14</v>
      </c>
      <c r="D517" s="40">
        <v>49952</v>
      </c>
      <c r="E517" s="26">
        <v>3517</v>
      </c>
      <c r="F517" s="26">
        <f t="shared" si="14"/>
        <v>53469</v>
      </c>
      <c r="G517" s="40">
        <v>51385</v>
      </c>
      <c r="H517" s="26">
        <v>6036</v>
      </c>
      <c r="I517" s="27">
        <f t="shared" si="15"/>
        <v>57421</v>
      </c>
      <c r="J517" s="40">
        <v>51309</v>
      </c>
      <c r="K517" s="26">
        <v>3352</v>
      </c>
      <c r="L517" s="27">
        <v>54661</v>
      </c>
      <c r="M517" s="26">
        <v>49911</v>
      </c>
      <c r="N517" s="26">
        <v>2899</v>
      </c>
      <c r="O517" s="27">
        <v>52810</v>
      </c>
      <c r="P517" s="26">
        <v>42028</v>
      </c>
      <c r="Q517" s="26">
        <v>14263</v>
      </c>
      <c r="R517" s="27">
        <v>56291</v>
      </c>
      <c r="S517" s="26">
        <v>45105</v>
      </c>
      <c r="T517" s="26">
        <v>6640</v>
      </c>
      <c r="U517" s="27">
        <v>51745</v>
      </c>
      <c r="V517" s="26">
        <v>45319</v>
      </c>
      <c r="W517" s="26">
        <v>21535</v>
      </c>
      <c r="X517" s="31">
        <v>66854</v>
      </c>
      <c r="Y517" s="16">
        <v>47327</v>
      </c>
      <c r="Z517" s="16">
        <v>21834</v>
      </c>
      <c r="AA517" s="31">
        <v>69161</v>
      </c>
      <c r="AB517" s="32">
        <v>41504</v>
      </c>
      <c r="AC517" s="16">
        <v>20710</v>
      </c>
      <c r="AD517" s="31">
        <v>62214</v>
      </c>
      <c r="AE517" s="16">
        <v>51868</v>
      </c>
      <c r="AF517" s="16">
        <v>24762</v>
      </c>
      <c r="AG517" s="31">
        <v>76630</v>
      </c>
      <c r="AH517" s="16">
        <v>45175</v>
      </c>
      <c r="AI517" s="16">
        <v>19318</v>
      </c>
      <c r="AJ517" s="31">
        <v>64493</v>
      </c>
      <c r="AK517" s="16">
        <v>49853</v>
      </c>
      <c r="AL517" s="16">
        <v>24561</v>
      </c>
      <c r="AM517" s="31">
        <v>74414</v>
      </c>
      <c r="AN517" s="16">
        <v>58191</v>
      </c>
      <c r="AO517" s="16">
        <v>7199</v>
      </c>
      <c r="AP517" s="31">
        <v>65390</v>
      </c>
      <c r="AQ517" s="42"/>
      <c r="AR517" s="43"/>
      <c r="AS517" s="42"/>
      <c r="AT517" s="42"/>
    </row>
    <row r="518" spans="1:46" ht="12.9" customHeight="1" x14ac:dyDescent="0.25">
      <c r="A518" s="28" t="s">
        <v>1065</v>
      </c>
      <c r="B518" s="29" t="s">
        <v>1066</v>
      </c>
      <c r="C518" s="30" t="s">
        <v>123</v>
      </c>
      <c r="D518" s="40">
        <v>14415</v>
      </c>
      <c r="E518" s="26">
        <v>43721</v>
      </c>
      <c r="F518" s="26">
        <f t="shared" si="14"/>
        <v>58136</v>
      </c>
      <c r="G518" s="40">
        <v>16630</v>
      </c>
      <c r="H518" s="26">
        <v>51759</v>
      </c>
      <c r="I518" s="27">
        <f t="shared" si="15"/>
        <v>68389</v>
      </c>
      <c r="J518" s="40">
        <v>16630</v>
      </c>
      <c r="K518" s="26">
        <v>42122</v>
      </c>
      <c r="L518" s="27">
        <v>58752</v>
      </c>
      <c r="M518" s="26">
        <v>16190</v>
      </c>
      <c r="N518" s="26">
        <v>45282</v>
      </c>
      <c r="O518" s="27">
        <v>61472</v>
      </c>
      <c r="P518" s="26">
        <v>16574</v>
      </c>
      <c r="Q518" s="26">
        <v>38784</v>
      </c>
      <c r="R518" s="27">
        <v>55358</v>
      </c>
      <c r="S518" s="26">
        <v>15567</v>
      </c>
      <c r="T518" s="26">
        <v>51724</v>
      </c>
      <c r="U518" s="27">
        <v>67291</v>
      </c>
      <c r="V518" s="26">
        <v>15219</v>
      </c>
      <c r="W518" s="26">
        <v>48609</v>
      </c>
      <c r="X518" s="31">
        <v>63828</v>
      </c>
      <c r="Y518" s="16">
        <v>17200</v>
      </c>
      <c r="Z518" s="16">
        <v>51240</v>
      </c>
      <c r="AA518" s="31">
        <v>68440</v>
      </c>
      <c r="AB518" s="32">
        <v>17200</v>
      </c>
      <c r="AC518" s="16">
        <v>47588</v>
      </c>
      <c r="AD518" s="31">
        <v>64788</v>
      </c>
      <c r="AE518" s="16">
        <v>22714</v>
      </c>
      <c r="AF518" s="16">
        <v>48542</v>
      </c>
      <c r="AG518" s="31">
        <v>71256</v>
      </c>
      <c r="AH518" s="16">
        <v>22714</v>
      </c>
      <c r="AI518" s="16">
        <v>37679</v>
      </c>
      <c r="AJ518" s="31">
        <v>60393</v>
      </c>
      <c r="AK518" s="16">
        <v>22714</v>
      </c>
      <c r="AL518" s="16">
        <v>40527</v>
      </c>
      <c r="AM518" s="31">
        <v>63241</v>
      </c>
      <c r="AN518" s="16">
        <v>22714</v>
      </c>
      <c r="AO518" s="16">
        <v>51374</v>
      </c>
      <c r="AP518" s="31">
        <v>74088</v>
      </c>
      <c r="AQ518" s="42"/>
      <c r="AR518" s="43"/>
      <c r="AS518" s="42"/>
      <c r="AT518" s="42"/>
    </row>
    <row r="519" spans="1:46" ht="12.9" customHeight="1" x14ac:dyDescent="0.25">
      <c r="A519" s="28" t="s">
        <v>1067</v>
      </c>
      <c r="B519" s="29" t="s">
        <v>1068</v>
      </c>
      <c r="C519" s="30" t="s">
        <v>17</v>
      </c>
      <c r="D519" s="40">
        <v>6913</v>
      </c>
      <c r="E519" s="26">
        <v>61546</v>
      </c>
      <c r="F519" s="26">
        <f t="shared" si="14"/>
        <v>68459</v>
      </c>
      <c r="G519" s="40">
        <v>7208</v>
      </c>
      <c r="H519" s="26">
        <v>68036</v>
      </c>
      <c r="I519" s="27">
        <f t="shared" si="15"/>
        <v>75244</v>
      </c>
      <c r="J519" s="40">
        <v>7889</v>
      </c>
      <c r="K519" s="26">
        <v>55925</v>
      </c>
      <c r="L519" s="27">
        <v>63814</v>
      </c>
      <c r="M519" s="26">
        <v>7953</v>
      </c>
      <c r="N519" s="26">
        <v>72247</v>
      </c>
      <c r="O519" s="27">
        <v>80200</v>
      </c>
      <c r="P519" s="26">
        <v>8093</v>
      </c>
      <c r="Q519" s="26">
        <v>67095</v>
      </c>
      <c r="R519" s="27">
        <v>75188</v>
      </c>
      <c r="S519" s="26">
        <v>7381</v>
      </c>
      <c r="T519" s="26">
        <v>66874</v>
      </c>
      <c r="U519" s="27">
        <v>74255</v>
      </c>
      <c r="V519" s="26">
        <v>8699</v>
      </c>
      <c r="W519" s="26">
        <v>76673</v>
      </c>
      <c r="X519" s="31">
        <v>85372</v>
      </c>
      <c r="Y519" s="16">
        <v>8294.4</v>
      </c>
      <c r="Z519" s="16">
        <v>65614.600000000006</v>
      </c>
      <c r="AA519" s="31">
        <v>73909</v>
      </c>
      <c r="AB519" s="32">
        <v>14298</v>
      </c>
      <c r="AC519" s="16">
        <v>88803</v>
      </c>
      <c r="AD519" s="31">
        <v>103101</v>
      </c>
      <c r="AE519" s="16">
        <v>8532</v>
      </c>
      <c r="AF519" s="16">
        <v>89565</v>
      </c>
      <c r="AG519" s="31">
        <v>98097</v>
      </c>
      <c r="AH519" s="16">
        <v>10421</v>
      </c>
      <c r="AI519" s="16">
        <v>5823</v>
      </c>
      <c r="AJ519" s="31">
        <v>16244</v>
      </c>
      <c r="AK519" s="16">
        <v>8980</v>
      </c>
      <c r="AL519" s="16">
        <v>1540</v>
      </c>
      <c r="AM519" s="31">
        <v>10520</v>
      </c>
      <c r="AN519" s="16">
        <v>12570</v>
      </c>
      <c r="AO519" s="16">
        <v>70461</v>
      </c>
      <c r="AP519" s="31">
        <v>83031</v>
      </c>
      <c r="AQ519" s="42"/>
      <c r="AR519" s="43"/>
      <c r="AS519" s="42"/>
      <c r="AT519" s="42"/>
    </row>
    <row r="520" spans="1:46" ht="12.9" customHeight="1" x14ac:dyDescent="0.25">
      <c r="A520" s="28" t="s">
        <v>1069</v>
      </c>
      <c r="B520" s="29" t="s">
        <v>1070</v>
      </c>
      <c r="C520" s="30" t="s">
        <v>191</v>
      </c>
      <c r="D520" s="40">
        <v>42267</v>
      </c>
      <c r="E520" s="26">
        <v>126793</v>
      </c>
      <c r="F520" s="26">
        <f t="shared" si="14"/>
        <v>169060</v>
      </c>
      <c r="G520" s="40">
        <v>46189</v>
      </c>
      <c r="H520" s="26">
        <v>152601</v>
      </c>
      <c r="I520" s="27">
        <f t="shared" si="15"/>
        <v>198790</v>
      </c>
      <c r="J520" s="40">
        <v>54760</v>
      </c>
      <c r="K520" s="26">
        <v>151968</v>
      </c>
      <c r="L520" s="27">
        <v>206728</v>
      </c>
      <c r="M520" s="26">
        <v>45090</v>
      </c>
      <c r="N520" s="26">
        <v>130290</v>
      </c>
      <c r="O520" s="27">
        <v>175380</v>
      </c>
      <c r="P520" s="26">
        <v>43973</v>
      </c>
      <c r="Q520" s="26">
        <v>146325</v>
      </c>
      <c r="R520" s="27">
        <v>190298</v>
      </c>
      <c r="S520" s="26">
        <v>44870</v>
      </c>
      <c r="T520" s="26">
        <v>193402</v>
      </c>
      <c r="U520" s="27">
        <v>238272</v>
      </c>
      <c r="V520" s="26">
        <v>37612</v>
      </c>
      <c r="W520" s="26">
        <v>183977</v>
      </c>
      <c r="X520" s="31">
        <v>221589</v>
      </c>
      <c r="Y520" s="16">
        <v>40728</v>
      </c>
      <c r="Z520" s="16">
        <v>170048</v>
      </c>
      <c r="AA520" s="31">
        <v>210776</v>
      </c>
      <c r="AB520" s="32">
        <v>39577</v>
      </c>
      <c r="AC520" s="16">
        <v>211939</v>
      </c>
      <c r="AD520" s="31">
        <v>251516</v>
      </c>
      <c r="AE520" s="16">
        <v>40127</v>
      </c>
      <c r="AF520" s="16">
        <v>197412</v>
      </c>
      <c r="AG520" s="31">
        <v>237539</v>
      </c>
      <c r="AH520" s="16">
        <v>41014</v>
      </c>
      <c r="AI520" s="16">
        <v>187161</v>
      </c>
      <c r="AJ520" s="31">
        <v>228175</v>
      </c>
      <c r="AK520" s="16">
        <v>40441</v>
      </c>
      <c r="AL520" s="16">
        <v>181949</v>
      </c>
      <c r="AM520" s="31">
        <v>222390</v>
      </c>
      <c r="AN520" s="16">
        <v>46122</v>
      </c>
      <c r="AO520" s="16">
        <v>200229</v>
      </c>
      <c r="AP520" s="31">
        <v>246351</v>
      </c>
      <c r="AQ520" s="42"/>
      <c r="AR520" s="43"/>
      <c r="AS520" s="42"/>
      <c r="AT520" s="42"/>
    </row>
    <row r="521" spans="1:46" ht="12.9" customHeight="1" x14ac:dyDescent="0.25">
      <c r="A521" s="28" t="s">
        <v>1071</v>
      </c>
      <c r="B521" s="29" t="s">
        <v>1072</v>
      </c>
      <c r="C521" s="30" t="s">
        <v>80</v>
      </c>
      <c r="D521" s="40">
        <v>332625</v>
      </c>
      <c r="E521" s="26">
        <v>661527</v>
      </c>
      <c r="F521" s="26">
        <f t="shared" ref="F521:F584" si="16">+D521+E521</f>
        <v>994152</v>
      </c>
      <c r="G521" s="40">
        <v>379091</v>
      </c>
      <c r="H521" s="26">
        <v>630645</v>
      </c>
      <c r="I521" s="27">
        <f t="shared" si="15"/>
        <v>1009736</v>
      </c>
      <c r="J521" s="40">
        <v>387600</v>
      </c>
      <c r="K521" s="26">
        <v>699919</v>
      </c>
      <c r="L521" s="27">
        <v>1087519</v>
      </c>
      <c r="M521" s="26">
        <v>404044</v>
      </c>
      <c r="N521" s="26">
        <v>669293</v>
      </c>
      <c r="O521" s="27">
        <v>1073337</v>
      </c>
      <c r="P521" s="26">
        <v>473001</v>
      </c>
      <c r="Q521" s="26">
        <v>667001</v>
      </c>
      <c r="R521" s="27">
        <v>1140002</v>
      </c>
      <c r="S521" s="26">
        <v>388513</v>
      </c>
      <c r="T521" s="26">
        <v>702490</v>
      </c>
      <c r="U521" s="27">
        <v>1091003</v>
      </c>
      <c r="V521" s="26">
        <v>383647</v>
      </c>
      <c r="W521" s="26">
        <v>745358</v>
      </c>
      <c r="X521" s="31">
        <v>1129005</v>
      </c>
      <c r="Y521" s="16">
        <v>379839</v>
      </c>
      <c r="Z521" s="16">
        <v>722473</v>
      </c>
      <c r="AA521" s="31">
        <v>1102312</v>
      </c>
      <c r="AB521" s="32">
        <v>379340</v>
      </c>
      <c r="AC521" s="16">
        <v>781868</v>
      </c>
      <c r="AD521" s="31">
        <v>1161208</v>
      </c>
      <c r="AE521" s="16">
        <v>369280</v>
      </c>
      <c r="AF521" s="16">
        <v>792021</v>
      </c>
      <c r="AG521" s="31">
        <v>1161301</v>
      </c>
      <c r="AH521" s="16">
        <v>395580</v>
      </c>
      <c r="AI521" s="16">
        <v>772270</v>
      </c>
      <c r="AJ521" s="31">
        <v>1167850</v>
      </c>
      <c r="AK521" s="16">
        <v>368279</v>
      </c>
      <c r="AL521" s="16">
        <v>730979</v>
      </c>
      <c r="AM521" s="31">
        <v>1099258</v>
      </c>
      <c r="AN521" s="16">
        <v>383315</v>
      </c>
      <c r="AO521" s="16">
        <v>742015</v>
      </c>
      <c r="AP521" s="31">
        <v>1125330</v>
      </c>
      <c r="AQ521" s="42"/>
      <c r="AR521" s="43"/>
      <c r="AS521" s="42"/>
      <c r="AT521" s="42"/>
    </row>
    <row r="522" spans="1:46" ht="12.9" customHeight="1" x14ac:dyDescent="0.25">
      <c r="A522" s="28" t="s">
        <v>1073</v>
      </c>
      <c r="B522" s="29" t="s">
        <v>1074</v>
      </c>
      <c r="C522" s="30" t="s">
        <v>59</v>
      </c>
      <c r="D522" s="40">
        <v>1402384</v>
      </c>
      <c r="E522" s="26">
        <v>474575</v>
      </c>
      <c r="F522" s="26">
        <f t="shared" si="16"/>
        <v>1876959</v>
      </c>
      <c r="G522" s="40">
        <v>1447775</v>
      </c>
      <c r="H522" s="26">
        <v>474337</v>
      </c>
      <c r="I522" s="27">
        <f t="shared" ref="I522:I585" si="17">+G522+H522</f>
        <v>1922112</v>
      </c>
      <c r="J522" s="40">
        <v>1608124</v>
      </c>
      <c r="K522" s="26">
        <v>564068</v>
      </c>
      <c r="L522" s="27">
        <v>2172192</v>
      </c>
      <c r="M522" s="26">
        <v>1550841</v>
      </c>
      <c r="N522" s="26">
        <v>479933</v>
      </c>
      <c r="O522" s="27">
        <v>2030774</v>
      </c>
      <c r="P522" s="26">
        <v>1490156</v>
      </c>
      <c r="Q522" s="26">
        <v>437212</v>
      </c>
      <c r="R522" s="27">
        <v>1927368</v>
      </c>
      <c r="S522" s="26">
        <v>1551129</v>
      </c>
      <c r="T522" s="26">
        <v>550490</v>
      </c>
      <c r="U522" s="27">
        <v>2101619</v>
      </c>
      <c r="V522" s="26">
        <v>1466528</v>
      </c>
      <c r="W522" s="26">
        <v>512032</v>
      </c>
      <c r="X522" s="31">
        <v>1978560</v>
      </c>
      <c r="Y522" s="16">
        <v>1479407</v>
      </c>
      <c r="Z522" s="16">
        <v>541320</v>
      </c>
      <c r="AA522" s="31">
        <v>2020727</v>
      </c>
      <c r="AB522" s="32">
        <v>1441978</v>
      </c>
      <c r="AC522" s="16">
        <v>549126</v>
      </c>
      <c r="AD522" s="31">
        <v>1991104</v>
      </c>
      <c r="AE522" s="16">
        <v>1363139</v>
      </c>
      <c r="AF522" s="16">
        <v>493179</v>
      </c>
      <c r="AG522" s="31">
        <v>1856318</v>
      </c>
      <c r="AH522" s="16">
        <v>1318508</v>
      </c>
      <c r="AI522" s="16">
        <v>484606</v>
      </c>
      <c r="AJ522" s="31">
        <v>1803114</v>
      </c>
      <c r="AK522" s="16">
        <v>1284639</v>
      </c>
      <c r="AL522" s="16">
        <v>466317</v>
      </c>
      <c r="AM522" s="31">
        <v>1750956</v>
      </c>
      <c r="AN522" s="16">
        <v>1456545</v>
      </c>
      <c r="AO522" s="16">
        <v>387047</v>
      </c>
      <c r="AP522" s="31">
        <v>1843592</v>
      </c>
      <c r="AQ522" s="42"/>
      <c r="AR522" s="43"/>
      <c r="AS522" s="42"/>
      <c r="AT522" s="42"/>
    </row>
    <row r="523" spans="1:46" ht="12.9" customHeight="1" x14ac:dyDescent="0.25">
      <c r="A523" s="28" t="s">
        <v>1075</v>
      </c>
      <c r="B523" s="29" t="s">
        <v>1076</v>
      </c>
      <c r="C523" s="30" t="s">
        <v>59</v>
      </c>
      <c r="D523" s="40">
        <v>916464</v>
      </c>
      <c r="E523" s="26">
        <v>332293</v>
      </c>
      <c r="F523" s="26">
        <f t="shared" si="16"/>
        <v>1248757</v>
      </c>
      <c r="G523" s="40">
        <v>919217</v>
      </c>
      <c r="H523" s="26">
        <v>342846</v>
      </c>
      <c r="I523" s="27">
        <f t="shared" si="17"/>
        <v>1262063</v>
      </c>
      <c r="J523" s="40">
        <v>977403</v>
      </c>
      <c r="K523" s="26">
        <v>404704</v>
      </c>
      <c r="L523" s="27">
        <v>1382107</v>
      </c>
      <c r="M523" s="26">
        <v>998935</v>
      </c>
      <c r="N523" s="26">
        <v>333992</v>
      </c>
      <c r="O523" s="27">
        <v>1332927</v>
      </c>
      <c r="P523" s="26">
        <v>978970</v>
      </c>
      <c r="Q523" s="26">
        <v>310184</v>
      </c>
      <c r="R523" s="27">
        <v>1289154</v>
      </c>
      <c r="S523" s="26">
        <v>968257</v>
      </c>
      <c r="T523" s="26">
        <v>366396</v>
      </c>
      <c r="U523" s="27">
        <v>1334653</v>
      </c>
      <c r="V523" s="26">
        <v>945705</v>
      </c>
      <c r="W523" s="26">
        <v>394736</v>
      </c>
      <c r="X523" s="31">
        <v>1340441</v>
      </c>
      <c r="Y523" s="16">
        <v>971414</v>
      </c>
      <c r="Z523" s="16">
        <v>393315</v>
      </c>
      <c r="AA523" s="31">
        <v>1364729</v>
      </c>
      <c r="AB523" s="32">
        <v>955778</v>
      </c>
      <c r="AC523" s="16">
        <v>389198</v>
      </c>
      <c r="AD523" s="31">
        <v>1344976</v>
      </c>
      <c r="AE523" s="16">
        <v>943599</v>
      </c>
      <c r="AF523" s="16">
        <v>383510</v>
      </c>
      <c r="AG523" s="31">
        <v>1327109</v>
      </c>
      <c r="AH523" s="16">
        <v>895933</v>
      </c>
      <c r="AI523" s="16">
        <v>362016</v>
      </c>
      <c r="AJ523" s="31">
        <v>1257949</v>
      </c>
      <c r="AK523" s="16">
        <v>928813</v>
      </c>
      <c r="AL523" s="16">
        <v>338856</v>
      </c>
      <c r="AM523" s="31">
        <v>1267669</v>
      </c>
      <c r="AN523" s="16">
        <v>912627</v>
      </c>
      <c r="AO523" s="16">
        <v>335099</v>
      </c>
      <c r="AP523" s="31">
        <v>1247726</v>
      </c>
      <c r="AQ523" s="42"/>
      <c r="AR523" s="43"/>
      <c r="AS523" s="42"/>
      <c r="AT523" s="42"/>
    </row>
    <row r="524" spans="1:46" ht="12.9" customHeight="1" x14ac:dyDescent="0.25">
      <c r="A524" s="28" t="s">
        <v>1077</v>
      </c>
      <c r="B524" s="29" t="s">
        <v>1078</v>
      </c>
      <c r="C524" s="30" t="s">
        <v>215</v>
      </c>
      <c r="D524" s="40">
        <v>95709</v>
      </c>
      <c r="E524" s="26">
        <v>82808</v>
      </c>
      <c r="F524" s="26">
        <f t="shared" si="16"/>
        <v>178517</v>
      </c>
      <c r="G524" s="40">
        <v>93468</v>
      </c>
      <c r="H524" s="26">
        <v>84157</v>
      </c>
      <c r="I524" s="27">
        <f t="shared" si="17"/>
        <v>177625</v>
      </c>
      <c r="J524" s="40">
        <v>102187</v>
      </c>
      <c r="K524" s="26">
        <v>92647</v>
      </c>
      <c r="L524" s="27">
        <v>194834</v>
      </c>
      <c r="M524" s="26">
        <v>105466</v>
      </c>
      <c r="N524" s="26">
        <v>88799</v>
      </c>
      <c r="O524" s="27">
        <v>194265</v>
      </c>
      <c r="P524" s="26">
        <v>100266</v>
      </c>
      <c r="Q524" s="26">
        <v>74319</v>
      </c>
      <c r="R524" s="27">
        <v>174585</v>
      </c>
      <c r="S524" s="26">
        <v>98112</v>
      </c>
      <c r="T524" s="26">
        <v>82730</v>
      </c>
      <c r="U524" s="27">
        <v>180842</v>
      </c>
      <c r="V524" s="26">
        <v>95970</v>
      </c>
      <c r="W524" s="26">
        <v>87732</v>
      </c>
      <c r="X524" s="31">
        <v>183702</v>
      </c>
      <c r="Y524" s="16">
        <v>92879</v>
      </c>
      <c r="Z524" s="16">
        <v>88678</v>
      </c>
      <c r="AA524" s="31">
        <v>181557</v>
      </c>
      <c r="AB524" s="32">
        <v>92358</v>
      </c>
      <c r="AC524" s="16">
        <v>79648</v>
      </c>
      <c r="AD524" s="31">
        <v>172006</v>
      </c>
      <c r="AE524" s="16">
        <v>85935</v>
      </c>
      <c r="AF524" s="16">
        <v>68576</v>
      </c>
      <c r="AG524" s="31">
        <v>154511</v>
      </c>
      <c r="AH524" s="16">
        <v>84866</v>
      </c>
      <c r="AI524" s="16">
        <v>59606</v>
      </c>
      <c r="AJ524" s="31">
        <v>144472</v>
      </c>
      <c r="AK524" s="16">
        <v>95980</v>
      </c>
      <c r="AL524" s="16">
        <v>86055</v>
      </c>
      <c r="AM524" s="31">
        <v>182035</v>
      </c>
      <c r="AN524" s="16">
        <v>81215</v>
      </c>
      <c r="AO524" s="16">
        <v>70280</v>
      </c>
      <c r="AP524" s="31">
        <v>151495</v>
      </c>
      <c r="AQ524" s="42"/>
      <c r="AR524" s="43"/>
      <c r="AS524" s="42"/>
      <c r="AT524" s="42"/>
    </row>
    <row r="525" spans="1:46" ht="12.9" customHeight="1" x14ac:dyDescent="0.25">
      <c r="A525" s="28" t="s">
        <v>1079</v>
      </c>
      <c r="B525" s="29" t="s">
        <v>1080</v>
      </c>
      <c r="C525" s="30" t="s">
        <v>23</v>
      </c>
      <c r="D525" s="40">
        <v>7241</v>
      </c>
      <c r="E525" s="26">
        <v>347</v>
      </c>
      <c r="F525" s="26">
        <f t="shared" si="16"/>
        <v>7588</v>
      </c>
      <c r="G525" s="40">
        <v>7646</v>
      </c>
      <c r="H525" s="26">
        <v>366</v>
      </c>
      <c r="I525" s="27">
        <f t="shared" si="17"/>
        <v>8012</v>
      </c>
      <c r="J525" s="40">
        <v>9111</v>
      </c>
      <c r="K525" s="26">
        <v>416</v>
      </c>
      <c r="L525" s="27">
        <v>9527</v>
      </c>
      <c r="M525" s="26">
        <v>6580</v>
      </c>
      <c r="N525" s="26">
        <v>290</v>
      </c>
      <c r="O525" s="27">
        <v>6870</v>
      </c>
      <c r="P525" s="26">
        <v>7977</v>
      </c>
      <c r="Q525" s="26">
        <v>235</v>
      </c>
      <c r="R525" s="27">
        <v>8212</v>
      </c>
      <c r="S525" s="26">
        <v>8079</v>
      </c>
      <c r="T525" s="26">
        <v>228</v>
      </c>
      <c r="U525" s="27">
        <v>8307</v>
      </c>
      <c r="V525" s="26">
        <v>5993</v>
      </c>
      <c r="W525" s="26">
        <v>331</v>
      </c>
      <c r="X525" s="31">
        <v>6324</v>
      </c>
      <c r="Y525" s="16">
        <v>7158</v>
      </c>
      <c r="Z525" s="16">
        <v>333</v>
      </c>
      <c r="AA525" s="31">
        <v>7491</v>
      </c>
      <c r="AB525" s="32">
        <v>6446</v>
      </c>
      <c r="AC525" s="16">
        <v>214</v>
      </c>
      <c r="AD525" s="31">
        <v>6660</v>
      </c>
      <c r="AE525" s="16">
        <v>6886</v>
      </c>
      <c r="AF525" s="16">
        <v>271</v>
      </c>
      <c r="AG525" s="31">
        <v>7157</v>
      </c>
      <c r="AH525" s="16">
        <v>6678</v>
      </c>
      <c r="AI525" s="16">
        <v>175</v>
      </c>
      <c r="AJ525" s="31">
        <v>6853</v>
      </c>
      <c r="AK525" s="16">
        <v>6050</v>
      </c>
      <c r="AL525" s="16">
        <v>142</v>
      </c>
      <c r="AM525" s="31">
        <v>6192</v>
      </c>
      <c r="AN525" s="16">
        <v>7588</v>
      </c>
      <c r="AO525" s="16">
        <v>179</v>
      </c>
      <c r="AP525" s="31">
        <v>7767</v>
      </c>
      <c r="AQ525" s="42"/>
      <c r="AR525" s="43"/>
      <c r="AS525" s="42"/>
      <c r="AT525" s="42"/>
    </row>
    <row r="526" spans="1:46" ht="12.9" customHeight="1" x14ac:dyDescent="0.25">
      <c r="A526" s="28" t="s">
        <v>1081</v>
      </c>
      <c r="B526" s="29" t="s">
        <v>1082</v>
      </c>
      <c r="C526" s="30" t="s">
        <v>59</v>
      </c>
      <c r="D526" s="40">
        <v>27247</v>
      </c>
      <c r="E526" s="26">
        <v>29889</v>
      </c>
      <c r="F526" s="26">
        <f t="shared" si="16"/>
        <v>57136</v>
      </c>
      <c r="G526" s="40">
        <v>31485</v>
      </c>
      <c r="H526" s="26">
        <v>34008</v>
      </c>
      <c r="I526" s="27">
        <f t="shared" si="17"/>
        <v>65493</v>
      </c>
      <c r="J526" s="40">
        <v>36005</v>
      </c>
      <c r="K526" s="26">
        <v>34799</v>
      </c>
      <c r="L526" s="27">
        <v>70804</v>
      </c>
      <c r="M526" s="26">
        <v>36267</v>
      </c>
      <c r="N526" s="26">
        <v>29226</v>
      </c>
      <c r="O526" s="27">
        <v>65493</v>
      </c>
      <c r="P526" s="26">
        <v>31930</v>
      </c>
      <c r="Q526" s="26">
        <v>32449</v>
      </c>
      <c r="R526" s="27">
        <v>64379</v>
      </c>
      <c r="S526" s="26">
        <v>37696</v>
      </c>
      <c r="T526" s="26">
        <v>30981</v>
      </c>
      <c r="U526" s="27">
        <v>68677</v>
      </c>
      <c r="V526" s="26">
        <v>31465</v>
      </c>
      <c r="W526" s="26">
        <v>30583</v>
      </c>
      <c r="X526" s="31">
        <v>62048</v>
      </c>
      <c r="Y526" s="16">
        <v>35103</v>
      </c>
      <c r="Z526" s="16">
        <v>25334</v>
      </c>
      <c r="AA526" s="31">
        <v>60437</v>
      </c>
      <c r="AB526" s="32">
        <v>34940</v>
      </c>
      <c r="AC526" s="16">
        <v>24433</v>
      </c>
      <c r="AD526" s="31">
        <v>59373</v>
      </c>
      <c r="AE526" s="16">
        <v>35517</v>
      </c>
      <c r="AF526" s="16">
        <v>22696</v>
      </c>
      <c r="AG526" s="31">
        <v>58213</v>
      </c>
      <c r="AH526" s="16">
        <v>33748</v>
      </c>
      <c r="AI526" s="16">
        <v>15689</v>
      </c>
      <c r="AJ526" s="31">
        <v>49437</v>
      </c>
      <c r="AK526" s="16">
        <v>31724</v>
      </c>
      <c r="AL526" s="16">
        <v>14924</v>
      </c>
      <c r="AM526" s="31">
        <v>46648</v>
      </c>
      <c r="AN526" s="16">
        <v>34140</v>
      </c>
      <c r="AO526" s="16">
        <v>13251</v>
      </c>
      <c r="AP526" s="31">
        <v>47391</v>
      </c>
      <c r="AQ526" s="42"/>
      <c r="AR526" s="43"/>
      <c r="AS526" s="42"/>
      <c r="AT526" s="42"/>
    </row>
    <row r="527" spans="1:46" ht="12.9" customHeight="1" x14ac:dyDescent="0.25">
      <c r="A527" s="28" t="s">
        <v>1083</v>
      </c>
      <c r="B527" s="29" t="s">
        <v>1084</v>
      </c>
      <c r="C527" s="30" t="s">
        <v>23</v>
      </c>
      <c r="D527" s="40">
        <v>87397</v>
      </c>
      <c r="E527" s="26">
        <v>21807</v>
      </c>
      <c r="F527" s="26">
        <f t="shared" si="16"/>
        <v>109204</v>
      </c>
      <c r="G527" s="40">
        <v>97154</v>
      </c>
      <c r="H527" s="26">
        <v>25376</v>
      </c>
      <c r="I527" s="27">
        <f t="shared" si="17"/>
        <v>122530</v>
      </c>
      <c r="J527" s="40">
        <v>109472</v>
      </c>
      <c r="K527" s="26">
        <v>29955</v>
      </c>
      <c r="L527" s="27">
        <v>139427</v>
      </c>
      <c r="M527" s="26">
        <v>99826</v>
      </c>
      <c r="N527" s="26">
        <v>24530</v>
      </c>
      <c r="O527" s="27">
        <v>124356</v>
      </c>
      <c r="P527" s="26">
        <v>89729</v>
      </c>
      <c r="Q527" s="26">
        <v>23626</v>
      </c>
      <c r="R527" s="27">
        <v>113355</v>
      </c>
      <c r="S527" s="26">
        <v>113280</v>
      </c>
      <c r="T527" s="26">
        <v>24785</v>
      </c>
      <c r="U527" s="27">
        <v>138065</v>
      </c>
      <c r="V527" s="26">
        <v>103744</v>
      </c>
      <c r="W527" s="26">
        <v>25449</v>
      </c>
      <c r="X527" s="31">
        <v>129193</v>
      </c>
      <c r="Y527" s="16">
        <v>97713</v>
      </c>
      <c r="Z527" s="16">
        <v>26972</v>
      </c>
      <c r="AA527" s="31">
        <v>124685</v>
      </c>
      <c r="AB527" s="32">
        <v>96667</v>
      </c>
      <c r="AC527" s="16">
        <v>25391</v>
      </c>
      <c r="AD527" s="31">
        <v>122058</v>
      </c>
      <c r="AE527" s="16">
        <v>97165</v>
      </c>
      <c r="AF527" s="16">
        <v>28729</v>
      </c>
      <c r="AG527" s="31">
        <v>125894</v>
      </c>
      <c r="AH527" s="16">
        <v>94919</v>
      </c>
      <c r="AI527" s="16">
        <v>34431</v>
      </c>
      <c r="AJ527" s="31">
        <v>129350</v>
      </c>
      <c r="AK527" s="16">
        <v>92880</v>
      </c>
      <c r="AL527" s="16">
        <v>25654</v>
      </c>
      <c r="AM527" s="31">
        <v>118534</v>
      </c>
      <c r="AN527" s="16">
        <v>99698</v>
      </c>
      <c r="AO527" s="16">
        <v>22650</v>
      </c>
      <c r="AP527" s="31">
        <v>122348</v>
      </c>
      <c r="AQ527" s="42"/>
      <c r="AR527" s="43"/>
      <c r="AS527" s="42"/>
      <c r="AT527" s="42"/>
    </row>
    <row r="528" spans="1:46" ht="12.9" customHeight="1" x14ac:dyDescent="0.25">
      <c r="A528" s="28" t="s">
        <v>1085</v>
      </c>
      <c r="B528" s="29" t="s">
        <v>1086</v>
      </c>
      <c r="C528" s="30" t="s">
        <v>197</v>
      </c>
      <c r="D528" s="40">
        <v>570138</v>
      </c>
      <c r="E528" s="26">
        <v>459259</v>
      </c>
      <c r="F528" s="26">
        <f t="shared" si="16"/>
        <v>1029397</v>
      </c>
      <c r="G528" s="40">
        <v>588129</v>
      </c>
      <c r="H528" s="26">
        <v>476587</v>
      </c>
      <c r="I528" s="27">
        <f t="shared" si="17"/>
        <v>1064716</v>
      </c>
      <c r="J528" s="40">
        <v>609496</v>
      </c>
      <c r="K528" s="26">
        <v>515953</v>
      </c>
      <c r="L528" s="27">
        <v>1125449</v>
      </c>
      <c r="M528" s="26">
        <v>632364</v>
      </c>
      <c r="N528" s="26">
        <v>477634</v>
      </c>
      <c r="O528" s="27">
        <v>1109998</v>
      </c>
      <c r="P528" s="26">
        <v>605423</v>
      </c>
      <c r="Q528" s="26">
        <v>485435</v>
      </c>
      <c r="R528" s="27">
        <v>1090858</v>
      </c>
      <c r="S528" s="26">
        <v>582529</v>
      </c>
      <c r="T528" s="26">
        <v>547391</v>
      </c>
      <c r="U528" s="27">
        <v>1129920</v>
      </c>
      <c r="V528" s="26">
        <v>576507</v>
      </c>
      <c r="W528" s="26">
        <v>543905</v>
      </c>
      <c r="X528" s="31">
        <v>1120412</v>
      </c>
      <c r="Y528" s="16">
        <v>592349</v>
      </c>
      <c r="Z528" s="16">
        <v>509781</v>
      </c>
      <c r="AA528" s="31">
        <v>1102130</v>
      </c>
      <c r="AB528" s="32">
        <v>593581</v>
      </c>
      <c r="AC528" s="16">
        <v>560656</v>
      </c>
      <c r="AD528" s="31">
        <v>1154237</v>
      </c>
      <c r="AE528" s="16">
        <v>589149</v>
      </c>
      <c r="AF528" s="16">
        <v>506405</v>
      </c>
      <c r="AG528" s="31">
        <v>1095554</v>
      </c>
      <c r="AH528" s="16">
        <v>569910</v>
      </c>
      <c r="AI528" s="16">
        <v>483014</v>
      </c>
      <c r="AJ528" s="31">
        <v>1052924</v>
      </c>
      <c r="AK528" s="16">
        <v>573473</v>
      </c>
      <c r="AL528" s="16">
        <v>491679</v>
      </c>
      <c r="AM528" s="31">
        <v>1065152</v>
      </c>
      <c r="AN528" s="16">
        <v>611409</v>
      </c>
      <c r="AO528" s="16">
        <v>474925</v>
      </c>
      <c r="AP528" s="31">
        <v>1086334</v>
      </c>
      <c r="AQ528" s="42"/>
      <c r="AR528" s="43"/>
      <c r="AS528" s="42"/>
      <c r="AT528" s="42"/>
    </row>
    <row r="529" spans="1:46" ht="12.9" customHeight="1" x14ac:dyDescent="0.25">
      <c r="A529" s="28" t="s">
        <v>1087</v>
      </c>
      <c r="B529" s="29" t="s">
        <v>1088</v>
      </c>
      <c r="C529" s="30" t="s">
        <v>120</v>
      </c>
      <c r="D529" s="40">
        <v>224346</v>
      </c>
      <c r="E529" s="26">
        <v>20239</v>
      </c>
      <c r="F529" s="26">
        <f t="shared" si="16"/>
        <v>244585</v>
      </c>
      <c r="G529" s="40">
        <v>231738</v>
      </c>
      <c r="H529" s="26">
        <v>41463</v>
      </c>
      <c r="I529" s="27">
        <f t="shared" si="17"/>
        <v>273201</v>
      </c>
      <c r="J529" s="40">
        <v>233236</v>
      </c>
      <c r="K529" s="26">
        <v>40582</v>
      </c>
      <c r="L529" s="27">
        <v>273818</v>
      </c>
      <c r="M529" s="26">
        <v>246598</v>
      </c>
      <c r="N529" s="26">
        <v>39776</v>
      </c>
      <c r="O529" s="27">
        <v>286374</v>
      </c>
      <c r="P529" s="26">
        <v>251623</v>
      </c>
      <c r="Q529" s="26">
        <v>39475</v>
      </c>
      <c r="R529" s="27">
        <v>291098</v>
      </c>
      <c r="S529" s="26">
        <v>240309</v>
      </c>
      <c r="T529" s="26">
        <v>42027</v>
      </c>
      <c r="U529" s="27">
        <v>282336</v>
      </c>
      <c r="V529" s="26">
        <v>227268</v>
      </c>
      <c r="W529" s="26">
        <v>40474</v>
      </c>
      <c r="X529" s="31">
        <v>267742</v>
      </c>
      <c r="Y529" s="16">
        <v>232667</v>
      </c>
      <c r="Z529" s="16">
        <v>36868</v>
      </c>
      <c r="AA529" s="31">
        <v>269535</v>
      </c>
      <c r="AB529" s="32">
        <v>234190</v>
      </c>
      <c r="AC529" s="16">
        <v>36703</v>
      </c>
      <c r="AD529" s="31">
        <v>270893</v>
      </c>
      <c r="AE529" s="16">
        <v>219433</v>
      </c>
      <c r="AF529" s="16">
        <v>35271</v>
      </c>
      <c r="AG529" s="31">
        <v>254704</v>
      </c>
      <c r="AH529" s="16">
        <v>232302</v>
      </c>
      <c r="AI529" s="16">
        <v>39187</v>
      </c>
      <c r="AJ529" s="31">
        <v>271489</v>
      </c>
      <c r="AK529" s="16">
        <v>212694</v>
      </c>
      <c r="AL529" s="16">
        <v>42149</v>
      </c>
      <c r="AM529" s="31">
        <v>254843</v>
      </c>
      <c r="AN529" s="16">
        <v>234418</v>
      </c>
      <c r="AO529" s="16">
        <v>47808</v>
      </c>
      <c r="AP529" s="31">
        <v>282226</v>
      </c>
      <c r="AQ529" s="42"/>
      <c r="AR529" s="43"/>
      <c r="AS529" s="42"/>
      <c r="AT529" s="42"/>
    </row>
    <row r="530" spans="1:46" ht="12.9" customHeight="1" x14ac:dyDescent="0.25">
      <c r="A530" s="28" t="s">
        <v>1089</v>
      </c>
      <c r="B530" s="29" t="s">
        <v>1090</v>
      </c>
      <c r="C530" s="30" t="s">
        <v>11</v>
      </c>
      <c r="D530" s="40">
        <v>457982</v>
      </c>
      <c r="E530" s="26">
        <v>98604</v>
      </c>
      <c r="F530" s="26">
        <f t="shared" si="16"/>
        <v>556586</v>
      </c>
      <c r="G530" s="40">
        <v>475508</v>
      </c>
      <c r="H530" s="26">
        <v>106896</v>
      </c>
      <c r="I530" s="27">
        <f t="shared" si="17"/>
        <v>582404</v>
      </c>
      <c r="J530" s="40">
        <v>505787</v>
      </c>
      <c r="K530" s="26">
        <v>146280</v>
      </c>
      <c r="L530" s="27">
        <v>652067</v>
      </c>
      <c r="M530" s="26">
        <v>530157</v>
      </c>
      <c r="N530" s="26">
        <v>121661</v>
      </c>
      <c r="O530" s="27">
        <v>651818</v>
      </c>
      <c r="P530" s="26">
        <v>538529</v>
      </c>
      <c r="Q530" s="26">
        <v>122800</v>
      </c>
      <c r="R530" s="27">
        <v>661329</v>
      </c>
      <c r="S530" s="26">
        <v>490274</v>
      </c>
      <c r="T530" s="26">
        <v>155015</v>
      </c>
      <c r="U530" s="27">
        <v>645289</v>
      </c>
      <c r="V530" s="26">
        <v>480762</v>
      </c>
      <c r="W530" s="26">
        <v>157279</v>
      </c>
      <c r="X530" s="31">
        <v>638041</v>
      </c>
      <c r="Y530" s="16">
        <v>489779</v>
      </c>
      <c r="Z530" s="16">
        <v>166820</v>
      </c>
      <c r="AA530" s="31">
        <v>656599</v>
      </c>
      <c r="AB530" s="32">
        <v>490851</v>
      </c>
      <c r="AC530" s="16">
        <v>156729</v>
      </c>
      <c r="AD530" s="31">
        <v>647580</v>
      </c>
      <c r="AE530" s="16">
        <v>478097</v>
      </c>
      <c r="AF530" s="16">
        <v>131369</v>
      </c>
      <c r="AG530" s="31">
        <v>609466</v>
      </c>
      <c r="AH530" s="16">
        <v>471756</v>
      </c>
      <c r="AI530" s="16">
        <v>131881</v>
      </c>
      <c r="AJ530" s="31">
        <v>603637</v>
      </c>
      <c r="AK530" s="16">
        <v>502401</v>
      </c>
      <c r="AL530" s="16">
        <v>130156</v>
      </c>
      <c r="AM530" s="31">
        <v>632557</v>
      </c>
      <c r="AN530" s="16">
        <v>541970</v>
      </c>
      <c r="AO530" s="16">
        <v>131932</v>
      </c>
      <c r="AP530" s="31">
        <v>673902</v>
      </c>
      <c r="AQ530" s="42"/>
      <c r="AR530" s="43"/>
      <c r="AS530" s="42"/>
      <c r="AT530" s="42"/>
    </row>
    <row r="531" spans="1:46" ht="12.9" customHeight="1" x14ac:dyDescent="0.25">
      <c r="A531" s="28" t="s">
        <v>1091</v>
      </c>
      <c r="B531" s="29" t="s">
        <v>1092</v>
      </c>
      <c r="C531" s="30" t="s">
        <v>11</v>
      </c>
      <c r="D531" s="40">
        <v>118129</v>
      </c>
      <c r="E531" s="26">
        <v>28003</v>
      </c>
      <c r="F531" s="26">
        <f t="shared" si="16"/>
        <v>146132</v>
      </c>
      <c r="G531" s="40">
        <v>129921</v>
      </c>
      <c r="H531" s="26">
        <v>24370</v>
      </c>
      <c r="I531" s="27">
        <f t="shared" si="17"/>
        <v>154291</v>
      </c>
      <c r="J531" s="40">
        <v>135675</v>
      </c>
      <c r="K531" s="26">
        <v>23828</v>
      </c>
      <c r="L531" s="27">
        <v>159503</v>
      </c>
      <c r="M531" s="26">
        <v>140723</v>
      </c>
      <c r="N531" s="26">
        <v>22387</v>
      </c>
      <c r="O531" s="27">
        <v>163110</v>
      </c>
      <c r="P531" s="26">
        <v>144053</v>
      </c>
      <c r="Q531" s="26">
        <v>22876</v>
      </c>
      <c r="R531" s="27">
        <v>166929</v>
      </c>
      <c r="S531" s="26">
        <v>131006</v>
      </c>
      <c r="T531" s="26">
        <v>25070</v>
      </c>
      <c r="U531" s="27">
        <v>156076</v>
      </c>
      <c r="V531" s="26">
        <v>129557</v>
      </c>
      <c r="W531" s="26">
        <v>26304</v>
      </c>
      <c r="X531" s="31">
        <v>155861</v>
      </c>
      <c r="Y531" s="16">
        <v>128340</v>
      </c>
      <c r="Z531" s="16">
        <v>27112</v>
      </c>
      <c r="AA531" s="31">
        <v>155452</v>
      </c>
      <c r="AB531" s="32">
        <v>134268</v>
      </c>
      <c r="AC531" s="16">
        <v>26901</v>
      </c>
      <c r="AD531" s="31">
        <v>161169</v>
      </c>
      <c r="AE531" s="16">
        <v>133130</v>
      </c>
      <c r="AF531" s="16">
        <v>27407</v>
      </c>
      <c r="AG531" s="31">
        <v>160537</v>
      </c>
      <c r="AH531" s="16">
        <v>131520</v>
      </c>
      <c r="AI531" s="16">
        <v>29987</v>
      </c>
      <c r="AJ531" s="31">
        <v>161507</v>
      </c>
      <c r="AK531" s="16">
        <v>132197</v>
      </c>
      <c r="AL531" s="16">
        <v>32175</v>
      </c>
      <c r="AM531" s="31">
        <v>164372</v>
      </c>
      <c r="AN531" s="16">
        <v>138418</v>
      </c>
      <c r="AO531" s="16">
        <v>24362</v>
      </c>
      <c r="AP531" s="31">
        <v>162780</v>
      </c>
      <c r="AQ531" s="42"/>
      <c r="AR531" s="43"/>
      <c r="AS531" s="42"/>
      <c r="AT531" s="42"/>
    </row>
    <row r="532" spans="1:46" ht="12.9" customHeight="1" x14ac:dyDescent="0.25">
      <c r="A532" s="28" t="s">
        <v>1093</v>
      </c>
      <c r="B532" s="29" t="s">
        <v>1094</v>
      </c>
      <c r="C532" s="30" t="s">
        <v>177</v>
      </c>
      <c r="D532" s="40">
        <v>11313</v>
      </c>
      <c r="E532" s="26">
        <v>2600</v>
      </c>
      <c r="F532" s="26">
        <f t="shared" si="16"/>
        <v>13913</v>
      </c>
      <c r="G532" s="40">
        <v>12122</v>
      </c>
      <c r="H532" s="26">
        <v>4269</v>
      </c>
      <c r="I532" s="27">
        <f t="shared" si="17"/>
        <v>16391</v>
      </c>
      <c r="J532" s="40">
        <v>13856</v>
      </c>
      <c r="K532" s="26">
        <v>3717</v>
      </c>
      <c r="L532" s="27">
        <v>17573</v>
      </c>
      <c r="M532" s="26">
        <v>14065</v>
      </c>
      <c r="N532" s="26">
        <v>5164</v>
      </c>
      <c r="O532" s="27">
        <v>19229</v>
      </c>
      <c r="P532" s="26">
        <v>15637</v>
      </c>
      <c r="Q532" s="26">
        <v>4190</v>
      </c>
      <c r="R532" s="27">
        <v>19827</v>
      </c>
      <c r="S532" s="26">
        <v>14848</v>
      </c>
      <c r="T532" s="26">
        <v>4552</v>
      </c>
      <c r="U532" s="27">
        <v>19400</v>
      </c>
      <c r="V532" s="26">
        <v>13996</v>
      </c>
      <c r="W532" s="26">
        <v>4671</v>
      </c>
      <c r="X532" s="31">
        <v>18667</v>
      </c>
      <c r="Y532" s="16">
        <v>15305</v>
      </c>
      <c r="Z532" s="16">
        <v>5190</v>
      </c>
      <c r="AA532" s="31">
        <v>20495</v>
      </c>
      <c r="AB532" s="32">
        <v>15015</v>
      </c>
      <c r="AC532" s="16">
        <v>4719</v>
      </c>
      <c r="AD532" s="31">
        <v>19734</v>
      </c>
      <c r="AE532" s="16">
        <v>14381</v>
      </c>
      <c r="AF532" s="16">
        <v>9714</v>
      </c>
      <c r="AG532" s="31">
        <v>24095</v>
      </c>
      <c r="AH532" s="16">
        <v>14747</v>
      </c>
      <c r="AI532" s="16">
        <v>9281</v>
      </c>
      <c r="AJ532" s="31">
        <v>24028</v>
      </c>
      <c r="AK532" s="16">
        <v>16208</v>
      </c>
      <c r="AL532" s="16">
        <v>9651</v>
      </c>
      <c r="AM532" s="31">
        <v>25859</v>
      </c>
      <c r="AN532" s="16">
        <v>16208</v>
      </c>
      <c r="AO532" s="16">
        <v>9651</v>
      </c>
      <c r="AP532" s="31">
        <v>25859</v>
      </c>
      <c r="AQ532" s="42"/>
      <c r="AR532" s="43"/>
      <c r="AS532" s="42"/>
      <c r="AT532" s="42"/>
    </row>
    <row r="533" spans="1:46" ht="12.9" customHeight="1" x14ac:dyDescent="0.25">
      <c r="A533" s="28" t="s">
        <v>1095</v>
      </c>
      <c r="B533" s="29" t="s">
        <v>1096</v>
      </c>
      <c r="C533" s="30" t="s">
        <v>212</v>
      </c>
      <c r="D533" s="40">
        <v>13590</v>
      </c>
      <c r="E533" s="26">
        <v>44913</v>
      </c>
      <c r="F533" s="26">
        <f t="shared" si="16"/>
        <v>58503</v>
      </c>
      <c r="G533" s="40">
        <v>14106</v>
      </c>
      <c r="H533" s="26">
        <v>55908</v>
      </c>
      <c r="I533" s="27">
        <f t="shared" si="17"/>
        <v>70014</v>
      </c>
      <c r="J533" s="40">
        <v>20105</v>
      </c>
      <c r="K533" s="26">
        <v>52463</v>
      </c>
      <c r="L533" s="27">
        <v>72568</v>
      </c>
      <c r="M533" s="26">
        <v>10811</v>
      </c>
      <c r="N533" s="26">
        <v>38400</v>
      </c>
      <c r="O533" s="27">
        <v>49211</v>
      </c>
      <c r="P533" s="26">
        <v>12767</v>
      </c>
      <c r="Q533" s="26">
        <v>39259</v>
      </c>
      <c r="R533" s="27">
        <v>52026</v>
      </c>
      <c r="S533" s="26">
        <v>14168</v>
      </c>
      <c r="T533" s="26">
        <v>58050</v>
      </c>
      <c r="U533" s="27">
        <v>72218</v>
      </c>
      <c r="V533" s="26">
        <v>13912</v>
      </c>
      <c r="W533" s="26">
        <v>52445</v>
      </c>
      <c r="X533" s="31">
        <v>66357</v>
      </c>
      <c r="Y533" s="16">
        <v>14597</v>
      </c>
      <c r="Z533" s="16">
        <v>48201</v>
      </c>
      <c r="AA533" s="31">
        <v>62798</v>
      </c>
      <c r="AB533" s="32">
        <v>15451</v>
      </c>
      <c r="AC533" s="16">
        <v>43482</v>
      </c>
      <c r="AD533" s="31">
        <v>58933</v>
      </c>
      <c r="AE533" s="16">
        <v>16808</v>
      </c>
      <c r="AF533" s="16">
        <v>53087</v>
      </c>
      <c r="AG533" s="31">
        <v>69895</v>
      </c>
      <c r="AH533" s="16">
        <v>14073</v>
      </c>
      <c r="AI533" s="16">
        <v>46332</v>
      </c>
      <c r="AJ533" s="31">
        <v>60405</v>
      </c>
      <c r="AK533" s="16">
        <v>15567</v>
      </c>
      <c r="AL533" s="16">
        <v>48193</v>
      </c>
      <c r="AM533" s="31">
        <v>63760</v>
      </c>
      <c r="AN533" s="16">
        <v>20300</v>
      </c>
      <c r="AO533" s="16">
        <v>50011</v>
      </c>
      <c r="AP533" s="31">
        <v>70311</v>
      </c>
      <c r="AQ533" s="42"/>
      <c r="AR533" s="43"/>
      <c r="AS533" s="42"/>
      <c r="AT533" s="42"/>
    </row>
    <row r="534" spans="1:46" ht="12.9" customHeight="1" x14ac:dyDescent="0.25">
      <c r="A534" s="28" t="s">
        <v>1097</v>
      </c>
      <c r="B534" s="29" t="s">
        <v>1098</v>
      </c>
      <c r="C534" s="30" t="s">
        <v>59</v>
      </c>
      <c r="D534" s="40">
        <v>316849</v>
      </c>
      <c r="E534" s="26">
        <v>504757</v>
      </c>
      <c r="F534" s="26">
        <f t="shared" si="16"/>
        <v>821606</v>
      </c>
      <c r="G534" s="40">
        <v>338714</v>
      </c>
      <c r="H534" s="26">
        <v>697448</v>
      </c>
      <c r="I534" s="27">
        <f t="shared" si="17"/>
        <v>1036162</v>
      </c>
      <c r="J534" s="40">
        <v>476381</v>
      </c>
      <c r="K534" s="26">
        <v>714788</v>
      </c>
      <c r="L534" s="27">
        <v>1191169</v>
      </c>
      <c r="M534" s="26">
        <v>434282</v>
      </c>
      <c r="N534" s="26">
        <v>679053</v>
      </c>
      <c r="O534" s="27">
        <v>1113335</v>
      </c>
      <c r="P534" s="26">
        <v>409733</v>
      </c>
      <c r="Q534" s="26">
        <v>517815</v>
      </c>
      <c r="R534" s="27">
        <v>927548</v>
      </c>
      <c r="S534" s="26">
        <v>447956</v>
      </c>
      <c r="T534" s="26">
        <v>534757</v>
      </c>
      <c r="U534" s="27">
        <v>982713</v>
      </c>
      <c r="V534" s="26">
        <v>414167</v>
      </c>
      <c r="W534" s="26">
        <v>626412</v>
      </c>
      <c r="X534" s="31">
        <v>1040579</v>
      </c>
      <c r="Y534" s="16">
        <v>438159</v>
      </c>
      <c r="Z534" s="16">
        <v>643513</v>
      </c>
      <c r="AA534" s="31">
        <v>1081672</v>
      </c>
      <c r="AB534" s="32">
        <v>431093</v>
      </c>
      <c r="AC534" s="16">
        <v>617172</v>
      </c>
      <c r="AD534" s="31">
        <v>1048265</v>
      </c>
      <c r="AE534" s="16">
        <v>418824</v>
      </c>
      <c r="AF534" s="16">
        <v>655314</v>
      </c>
      <c r="AG534" s="31">
        <v>1074138</v>
      </c>
      <c r="AH534" s="16">
        <v>360813</v>
      </c>
      <c r="AI534" s="16">
        <v>583574</v>
      </c>
      <c r="AJ534" s="31">
        <v>944387</v>
      </c>
      <c r="AK534" s="16">
        <v>389527</v>
      </c>
      <c r="AL534" s="16">
        <v>665787</v>
      </c>
      <c r="AM534" s="31">
        <v>1055314</v>
      </c>
      <c r="AN534" s="16">
        <v>434645</v>
      </c>
      <c r="AO534" s="16">
        <v>675407</v>
      </c>
      <c r="AP534" s="31">
        <v>1110052</v>
      </c>
      <c r="AQ534" s="42"/>
      <c r="AR534" s="43"/>
      <c r="AS534" s="42"/>
      <c r="AT534" s="42"/>
    </row>
    <row r="535" spans="1:46" ht="12.9" customHeight="1" x14ac:dyDescent="0.25">
      <c r="A535" s="28" t="s">
        <v>1099</v>
      </c>
      <c r="B535" s="29" t="s">
        <v>1100</v>
      </c>
      <c r="C535" s="30" t="s">
        <v>11</v>
      </c>
      <c r="D535" s="40">
        <v>159283</v>
      </c>
      <c r="E535" s="26">
        <v>157804</v>
      </c>
      <c r="F535" s="26">
        <f t="shared" si="16"/>
        <v>317087</v>
      </c>
      <c r="G535" s="40">
        <v>169475</v>
      </c>
      <c r="H535" s="26">
        <v>256560</v>
      </c>
      <c r="I535" s="27">
        <f t="shared" si="17"/>
        <v>426035</v>
      </c>
      <c r="J535" s="40">
        <v>175716</v>
      </c>
      <c r="K535" s="26">
        <v>124353</v>
      </c>
      <c r="L535" s="27">
        <v>300069</v>
      </c>
      <c r="M535" s="26">
        <v>183865</v>
      </c>
      <c r="N535" s="26">
        <v>145310</v>
      </c>
      <c r="O535" s="27">
        <v>329175</v>
      </c>
      <c r="P535" s="26">
        <v>190319</v>
      </c>
      <c r="Q535" s="26">
        <v>143119</v>
      </c>
      <c r="R535" s="27">
        <v>333438</v>
      </c>
      <c r="S535" s="26">
        <v>170073</v>
      </c>
      <c r="T535" s="26">
        <v>115203</v>
      </c>
      <c r="U535" s="27">
        <v>285276</v>
      </c>
      <c r="V535" s="26">
        <v>172942</v>
      </c>
      <c r="W535" s="26">
        <v>131660</v>
      </c>
      <c r="X535" s="31">
        <v>304602</v>
      </c>
      <c r="Y535" s="16">
        <v>169370</v>
      </c>
      <c r="Z535" s="16">
        <v>156449</v>
      </c>
      <c r="AA535" s="31">
        <v>325819</v>
      </c>
      <c r="AB535" s="32">
        <v>168605</v>
      </c>
      <c r="AC535" s="16">
        <v>168849</v>
      </c>
      <c r="AD535" s="31">
        <v>337454</v>
      </c>
      <c r="AE535" s="16">
        <v>166848</v>
      </c>
      <c r="AF535" s="16">
        <v>131388</v>
      </c>
      <c r="AG535" s="31">
        <v>298236</v>
      </c>
      <c r="AH535" s="16">
        <v>164665</v>
      </c>
      <c r="AI535" s="16">
        <v>118217</v>
      </c>
      <c r="AJ535" s="31">
        <v>282882</v>
      </c>
      <c r="AK535" s="16">
        <v>172523</v>
      </c>
      <c r="AL535" s="16">
        <v>113702</v>
      </c>
      <c r="AM535" s="31">
        <v>286225</v>
      </c>
      <c r="AN535" s="16">
        <v>173985</v>
      </c>
      <c r="AO535" s="16">
        <v>137939</v>
      </c>
      <c r="AP535" s="31">
        <v>311924</v>
      </c>
      <c r="AQ535" s="42"/>
      <c r="AR535" s="43"/>
      <c r="AS535" s="42"/>
      <c r="AT535" s="42"/>
    </row>
    <row r="536" spans="1:46" ht="12.9" customHeight="1" x14ac:dyDescent="0.25">
      <c r="A536" s="28" t="s">
        <v>1101</v>
      </c>
      <c r="B536" s="29" t="s">
        <v>1102</v>
      </c>
      <c r="C536" s="30" t="s">
        <v>384</v>
      </c>
      <c r="D536" s="40">
        <v>7677</v>
      </c>
      <c r="E536" s="26">
        <v>2737</v>
      </c>
      <c r="F536" s="26">
        <f t="shared" si="16"/>
        <v>10414</v>
      </c>
      <c r="G536" s="40">
        <v>7334</v>
      </c>
      <c r="H536" s="26">
        <v>2328</v>
      </c>
      <c r="I536" s="27">
        <f t="shared" si="17"/>
        <v>9662</v>
      </c>
      <c r="J536" s="40">
        <v>8048</v>
      </c>
      <c r="K536" s="26">
        <v>3263</v>
      </c>
      <c r="L536" s="27">
        <v>11311</v>
      </c>
      <c r="M536" s="26">
        <v>8000</v>
      </c>
      <c r="N536" s="26">
        <v>2733</v>
      </c>
      <c r="O536" s="27">
        <v>10733</v>
      </c>
      <c r="P536" s="26">
        <v>7938</v>
      </c>
      <c r="Q536" s="26">
        <v>2651</v>
      </c>
      <c r="R536" s="27">
        <v>10589</v>
      </c>
      <c r="S536" s="26">
        <v>7021</v>
      </c>
      <c r="T536" s="26">
        <v>3160</v>
      </c>
      <c r="U536" s="27">
        <v>10181</v>
      </c>
      <c r="V536" s="26">
        <v>6910</v>
      </c>
      <c r="W536" s="26">
        <v>2601</v>
      </c>
      <c r="X536" s="31">
        <v>9511</v>
      </c>
      <c r="Y536" s="16">
        <v>6337</v>
      </c>
      <c r="Z536" s="16">
        <v>3257</v>
      </c>
      <c r="AA536" s="31">
        <v>9594</v>
      </c>
      <c r="AB536" s="32">
        <v>6288</v>
      </c>
      <c r="AC536" s="16">
        <v>1203</v>
      </c>
      <c r="AD536" s="31">
        <v>7491</v>
      </c>
      <c r="AE536" s="16">
        <v>6258</v>
      </c>
      <c r="AF536" s="16">
        <v>1351</v>
      </c>
      <c r="AG536" s="31">
        <v>7609</v>
      </c>
      <c r="AH536" s="16">
        <v>6218</v>
      </c>
      <c r="AI536" s="16">
        <v>1441</v>
      </c>
      <c r="AJ536" s="31">
        <v>7659</v>
      </c>
      <c r="AK536" s="16">
        <v>6580</v>
      </c>
      <c r="AL536" s="16">
        <v>1327</v>
      </c>
      <c r="AM536" s="31">
        <v>7907</v>
      </c>
      <c r="AN536" s="16">
        <v>6878</v>
      </c>
      <c r="AO536" s="16">
        <v>1413</v>
      </c>
      <c r="AP536" s="31">
        <v>8291</v>
      </c>
      <c r="AQ536" s="42"/>
      <c r="AR536" s="43"/>
      <c r="AS536" s="42"/>
      <c r="AT536" s="42"/>
    </row>
    <row r="537" spans="1:46" ht="12.9" customHeight="1" x14ac:dyDescent="0.25">
      <c r="A537" s="28" t="s">
        <v>1103</v>
      </c>
      <c r="B537" s="29" t="s">
        <v>1104</v>
      </c>
      <c r="C537" s="30" t="s">
        <v>26</v>
      </c>
      <c r="D537" s="40">
        <v>704559</v>
      </c>
      <c r="E537" s="26">
        <v>1582938</v>
      </c>
      <c r="F537" s="26">
        <f t="shared" si="16"/>
        <v>2287497</v>
      </c>
      <c r="G537" s="40">
        <v>741871</v>
      </c>
      <c r="H537" s="26">
        <v>1672043</v>
      </c>
      <c r="I537" s="27">
        <f t="shared" si="17"/>
        <v>2413914</v>
      </c>
      <c r="J537" s="40">
        <v>781280</v>
      </c>
      <c r="K537" s="26">
        <v>1761599</v>
      </c>
      <c r="L537" s="27">
        <v>2542879</v>
      </c>
      <c r="M537" s="26">
        <v>798266</v>
      </c>
      <c r="N537" s="26">
        <v>1679265</v>
      </c>
      <c r="O537" s="27">
        <v>2477531</v>
      </c>
      <c r="P537" s="26">
        <v>803204</v>
      </c>
      <c r="Q537" s="26">
        <v>1541999</v>
      </c>
      <c r="R537" s="27">
        <v>2345203</v>
      </c>
      <c r="S537" s="26">
        <v>762545</v>
      </c>
      <c r="T537" s="26">
        <v>1813041</v>
      </c>
      <c r="U537" s="27">
        <v>2575586</v>
      </c>
      <c r="V537" s="26">
        <v>726348</v>
      </c>
      <c r="W537" s="26">
        <v>1746374</v>
      </c>
      <c r="X537" s="31">
        <v>2472722</v>
      </c>
      <c r="Y537" s="16">
        <v>737771</v>
      </c>
      <c r="Z537" s="16">
        <v>1743900</v>
      </c>
      <c r="AA537" s="31">
        <v>2481671</v>
      </c>
      <c r="AB537" s="32">
        <v>731723</v>
      </c>
      <c r="AC537" s="16">
        <v>1795921</v>
      </c>
      <c r="AD537" s="31">
        <v>2527644</v>
      </c>
      <c r="AE537" s="16">
        <v>742484</v>
      </c>
      <c r="AF537" s="16">
        <v>1829069</v>
      </c>
      <c r="AG537" s="31">
        <v>2571553</v>
      </c>
      <c r="AH537" s="16">
        <v>723508</v>
      </c>
      <c r="AI537" s="16">
        <v>1917690</v>
      </c>
      <c r="AJ537" s="31">
        <v>2641198</v>
      </c>
      <c r="AK537" s="16">
        <v>711350</v>
      </c>
      <c r="AL537" s="16">
        <v>1719591</v>
      </c>
      <c r="AM537" s="31">
        <v>2430941</v>
      </c>
      <c r="AN537" s="16">
        <v>743741</v>
      </c>
      <c r="AO537" s="16">
        <v>1756665</v>
      </c>
      <c r="AP537" s="31">
        <v>2500406</v>
      </c>
      <c r="AQ537" s="42"/>
      <c r="AR537" s="43"/>
      <c r="AS537" s="42"/>
      <c r="AT537" s="42"/>
    </row>
    <row r="538" spans="1:46" ht="12.9" customHeight="1" x14ac:dyDescent="0.25">
      <c r="A538" s="28" t="s">
        <v>1105</v>
      </c>
      <c r="B538" s="29" t="s">
        <v>1106</v>
      </c>
      <c r="C538" s="30" t="s">
        <v>59</v>
      </c>
      <c r="D538" s="40">
        <v>30646</v>
      </c>
      <c r="E538" s="26">
        <v>34016</v>
      </c>
      <c r="F538" s="26">
        <f t="shared" si="16"/>
        <v>64662</v>
      </c>
      <c r="G538" s="40">
        <v>32836</v>
      </c>
      <c r="H538" s="26">
        <v>35734</v>
      </c>
      <c r="I538" s="27">
        <f t="shared" si="17"/>
        <v>68570</v>
      </c>
      <c r="J538" s="40">
        <v>41798</v>
      </c>
      <c r="K538" s="26">
        <v>35881</v>
      </c>
      <c r="L538" s="27">
        <v>77679</v>
      </c>
      <c r="M538" s="26">
        <v>37427</v>
      </c>
      <c r="N538" s="26">
        <v>31539</v>
      </c>
      <c r="O538" s="27">
        <v>68966</v>
      </c>
      <c r="P538" s="26">
        <v>37355</v>
      </c>
      <c r="Q538" s="26">
        <v>31633</v>
      </c>
      <c r="R538" s="27">
        <v>68988</v>
      </c>
      <c r="S538" s="26">
        <v>31845</v>
      </c>
      <c r="T538" s="26">
        <v>24941</v>
      </c>
      <c r="U538" s="27">
        <v>56786</v>
      </c>
      <c r="V538" s="26">
        <v>34813</v>
      </c>
      <c r="W538" s="26">
        <v>33432</v>
      </c>
      <c r="X538" s="31">
        <v>68245</v>
      </c>
      <c r="Y538" s="16">
        <v>36724</v>
      </c>
      <c r="Z538" s="16">
        <v>26170</v>
      </c>
      <c r="AA538" s="31">
        <v>62894</v>
      </c>
      <c r="AB538" s="32">
        <v>39989</v>
      </c>
      <c r="AC538" s="16">
        <v>22236</v>
      </c>
      <c r="AD538" s="31">
        <v>62225</v>
      </c>
      <c r="AE538" s="16">
        <v>40619</v>
      </c>
      <c r="AF538" s="16">
        <v>21467</v>
      </c>
      <c r="AG538" s="31">
        <v>62086</v>
      </c>
      <c r="AH538" s="16">
        <v>41093</v>
      </c>
      <c r="AI538" s="16">
        <v>14355</v>
      </c>
      <c r="AJ538" s="31">
        <v>55448</v>
      </c>
      <c r="AK538" s="16">
        <v>32744</v>
      </c>
      <c r="AL538" s="16">
        <v>12047</v>
      </c>
      <c r="AM538" s="31">
        <v>44791</v>
      </c>
      <c r="AN538" s="16">
        <v>43905</v>
      </c>
      <c r="AO538" s="16">
        <v>20733</v>
      </c>
      <c r="AP538" s="31">
        <v>64638</v>
      </c>
      <c r="AQ538" s="42"/>
      <c r="AR538" s="43"/>
      <c r="AS538" s="42"/>
      <c r="AT538" s="42"/>
    </row>
    <row r="539" spans="1:46" ht="12.9" customHeight="1" x14ac:dyDescent="0.25">
      <c r="A539" s="28" t="s">
        <v>1107</v>
      </c>
      <c r="B539" s="29" t="s">
        <v>1108</v>
      </c>
      <c r="C539" s="30" t="s">
        <v>218</v>
      </c>
      <c r="D539" s="40">
        <v>4359</v>
      </c>
      <c r="E539" s="26">
        <v>1029</v>
      </c>
      <c r="F539" s="26">
        <f t="shared" si="16"/>
        <v>5388</v>
      </c>
      <c r="G539" s="40">
        <v>4843</v>
      </c>
      <c r="H539" s="26">
        <v>936</v>
      </c>
      <c r="I539" s="27">
        <f t="shared" si="17"/>
        <v>5779</v>
      </c>
      <c r="J539" s="40">
        <v>5213</v>
      </c>
      <c r="K539" s="26">
        <v>931</v>
      </c>
      <c r="L539" s="27">
        <v>6144</v>
      </c>
      <c r="M539" s="26">
        <v>5543</v>
      </c>
      <c r="N539" s="26">
        <v>711</v>
      </c>
      <c r="O539" s="27">
        <v>6254</v>
      </c>
      <c r="P539" s="26">
        <v>7573</v>
      </c>
      <c r="Q539" s="26">
        <v>648</v>
      </c>
      <c r="R539" s="27">
        <v>8221</v>
      </c>
      <c r="S539" s="26">
        <v>4547</v>
      </c>
      <c r="T539" s="26">
        <v>717</v>
      </c>
      <c r="U539" s="27">
        <v>5264</v>
      </c>
      <c r="V539" s="26">
        <v>4192</v>
      </c>
      <c r="W539" s="26">
        <v>1133</v>
      </c>
      <c r="X539" s="31">
        <v>5325</v>
      </c>
      <c r="Y539" s="16">
        <v>4504</v>
      </c>
      <c r="Z539" s="16">
        <v>831</v>
      </c>
      <c r="AA539" s="31">
        <v>5335</v>
      </c>
      <c r="AB539" s="32">
        <v>4406</v>
      </c>
      <c r="AC539" s="16">
        <v>564</v>
      </c>
      <c r="AD539" s="31">
        <v>4970</v>
      </c>
      <c r="AE539" s="16">
        <v>4845</v>
      </c>
      <c r="AF539" s="16">
        <v>723</v>
      </c>
      <c r="AG539" s="31">
        <v>5568</v>
      </c>
      <c r="AH539" s="16">
        <v>4312</v>
      </c>
      <c r="AI539" s="16">
        <v>488</v>
      </c>
      <c r="AJ539" s="31">
        <v>4800</v>
      </c>
      <c r="AK539" s="16">
        <v>4498</v>
      </c>
      <c r="AL539" s="16">
        <v>1354</v>
      </c>
      <c r="AM539" s="31">
        <v>5852</v>
      </c>
      <c r="AN539" s="16">
        <v>4498</v>
      </c>
      <c r="AO539" s="16">
        <v>1354</v>
      </c>
      <c r="AP539" s="31">
        <v>5852</v>
      </c>
      <c r="AQ539" s="42"/>
      <c r="AR539" s="43"/>
      <c r="AS539" s="42"/>
      <c r="AT539" s="42"/>
    </row>
    <row r="540" spans="1:46" ht="12.9" customHeight="1" x14ac:dyDescent="0.25">
      <c r="A540" s="28" t="s">
        <v>1109</v>
      </c>
      <c r="B540" s="29" t="s">
        <v>1110</v>
      </c>
      <c r="C540" s="30" t="s">
        <v>23</v>
      </c>
      <c r="D540" s="40">
        <v>39658</v>
      </c>
      <c r="E540" s="26">
        <v>11699</v>
      </c>
      <c r="F540" s="26">
        <f t="shared" si="16"/>
        <v>51357</v>
      </c>
      <c r="G540" s="40">
        <v>42484</v>
      </c>
      <c r="H540" s="26">
        <v>20837</v>
      </c>
      <c r="I540" s="27">
        <f t="shared" si="17"/>
        <v>63321</v>
      </c>
      <c r="J540" s="40">
        <v>44651</v>
      </c>
      <c r="K540" s="26">
        <v>18150</v>
      </c>
      <c r="L540" s="27">
        <v>62801</v>
      </c>
      <c r="M540" s="26">
        <v>53410</v>
      </c>
      <c r="N540" s="26">
        <v>16404</v>
      </c>
      <c r="O540" s="27">
        <v>69814</v>
      </c>
      <c r="P540" s="26">
        <v>43573</v>
      </c>
      <c r="Q540" s="26">
        <v>15063</v>
      </c>
      <c r="R540" s="27">
        <v>58636</v>
      </c>
      <c r="S540" s="26">
        <v>43112</v>
      </c>
      <c r="T540" s="26">
        <v>18301</v>
      </c>
      <c r="U540" s="27">
        <v>61413</v>
      </c>
      <c r="V540" s="26">
        <v>42434</v>
      </c>
      <c r="W540" s="26">
        <v>18329</v>
      </c>
      <c r="X540" s="31">
        <v>60763</v>
      </c>
      <c r="Y540" s="16">
        <v>36607</v>
      </c>
      <c r="Z540" s="16">
        <v>18181</v>
      </c>
      <c r="AA540" s="31">
        <v>54788</v>
      </c>
      <c r="AB540" s="32">
        <v>44147</v>
      </c>
      <c r="AC540" s="16">
        <v>14544</v>
      </c>
      <c r="AD540" s="31">
        <v>58691</v>
      </c>
      <c r="AE540" s="16">
        <v>36996</v>
      </c>
      <c r="AF540" s="16">
        <v>14749</v>
      </c>
      <c r="AG540" s="31">
        <v>51745</v>
      </c>
      <c r="AH540" s="16">
        <v>40556</v>
      </c>
      <c r="AI540" s="16">
        <v>14996</v>
      </c>
      <c r="AJ540" s="31">
        <v>55552</v>
      </c>
      <c r="AK540" s="16">
        <v>39152</v>
      </c>
      <c r="AL540" s="16">
        <v>13688</v>
      </c>
      <c r="AM540" s="31">
        <v>52840</v>
      </c>
      <c r="AN540" s="16">
        <v>41560</v>
      </c>
      <c r="AO540" s="16">
        <v>10006</v>
      </c>
      <c r="AP540" s="31">
        <v>51566</v>
      </c>
      <c r="AQ540" s="42"/>
      <c r="AR540" s="43"/>
      <c r="AS540" s="42"/>
      <c r="AT540" s="42"/>
    </row>
    <row r="541" spans="1:46" ht="12.9" customHeight="1" x14ac:dyDescent="0.25">
      <c r="A541" s="28" t="s">
        <v>1111</v>
      </c>
      <c r="B541" s="29" t="s">
        <v>1112</v>
      </c>
      <c r="C541" s="30" t="s">
        <v>73</v>
      </c>
      <c r="D541" s="40">
        <v>38772</v>
      </c>
      <c r="E541" s="26">
        <v>2052</v>
      </c>
      <c r="F541" s="26">
        <f t="shared" si="16"/>
        <v>40824</v>
      </c>
      <c r="G541" s="40">
        <v>38772</v>
      </c>
      <c r="H541" s="26">
        <v>2268</v>
      </c>
      <c r="I541" s="27">
        <f t="shared" si="17"/>
        <v>41040</v>
      </c>
      <c r="J541" s="40">
        <v>38772</v>
      </c>
      <c r="K541" s="26">
        <v>2160</v>
      </c>
      <c r="L541" s="27">
        <v>40932</v>
      </c>
      <c r="M541" s="26">
        <v>38880</v>
      </c>
      <c r="N541" s="26">
        <v>2160</v>
      </c>
      <c r="O541" s="27">
        <v>41040</v>
      </c>
      <c r="P541" s="26">
        <v>39852</v>
      </c>
      <c r="Q541" s="26">
        <v>2160</v>
      </c>
      <c r="R541" s="27">
        <v>42012</v>
      </c>
      <c r="S541" s="26">
        <v>39636</v>
      </c>
      <c r="T541" s="26">
        <v>2160</v>
      </c>
      <c r="U541" s="27">
        <v>41796</v>
      </c>
      <c r="V541" s="26">
        <v>41148</v>
      </c>
      <c r="W541" s="26">
        <v>2160</v>
      </c>
      <c r="X541" s="31">
        <v>43308</v>
      </c>
      <c r="Y541" s="16">
        <v>41040</v>
      </c>
      <c r="Z541" s="16">
        <v>2268</v>
      </c>
      <c r="AA541" s="31">
        <v>43308</v>
      </c>
      <c r="AB541" s="32">
        <v>38232</v>
      </c>
      <c r="AC541" s="16">
        <v>2268</v>
      </c>
      <c r="AD541" s="31">
        <v>40500</v>
      </c>
      <c r="AE541" s="16">
        <v>38448</v>
      </c>
      <c r="AF541" s="16">
        <v>2268</v>
      </c>
      <c r="AG541" s="31">
        <v>40716</v>
      </c>
      <c r="AH541" s="16">
        <v>38988</v>
      </c>
      <c r="AI541" s="16">
        <v>2268</v>
      </c>
      <c r="AJ541" s="31">
        <v>41256</v>
      </c>
      <c r="AK541" s="16">
        <v>26064</v>
      </c>
      <c r="AL541" s="16">
        <v>1296</v>
      </c>
      <c r="AM541" s="31">
        <v>27360</v>
      </c>
      <c r="AN541" s="16">
        <v>26064</v>
      </c>
      <c r="AO541" s="16">
        <v>1296</v>
      </c>
      <c r="AP541" s="31">
        <v>27360</v>
      </c>
      <c r="AQ541" s="42"/>
      <c r="AR541" s="43"/>
      <c r="AS541" s="42"/>
      <c r="AT541" s="42"/>
    </row>
    <row r="542" spans="1:46" ht="12.9" customHeight="1" x14ac:dyDescent="0.25">
      <c r="A542" s="28" t="s">
        <v>1113</v>
      </c>
      <c r="B542" s="29" t="s">
        <v>1114</v>
      </c>
      <c r="C542" s="30" t="s">
        <v>23</v>
      </c>
      <c r="D542" s="40">
        <v>9111</v>
      </c>
      <c r="E542" s="26">
        <v>5610</v>
      </c>
      <c r="F542" s="26">
        <f t="shared" si="16"/>
        <v>14721</v>
      </c>
      <c r="G542" s="40">
        <v>10980</v>
      </c>
      <c r="H542" s="26">
        <v>9554</v>
      </c>
      <c r="I542" s="27">
        <f t="shared" si="17"/>
        <v>20534</v>
      </c>
      <c r="J542" s="40">
        <v>11711</v>
      </c>
      <c r="K542" s="26">
        <v>10199</v>
      </c>
      <c r="L542" s="27">
        <v>21910</v>
      </c>
      <c r="M542" s="26">
        <v>14361</v>
      </c>
      <c r="N542" s="26">
        <v>8363</v>
      </c>
      <c r="O542" s="27">
        <v>22724</v>
      </c>
      <c r="P542" s="26">
        <v>11704</v>
      </c>
      <c r="Q542" s="26">
        <v>8142</v>
      </c>
      <c r="R542" s="27">
        <v>19846</v>
      </c>
      <c r="S542" s="26">
        <v>13323</v>
      </c>
      <c r="T542" s="26">
        <v>9863</v>
      </c>
      <c r="U542" s="27">
        <v>23186</v>
      </c>
      <c r="V542" s="26">
        <v>12135</v>
      </c>
      <c r="W542" s="26">
        <v>19795</v>
      </c>
      <c r="X542" s="31">
        <v>31930</v>
      </c>
      <c r="Y542" s="16">
        <v>11028</v>
      </c>
      <c r="Z542" s="16">
        <v>13294</v>
      </c>
      <c r="AA542" s="31">
        <v>24322</v>
      </c>
      <c r="AB542" s="32">
        <v>9221</v>
      </c>
      <c r="AC542" s="16">
        <v>7000</v>
      </c>
      <c r="AD542" s="31">
        <v>16221</v>
      </c>
      <c r="AE542" s="16">
        <v>9601</v>
      </c>
      <c r="AF542" s="16">
        <v>9528</v>
      </c>
      <c r="AG542" s="31">
        <v>19129</v>
      </c>
      <c r="AH542" s="16">
        <v>12583</v>
      </c>
      <c r="AI542" s="16">
        <v>9374</v>
      </c>
      <c r="AJ542" s="31">
        <v>21957</v>
      </c>
      <c r="AK542" s="16">
        <v>11236</v>
      </c>
      <c r="AL542" s="16">
        <v>6577</v>
      </c>
      <c r="AM542" s="31">
        <v>17813</v>
      </c>
      <c r="AN542" s="16">
        <v>9938</v>
      </c>
      <c r="AO542" s="16">
        <v>12930</v>
      </c>
      <c r="AP542" s="31">
        <v>22868</v>
      </c>
      <c r="AQ542" s="42"/>
      <c r="AR542" s="43"/>
      <c r="AS542" s="42"/>
      <c r="AT542" s="42"/>
    </row>
    <row r="543" spans="1:46" ht="12.9" customHeight="1" x14ac:dyDescent="0.25">
      <c r="A543" s="28" t="s">
        <v>1115</v>
      </c>
      <c r="B543" s="29" t="s">
        <v>1116</v>
      </c>
      <c r="C543" s="30" t="s">
        <v>14</v>
      </c>
      <c r="D543" s="40">
        <v>18128</v>
      </c>
      <c r="E543" s="26">
        <v>6141</v>
      </c>
      <c r="F543" s="26">
        <f t="shared" si="16"/>
        <v>24269</v>
      </c>
      <c r="G543" s="40">
        <v>17208</v>
      </c>
      <c r="H543" s="26">
        <v>10501</v>
      </c>
      <c r="I543" s="27">
        <f t="shared" si="17"/>
        <v>27709</v>
      </c>
      <c r="J543" s="40">
        <v>20691</v>
      </c>
      <c r="K543" s="26">
        <v>9875</v>
      </c>
      <c r="L543" s="27">
        <v>30566</v>
      </c>
      <c r="M543" s="26">
        <v>19395</v>
      </c>
      <c r="N543" s="26">
        <v>10624</v>
      </c>
      <c r="O543" s="27">
        <v>30019</v>
      </c>
      <c r="P543" s="26">
        <v>19240</v>
      </c>
      <c r="Q543" s="26">
        <v>9611</v>
      </c>
      <c r="R543" s="27">
        <v>28851</v>
      </c>
      <c r="S543" s="26">
        <v>17844</v>
      </c>
      <c r="T543" s="26">
        <v>10140</v>
      </c>
      <c r="U543" s="27">
        <v>27984</v>
      </c>
      <c r="V543" s="26">
        <v>19237</v>
      </c>
      <c r="W543" s="26">
        <v>14514</v>
      </c>
      <c r="X543" s="31">
        <v>33751</v>
      </c>
      <c r="Y543" s="16">
        <v>20710</v>
      </c>
      <c r="Z543" s="16">
        <v>15841</v>
      </c>
      <c r="AA543" s="31">
        <v>36551</v>
      </c>
      <c r="AB543" s="32">
        <v>19129</v>
      </c>
      <c r="AC543" s="16">
        <v>13229</v>
      </c>
      <c r="AD543" s="31">
        <v>32358</v>
      </c>
      <c r="AE543" s="16">
        <v>22279</v>
      </c>
      <c r="AF543" s="16">
        <v>12169</v>
      </c>
      <c r="AG543" s="31">
        <v>34448</v>
      </c>
      <c r="AH543" s="16">
        <v>20542</v>
      </c>
      <c r="AI543" s="16">
        <v>13501</v>
      </c>
      <c r="AJ543" s="31">
        <v>34043</v>
      </c>
      <c r="AK543" s="16">
        <v>31918</v>
      </c>
      <c r="AL543" s="16">
        <v>14734</v>
      </c>
      <c r="AM543" s="31">
        <v>46652</v>
      </c>
      <c r="AN543" s="16">
        <v>13925</v>
      </c>
      <c r="AO543" s="16">
        <v>10476</v>
      </c>
      <c r="AP543" s="31">
        <v>24401</v>
      </c>
      <c r="AQ543" s="42"/>
      <c r="AR543" s="43"/>
      <c r="AS543" s="42"/>
      <c r="AT543" s="42"/>
    </row>
    <row r="544" spans="1:46" ht="12.9" customHeight="1" x14ac:dyDescent="0.25">
      <c r="A544" s="28" t="s">
        <v>1117</v>
      </c>
      <c r="B544" s="29" t="s">
        <v>1118</v>
      </c>
      <c r="C544" s="30" t="s">
        <v>59</v>
      </c>
      <c r="D544" s="40">
        <v>19244</v>
      </c>
      <c r="E544" s="26">
        <v>18865</v>
      </c>
      <c r="F544" s="26">
        <f t="shared" si="16"/>
        <v>38109</v>
      </c>
      <c r="G544" s="40">
        <v>20262</v>
      </c>
      <c r="H544" s="26">
        <v>16330</v>
      </c>
      <c r="I544" s="27">
        <f t="shared" si="17"/>
        <v>36592</v>
      </c>
      <c r="J544" s="40">
        <v>27179</v>
      </c>
      <c r="K544" s="26">
        <v>21212</v>
      </c>
      <c r="L544" s="27">
        <v>48391</v>
      </c>
      <c r="M544" s="26">
        <v>23042</v>
      </c>
      <c r="N544" s="26">
        <v>22934</v>
      </c>
      <c r="O544" s="27">
        <v>45976</v>
      </c>
      <c r="P544" s="26">
        <v>22892</v>
      </c>
      <c r="Q544" s="26">
        <v>21048</v>
      </c>
      <c r="R544" s="27">
        <v>43940</v>
      </c>
      <c r="S544" s="26">
        <v>24190</v>
      </c>
      <c r="T544" s="26">
        <v>21126</v>
      </c>
      <c r="U544" s="27">
        <v>45316</v>
      </c>
      <c r="V544" s="26">
        <v>26646</v>
      </c>
      <c r="W544" s="26">
        <v>29485</v>
      </c>
      <c r="X544" s="31">
        <v>56131</v>
      </c>
      <c r="Y544" s="16">
        <v>31664</v>
      </c>
      <c r="Z544" s="16">
        <v>20767</v>
      </c>
      <c r="AA544" s="31">
        <v>52431</v>
      </c>
      <c r="AB544" s="32">
        <v>24947</v>
      </c>
      <c r="AC544" s="16">
        <v>21514</v>
      </c>
      <c r="AD544" s="31">
        <v>46461</v>
      </c>
      <c r="AE544" s="16">
        <v>26231</v>
      </c>
      <c r="AF544" s="16">
        <v>24135</v>
      </c>
      <c r="AG544" s="31">
        <v>50366</v>
      </c>
      <c r="AH544" s="16">
        <v>23456</v>
      </c>
      <c r="AI544" s="16">
        <v>18079</v>
      </c>
      <c r="AJ544" s="31">
        <v>41535</v>
      </c>
      <c r="AK544" s="16">
        <v>22014</v>
      </c>
      <c r="AL544" s="16">
        <v>17398</v>
      </c>
      <c r="AM544" s="31">
        <v>39412</v>
      </c>
      <c r="AN544" s="16">
        <v>31655</v>
      </c>
      <c r="AO544" s="16">
        <v>13678</v>
      </c>
      <c r="AP544" s="31">
        <v>45333</v>
      </c>
      <c r="AQ544" s="42"/>
      <c r="AR544" s="43"/>
      <c r="AS544" s="42"/>
      <c r="AT544" s="42"/>
    </row>
    <row r="545" spans="1:46" ht="12.9" customHeight="1" x14ac:dyDescent="0.25">
      <c r="A545" s="28" t="s">
        <v>1119</v>
      </c>
      <c r="B545" s="29" t="s">
        <v>1120</v>
      </c>
      <c r="C545" s="47" t="s">
        <v>1946</v>
      </c>
      <c r="D545" s="40">
        <v>14684</v>
      </c>
      <c r="E545" s="26">
        <v>24417</v>
      </c>
      <c r="F545" s="26">
        <f t="shared" si="16"/>
        <v>39101</v>
      </c>
      <c r="G545" s="40">
        <v>16226</v>
      </c>
      <c r="H545" s="26">
        <v>23053</v>
      </c>
      <c r="I545" s="27">
        <f t="shared" si="17"/>
        <v>39279</v>
      </c>
      <c r="J545" s="40">
        <v>15990</v>
      </c>
      <c r="K545" s="26">
        <v>22493</v>
      </c>
      <c r="L545" s="27">
        <v>38483</v>
      </c>
      <c r="M545" s="26">
        <v>18296</v>
      </c>
      <c r="N545" s="26">
        <v>18414</v>
      </c>
      <c r="O545" s="27">
        <v>36710</v>
      </c>
      <c r="P545" s="26">
        <v>16966</v>
      </c>
      <c r="Q545" s="26">
        <v>18291</v>
      </c>
      <c r="R545" s="27">
        <v>35257</v>
      </c>
      <c r="S545" s="26">
        <v>16103</v>
      </c>
      <c r="T545" s="26">
        <v>18005</v>
      </c>
      <c r="U545" s="27">
        <v>34108</v>
      </c>
      <c r="V545" s="26">
        <v>14821</v>
      </c>
      <c r="W545" s="26">
        <v>16131</v>
      </c>
      <c r="X545" s="31">
        <v>30952</v>
      </c>
      <c r="Y545" s="16">
        <v>15339</v>
      </c>
      <c r="Z545" s="16">
        <v>18611</v>
      </c>
      <c r="AA545" s="31">
        <v>33950</v>
      </c>
      <c r="AB545" s="32">
        <v>14687</v>
      </c>
      <c r="AC545" s="16">
        <v>18472</v>
      </c>
      <c r="AD545" s="31">
        <v>33159</v>
      </c>
      <c r="AE545" s="16">
        <v>15298</v>
      </c>
      <c r="AF545" s="16">
        <v>13632</v>
      </c>
      <c r="AG545" s="31">
        <v>28930</v>
      </c>
      <c r="AH545" s="16">
        <v>13869</v>
      </c>
      <c r="AI545" s="16">
        <v>14148</v>
      </c>
      <c r="AJ545" s="31">
        <v>28017</v>
      </c>
      <c r="AK545" s="16">
        <v>14564</v>
      </c>
      <c r="AL545" s="16">
        <v>12503</v>
      </c>
      <c r="AM545" s="31">
        <v>27067</v>
      </c>
      <c r="AN545" s="16">
        <v>17182</v>
      </c>
      <c r="AO545" s="16">
        <v>12885</v>
      </c>
      <c r="AP545" s="31">
        <v>30067</v>
      </c>
      <c r="AQ545" s="42"/>
      <c r="AR545" s="43"/>
      <c r="AS545" s="42"/>
      <c r="AT545" s="42"/>
    </row>
    <row r="546" spans="1:46" ht="12.9" customHeight="1" x14ac:dyDescent="0.25">
      <c r="A546" s="28" t="s">
        <v>1121</v>
      </c>
      <c r="B546" s="29" t="s">
        <v>1122</v>
      </c>
      <c r="C546" s="30" t="s">
        <v>120</v>
      </c>
      <c r="D546" s="40">
        <v>47132</v>
      </c>
      <c r="E546" s="26">
        <v>22246</v>
      </c>
      <c r="F546" s="26">
        <f t="shared" si="16"/>
        <v>69378</v>
      </c>
      <c r="G546" s="40">
        <v>48165</v>
      </c>
      <c r="H546" s="26">
        <v>9826</v>
      </c>
      <c r="I546" s="27">
        <f t="shared" si="17"/>
        <v>57991</v>
      </c>
      <c r="J546" s="40">
        <v>51647</v>
      </c>
      <c r="K546" s="26">
        <v>11520</v>
      </c>
      <c r="L546" s="27">
        <v>63167</v>
      </c>
      <c r="M546" s="26">
        <v>50254</v>
      </c>
      <c r="N546" s="26">
        <v>10775</v>
      </c>
      <c r="O546" s="27">
        <v>61029</v>
      </c>
      <c r="P546" s="26">
        <v>73671</v>
      </c>
      <c r="Q546" s="26">
        <v>9674</v>
      </c>
      <c r="R546" s="27">
        <v>83345</v>
      </c>
      <c r="S546" s="26">
        <v>47853</v>
      </c>
      <c r="T546" s="26">
        <v>8316</v>
      </c>
      <c r="U546" s="27">
        <v>56169</v>
      </c>
      <c r="V546" s="26">
        <v>47490</v>
      </c>
      <c r="W546" s="26">
        <v>13278</v>
      </c>
      <c r="X546" s="31">
        <v>60768</v>
      </c>
      <c r="Y546" s="16">
        <v>46439</v>
      </c>
      <c r="Z546" s="16">
        <v>11534</v>
      </c>
      <c r="AA546" s="31">
        <v>57973</v>
      </c>
      <c r="AB546" s="32">
        <v>48726</v>
      </c>
      <c r="AC546" s="16">
        <v>10485</v>
      </c>
      <c r="AD546" s="31">
        <v>59211</v>
      </c>
      <c r="AE546" s="16">
        <v>51877</v>
      </c>
      <c r="AF546" s="16">
        <v>13080</v>
      </c>
      <c r="AG546" s="31">
        <v>64957</v>
      </c>
      <c r="AH546" s="16">
        <v>48917</v>
      </c>
      <c r="AI546" s="16">
        <v>11392</v>
      </c>
      <c r="AJ546" s="31">
        <v>60309</v>
      </c>
      <c r="AK546" s="16">
        <v>47428</v>
      </c>
      <c r="AL546" s="16">
        <v>13875</v>
      </c>
      <c r="AM546" s="31">
        <v>61303</v>
      </c>
      <c r="AN546" s="16">
        <v>47428</v>
      </c>
      <c r="AO546" s="16">
        <v>13747</v>
      </c>
      <c r="AP546" s="31">
        <v>61175</v>
      </c>
      <c r="AQ546" s="42"/>
      <c r="AR546" s="43"/>
      <c r="AS546" s="42"/>
      <c r="AT546" s="42"/>
    </row>
    <row r="547" spans="1:46" ht="12.9" customHeight="1" x14ac:dyDescent="0.25">
      <c r="A547" s="28" t="s">
        <v>1123</v>
      </c>
      <c r="B547" s="29" t="s">
        <v>1124</v>
      </c>
      <c r="C547" s="30" t="s">
        <v>23</v>
      </c>
      <c r="D547" s="40">
        <v>105907</v>
      </c>
      <c r="E547" s="26">
        <v>240689</v>
      </c>
      <c r="F547" s="26">
        <f t="shared" si="16"/>
        <v>346596</v>
      </c>
      <c r="G547" s="40">
        <v>132114</v>
      </c>
      <c r="H547" s="26">
        <v>283995</v>
      </c>
      <c r="I547" s="27">
        <f t="shared" si="17"/>
        <v>416109</v>
      </c>
      <c r="J547" s="40">
        <v>162493</v>
      </c>
      <c r="K547" s="26">
        <v>251896</v>
      </c>
      <c r="L547" s="27">
        <v>414389</v>
      </c>
      <c r="M547" s="26">
        <v>164356</v>
      </c>
      <c r="N547" s="26">
        <v>226110</v>
      </c>
      <c r="O547" s="27">
        <v>390466</v>
      </c>
      <c r="P547" s="26">
        <v>154217</v>
      </c>
      <c r="Q547" s="26">
        <v>287221</v>
      </c>
      <c r="R547" s="27">
        <v>441438</v>
      </c>
      <c r="S547" s="26">
        <v>147606</v>
      </c>
      <c r="T547" s="26">
        <v>409962</v>
      </c>
      <c r="U547" s="27">
        <v>557568</v>
      </c>
      <c r="V547" s="26">
        <v>149618</v>
      </c>
      <c r="W547" s="26">
        <v>381373</v>
      </c>
      <c r="X547" s="31">
        <v>530991</v>
      </c>
      <c r="Y547" s="16">
        <v>140242</v>
      </c>
      <c r="Z547" s="16">
        <v>417747</v>
      </c>
      <c r="AA547" s="31">
        <v>557989</v>
      </c>
      <c r="AB547" s="32">
        <v>148169</v>
      </c>
      <c r="AC547" s="16">
        <v>323933</v>
      </c>
      <c r="AD547" s="31">
        <v>472102</v>
      </c>
      <c r="AE547" s="16">
        <v>143261</v>
      </c>
      <c r="AF547" s="16">
        <v>287655</v>
      </c>
      <c r="AG547" s="31">
        <v>430916</v>
      </c>
      <c r="AH547" s="16">
        <v>141113</v>
      </c>
      <c r="AI547" s="16">
        <v>302518</v>
      </c>
      <c r="AJ547" s="31">
        <v>443631</v>
      </c>
      <c r="AK547" s="16">
        <v>142485</v>
      </c>
      <c r="AL547" s="16">
        <v>367954</v>
      </c>
      <c r="AM547" s="31">
        <v>510439</v>
      </c>
      <c r="AN547" s="16">
        <v>161603</v>
      </c>
      <c r="AO547" s="16">
        <v>504152</v>
      </c>
      <c r="AP547" s="31">
        <v>665755</v>
      </c>
      <c r="AQ547" s="42"/>
      <c r="AR547" s="43"/>
      <c r="AS547" s="42"/>
      <c r="AT547" s="42"/>
    </row>
    <row r="548" spans="1:46" ht="12.9" customHeight="1" x14ac:dyDescent="0.25">
      <c r="A548" s="28" t="s">
        <v>1125</v>
      </c>
      <c r="B548" s="29" t="s">
        <v>1126</v>
      </c>
      <c r="C548" s="30" t="s">
        <v>39</v>
      </c>
      <c r="D548" s="40">
        <v>23816</v>
      </c>
      <c r="E548" s="26">
        <v>44155</v>
      </c>
      <c r="F548" s="26">
        <f t="shared" si="16"/>
        <v>67971</v>
      </c>
      <c r="G548" s="40">
        <v>26967</v>
      </c>
      <c r="H548" s="26">
        <v>44354</v>
      </c>
      <c r="I548" s="27">
        <f t="shared" si="17"/>
        <v>71321</v>
      </c>
      <c r="J548" s="40">
        <v>24774</v>
      </c>
      <c r="K548" s="26">
        <v>44385</v>
      </c>
      <c r="L548" s="27">
        <v>69159</v>
      </c>
      <c r="M548" s="26">
        <v>24110</v>
      </c>
      <c r="N548" s="26">
        <v>5032</v>
      </c>
      <c r="O548" s="27">
        <v>29142</v>
      </c>
      <c r="P548" s="26">
        <v>24347</v>
      </c>
      <c r="Q548" s="26">
        <v>6350</v>
      </c>
      <c r="R548" s="27">
        <v>30697</v>
      </c>
      <c r="S548" s="26">
        <v>24879</v>
      </c>
      <c r="T548" s="26">
        <v>4827</v>
      </c>
      <c r="U548" s="27">
        <v>29706</v>
      </c>
      <c r="V548" s="26">
        <v>24714</v>
      </c>
      <c r="W548" s="26">
        <v>6996</v>
      </c>
      <c r="X548" s="31">
        <v>31710</v>
      </c>
      <c r="Y548" s="16">
        <v>26827</v>
      </c>
      <c r="Z548" s="16">
        <v>7398</v>
      </c>
      <c r="AA548" s="31">
        <v>34225</v>
      </c>
      <c r="AB548" s="32">
        <v>27063</v>
      </c>
      <c r="AC548" s="16">
        <v>5580</v>
      </c>
      <c r="AD548" s="31">
        <v>32643</v>
      </c>
      <c r="AE548" s="16">
        <v>28097</v>
      </c>
      <c r="AF548" s="16">
        <v>4664</v>
      </c>
      <c r="AG548" s="31">
        <v>32761</v>
      </c>
      <c r="AH548" s="16">
        <v>28181</v>
      </c>
      <c r="AI548" s="16">
        <v>36041</v>
      </c>
      <c r="AJ548" s="31">
        <v>64222</v>
      </c>
      <c r="AK548" s="16">
        <v>25272</v>
      </c>
      <c r="AL548" s="16">
        <v>38049</v>
      </c>
      <c r="AM548" s="31">
        <v>63321</v>
      </c>
      <c r="AN548" s="16">
        <v>29733</v>
      </c>
      <c r="AO548" s="16">
        <v>5164</v>
      </c>
      <c r="AP548" s="31">
        <v>34897</v>
      </c>
      <c r="AQ548" s="42"/>
      <c r="AR548" s="43"/>
      <c r="AS548" s="42"/>
      <c r="AT548" s="42"/>
    </row>
    <row r="549" spans="1:46" ht="12.9" customHeight="1" x14ac:dyDescent="0.25">
      <c r="A549" s="28" t="s">
        <v>1127</v>
      </c>
      <c r="B549" s="29" t="s">
        <v>1128</v>
      </c>
      <c r="C549" s="30" t="s">
        <v>73</v>
      </c>
      <c r="D549" s="40">
        <v>128906</v>
      </c>
      <c r="E549" s="26">
        <v>72283</v>
      </c>
      <c r="F549" s="26">
        <f t="shared" si="16"/>
        <v>201189</v>
      </c>
      <c r="G549" s="40">
        <v>131400</v>
      </c>
      <c r="H549" s="26">
        <v>77254</v>
      </c>
      <c r="I549" s="27">
        <f t="shared" si="17"/>
        <v>208654</v>
      </c>
      <c r="J549" s="40">
        <v>127711</v>
      </c>
      <c r="K549" s="26">
        <v>71436</v>
      </c>
      <c r="L549" s="27">
        <v>199147</v>
      </c>
      <c r="M549" s="26">
        <v>126931</v>
      </c>
      <c r="N549" s="26">
        <v>66961</v>
      </c>
      <c r="O549" s="27">
        <v>193892</v>
      </c>
      <c r="P549" s="26">
        <v>133103</v>
      </c>
      <c r="Q549" s="26">
        <v>53465</v>
      </c>
      <c r="R549" s="27">
        <v>186568</v>
      </c>
      <c r="S549" s="26">
        <v>131187</v>
      </c>
      <c r="T549" s="26">
        <v>74952</v>
      </c>
      <c r="U549" s="27">
        <v>206139</v>
      </c>
      <c r="V549" s="26">
        <v>128377</v>
      </c>
      <c r="W549" s="26">
        <v>65198</v>
      </c>
      <c r="X549" s="31">
        <v>193575</v>
      </c>
      <c r="Y549" s="16">
        <v>129548</v>
      </c>
      <c r="Z549" s="16">
        <v>76702</v>
      </c>
      <c r="AA549" s="31">
        <v>206250</v>
      </c>
      <c r="AB549" s="32">
        <v>126674</v>
      </c>
      <c r="AC549" s="16">
        <v>75938</v>
      </c>
      <c r="AD549" s="31">
        <v>202612</v>
      </c>
      <c r="AE549" s="16">
        <v>125821</v>
      </c>
      <c r="AF549" s="16">
        <v>79603</v>
      </c>
      <c r="AG549" s="31">
        <v>205424</v>
      </c>
      <c r="AH549" s="16">
        <v>122135</v>
      </c>
      <c r="AI549" s="16">
        <v>82558</v>
      </c>
      <c r="AJ549" s="31">
        <v>204693</v>
      </c>
      <c r="AK549" s="16">
        <v>122126</v>
      </c>
      <c r="AL549" s="16">
        <v>90654</v>
      </c>
      <c r="AM549" s="31">
        <v>212780</v>
      </c>
      <c r="AN549" s="16">
        <v>141122</v>
      </c>
      <c r="AO549" s="16">
        <v>90622</v>
      </c>
      <c r="AP549" s="31">
        <v>231744</v>
      </c>
      <c r="AQ549" s="42"/>
      <c r="AR549" s="43"/>
      <c r="AS549" s="42"/>
      <c r="AT549" s="42"/>
    </row>
    <row r="550" spans="1:46" ht="12.9" customHeight="1" x14ac:dyDescent="0.25">
      <c r="A550" s="28" t="s">
        <v>1129</v>
      </c>
      <c r="B550" s="29" t="s">
        <v>1130</v>
      </c>
      <c r="C550" s="30" t="s">
        <v>153</v>
      </c>
      <c r="D550" s="40">
        <v>810740</v>
      </c>
      <c r="E550" s="26">
        <v>92334</v>
      </c>
      <c r="F550" s="26">
        <f t="shared" si="16"/>
        <v>903074</v>
      </c>
      <c r="G550" s="40">
        <v>750153</v>
      </c>
      <c r="H550" s="26">
        <v>83019</v>
      </c>
      <c r="I550" s="27">
        <f t="shared" si="17"/>
        <v>833172</v>
      </c>
      <c r="J550" s="40">
        <v>816364</v>
      </c>
      <c r="K550" s="26">
        <v>84912</v>
      </c>
      <c r="L550" s="27">
        <v>901276</v>
      </c>
      <c r="M550" s="26">
        <v>824312</v>
      </c>
      <c r="N550" s="26">
        <v>80091</v>
      </c>
      <c r="O550" s="27">
        <v>904403</v>
      </c>
      <c r="P550" s="26">
        <v>824536</v>
      </c>
      <c r="Q550" s="26">
        <v>71505</v>
      </c>
      <c r="R550" s="27">
        <v>896041</v>
      </c>
      <c r="S550" s="26">
        <v>804500</v>
      </c>
      <c r="T550" s="26">
        <v>85246</v>
      </c>
      <c r="U550" s="27">
        <v>889746</v>
      </c>
      <c r="V550" s="26">
        <v>809340</v>
      </c>
      <c r="W550" s="26">
        <v>82798</v>
      </c>
      <c r="X550" s="31">
        <v>892138</v>
      </c>
      <c r="Y550" s="16">
        <v>801174</v>
      </c>
      <c r="Z550" s="16">
        <v>80769</v>
      </c>
      <c r="AA550" s="31">
        <v>881943</v>
      </c>
      <c r="AB550" s="32">
        <v>812298</v>
      </c>
      <c r="AC550" s="16">
        <v>78823</v>
      </c>
      <c r="AD550" s="31">
        <v>891121</v>
      </c>
      <c r="AE550" s="16">
        <v>809249</v>
      </c>
      <c r="AF550" s="16">
        <v>81562</v>
      </c>
      <c r="AG550" s="31">
        <v>890811</v>
      </c>
      <c r="AH550" s="16">
        <v>807250</v>
      </c>
      <c r="AI550" s="16">
        <v>74717</v>
      </c>
      <c r="AJ550" s="31">
        <v>881967</v>
      </c>
      <c r="AK550" s="16">
        <v>870578</v>
      </c>
      <c r="AL550" s="16">
        <v>80251</v>
      </c>
      <c r="AM550" s="31">
        <v>950829</v>
      </c>
      <c r="AN550" s="16">
        <v>862705</v>
      </c>
      <c r="AO550" s="16">
        <v>82640</v>
      </c>
      <c r="AP550" s="31">
        <v>945345</v>
      </c>
      <c r="AQ550" s="42"/>
      <c r="AR550" s="43"/>
      <c r="AS550" s="42"/>
      <c r="AT550" s="42"/>
    </row>
    <row r="551" spans="1:46" ht="12.9" customHeight="1" x14ac:dyDescent="0.25">
      <c r="A551" s="28" t="s">
        <v>1131</v>
      </c>
      <c r="B551" s="29" t="s">
        <v>1132</v>
      </c>
      <c r="C551" s="30" t="s">
        <v>218</v>
      </c>
      <c r="D551" s="40">
        <v>6401</v>
      </c>
      <c r="E551" s="26">
        <v>1293</v>
      </c>
      <c r="F551" s="26">
        <f t="shared" si="16"/>
        <v>7694</v>
      </c>
      <c r="G551" s="40">
        <v>7368</v>
      </c>
      <c r="H551" s="26">
        <v>2753</v>
      </c>
      <c r="I551" s="27">
        <f t="shared" si="17"/>
        <v>10121</v>
      </c>
      <c r="J551" s="40">
        <v>6787</v>
      </c>
      <c r="K551" s="26">
        <v>3917</v>
      </c>
      <c r="L551" s="27">
        <v>10704</v>
      </c>
      <c r="M551" s="26">
        <v>6984</v>
      </c>
      <c r="N551" s="26">
        <v>2467</v>
      </c>
      <c r="O551" s="27">
        <v>9451</v>
      </c>
      <c r="P551" s="26">
        <v>8151</v>
      </c>
      <c r="Q551" s="26">
        <v>2445</v>
      </c>
      <c r="R551" s="27">
        <v>10596</v>
      </c>
      <c r="S551" s="26">
        <v>6708</v>
      </c>
      <c r="T551" s="26">
        <v>3051</v>
      </c>
      <c r="U551" s="27">
        <v>9759</v>
      </c>
      <c r="V551" s="26">
        <v>6029</v>
      </c>
      <c r="W551" s="26">
        <v>2591</v>
      </c>
      <c r="X551" s="31">
        <v>8620</v>
      </c>
      <c r="Y551" s="16">
        <v>7098</v>
      </c>
      <c r="Z551" s="16">
        <v>2584</v>
      </c>
      <c r="AA551" s="31">
        <v>9682</v>
      </c>
      <c r="AB551" s="32">
        <v>5956</v>
      </c>
      <c r="AC551" s="16">
        <v>2496</v>
      </c>
      <c r="AD551" s="31">
        <v>8452</v>
      </c>
      <c r="AE551" s="16">
        <v>6812</v>
      </c>
      <c r="AF551" s="16">
        <v>1648</v>
      </c>
      <c r="AG551" s="31">
        <v>8460</v>
      </c>
      <c r="AH551" s="16">
        <v>6809.7142857142808</v>
      </c>
      <c r="AI551" s="16">
        <v>5493</v>
      </c>
      <c r="AJ551" s="31">
        <v>12302.714285714281</v>
      </c>
      <c r="AK551" s="16">
        <v>6722</v>
      </c>
      <c r="AL551" s="16">
        <v>7233</v>
      </c>
      <c r="AM551" s="31">
        <v>13955</v>
      </c>
      <c r="AN551" s="16">
        <v>6722</v>
      </c>
      <c r="AO551" s="16">
        <v>7233</v>
      </c>
      <c r="AP551" s="31">
        <v>13955</v>
      </c>
      <c r="AQ551" s="42"/>
      <c r="AR551" s="43"/>
      <c r="AS551" s="42"/>
      <c r="AT551" s="42"/>
    </row>
    <row r="552" spans="1:46" ht="12.9" customHeight="1" x14ac:dyDescent="0.25">
      <c r="A552" s="28" t="s">
        <v>1133</v>
      </c>
      <c r="B552" s="29" t="s">
        <v>1134</v>
      </c>
      <c r="C552" s="30" t="s">
        <v>80</v>
      </c>
      <c r="D552" s="40">
        <v>1259193</v>
      </c>
      <c r="E552" s="26">
        <v>482185</v>
      </c>
      <c r="F552" s="26">
        <f t="shared" si="16"/>
        <v>1741378</v>
      </c>
      <c r="G552" s="40">
        <v>995265</v>
      </c>
      <c r="H552" s="26">
        <v>467888</v>
      </c>
      <c r="I552" s="27">
        <f t="shared" si="17"/>
        <v>1463153</v>
      </c>
      <c r="J552" s="40">
        <v>1291467</v>
      </c>
      <c r="K552" s="26">
        <v>565825</v>
      </c>
      <c r="L552" s="27">
        <v>1857292</v>
      </c>
      <c r="M552" s="26">
        <v>1006970</v>
      </c>
      <c r="N552" s="26">
        <v>370892</v>
      </c>
      <c r="O552" s="27">
        <v>1377862</v>
      </c>
      <c r="P552" s="26">
        <v>1593447</v>
      </c>
      <c r="Q552" s="26">
        <v>476480</v>
      </c>
      <c r="R552" s="27">
        <v>2069927</v>
      </c>
      <c r="S552" s="26">
        <v>1259256</v>
      </c>
      <c r="T552" s="26">
        <v>523535</v>
      </c>
      <c r="U552" s="27">
        <v>1782791</v>
      </c>
      <c r="V552" s="26">
        <v>1238407</v>
      </c>
      <c r="W552" s="26">
        <v>534117</v>
      </c>
      <c r="X552" s="31">
        <v>1772524</v>
      </c>
      <c r="Y552" s="16">
        <v>1229784</v>
      </c>
      <c r="Z552" s="16">
        <v>536135</v>
      </c>
      <c r="AA552" s="31">
        <v>1765919</v>
      </c>
      <c r="AB552" s="32">
        <v>1215155</v>
      </c>
      <c r="AC552" s="16">
        <v>449721</v>
      </c>
      <c r="AD552" s="31">
        <v>1664876</v>
      </c>
      <c r="AE552" s="16">
        <v>1209308</v>
      </c>
      <c r="AF552" s="16">
        <v>417840</v>
      </c>
      <c r="AG552" s="31">
        <v>1627148</v>
      </c>
      <c r="AH552" s="16">
        <v>1193444.2164948455</v>
      </c>
      <c r="AI552" s="16">
        <v>447514</v>
      </c>
      <c r="AJ552" s="31">
        <v>1640958.2164948455</v>
      </c>
      <c r="AK552" s="16">
        <v>1216010.2164948455</v>
      </c>
      <c r="AL552" s="16">
        <v>442216</v>
      </c>
      <c r="AM552" s="31">
        <v>1658226.2164948455</v>
      </c>
      <c r="AN552" s="16">
        <v>1278209.2164948455</v>
      </c>
      <c r="AO552" s="16">
        <v>411025</v>
      </c>
      <c r="AP552" s="31">
        <v>1689234.2164948455</v>
      </c>
      <c r="AQ552" s="42"/>
      <c r="AR552" s="43"/>
      <c r="AS552" s="42"/>
      <c r="AT552" s="42"/>
    </row>
    <row r="553" spans="1:46" ht="12.9" customHeight="1" x14ac:dyDescent="0.25">
      <c r="A553" s="28" t="s">
        <v>1135</v>
      </c>
      <c r="B553" s="29" t="s">
        <v>1136</v>
      </c>
      <c r="C553" s="30" t="s">
        <v>163</v>
      </c>
      <c r="D553" s="40">
        <v>30917</v>
      </c>
      <c r="E553" s="26">
        <v>5624</v>
      </c>
      <c r="F553" s="26">
        <f t="shared" si="16"/>
        <v>36541</v>
      </c>
      <c r="G553" s="40">
        <v>30488</v>
      </c>
      <c r="H553" s="26">
        <v>5588</v>
      </c>
      <c r="I553" s="27">
        <f t="shared" si="17"/>
        <v>36076</v>
      </c>
      <c r="J553" s="40">
        <v>30684</v>
      </c>
      <c r="K553" s="26">
        <v>7561</v>
      </c>
      <c r="L553" s="27">
        <v>38245</v>
      </c>
      <c r="M553" s="26">
        <v>32754</v>
      </c>
      <c r="N553" s="26">
        <v>7464</v>
      </c>
      <c r="O553" s="27">
        <v>40218</v>
      </c>
      <c r="P553" s="26">
        <v>32174</v>
      </c>
      <c r="Q553" s="26">
        <v>7282</v>
      </c>
      <c r="R553" s="27">
        <v>39456</v>
      </c>
      <c r="S553" s="26">
        <v>31824</v>
      </c>
      <c r="T553" s="26">
        <v>6993</v>
      </c>
      <c r="U553" s="27">
        <v>38817</v>
      </c>
      <c r="V553" s="26">
        <v>31158</v>
      </c>
      <c r="W553" s="26">
        <v>6798</v>
      </c>
      <c r="X553" s="31">
        <v>37956</v>
      </c>
      <c r="Y553" s="16">
        <v>34200</v>
      </c>
      <c r="Z553" s="16">
        <v>6973</v>
      </c>
      <c r="AA553" s="31">
        <v>41173</v>
      </c>
      <c r="AB553" s="32">
        <v>33646</v>
      </c>
      <c r="AC553" s="16">
        <v>6687</v>
      </c>
      <c r="AD553" s="31">
        <v>40333</v>
      </c>
      <c r="AE553" s="16">
        <v>30395</v>
      </c>
      <c r="AF553" s="16">
        <v>6611</v>
      </c>
      <c r="AG553" s="31">
        <v>37006</v>
      </c>
      <c r="AH553" s="16">
        <v>31095</v>
      </c>
      <c r="AI553" s="16">
        <v>7142</v>
      </c>
      <c r="AJ553" s="31">
        <v>38237</v>
      </c>
      <c r="AK553" s="16">
        <v>34742</v>
      </c>
      <c r="AL553" s="16">
        <v>7913</v>
      </c>
      <c r="AM553" s="31">
        <v>42655</v>
      </c>
      <c r="AN553" s="16">
        <v>34742</v>
      </c>
      <c r="AO553" s="16">
        <v>7913</v>
      </c>
      <c r="AP553" s="31">
        <v>42655</v>
      </c>
      <c r="AQ553" s="42"/>
      <c r="AR553" s="43"/>
      <c r="AS553" s="42"/>
      <c r="AT553" s="42"/>
    </row>
    <row r="554" spans="1:46" ht="12.9" customHeight="1" x14ac:dyDescent="0.25">
      <c r="A554" s="28" t="s">
        <v>1137</v>
      </c>
      <c r="B554" s="29" t="s">
        <v>1138</v>
      </c>
      <c r="C554" s="30" t="s">
        <v>438</v>
      </c>
      <c r="D554" s="40">
        <v>5123</v>
      </c>
      <c r="E554" s="26">
        <v>1089</v>
      </c>
      <c r="F554" s="26">
        <f t="shared" si="16"/>
        <v>6212</v>
      </c>
      <c r="G554" s="40">
        <v>5397</v>
      </c>
      <c r="H554" s="26">
        <v>961</v>
      </c>
      <c r="I554" s="27">
        <f t="shared" si="17"/>
        <v>6358</v>
      </c>
      <c r="J554" s="40">
        <v>5397</v>
      </c>
      <c r="K554" s="26">
        <v>961</v>
      </c>
      <c r="L554" s="27">
        <v>6358</v>
      </c>
      <c r="M554" s="26">
        <v>4685</v>
      </c>
      <c r="N554" s="26">
        <v>687</v>
      </c>
      <c r="O554" s="27">
        <v>5372</v>
      </c>
      <c r="P554" s="26">
        <v>4685</v>
      </c>
      <c r="Q554" s="26">
        <v>687</v>
      </c>
      <c r="R554" s="27">
        <v>5372</v>
      </c>
      <c r="S554" s="26">
        <v>4685</v>
      </c>
      <c r="T554" s="26">
        <v>687</v>
      </c>
      <c r="U554" s="27">
        <v>5372</v>
      </c>
      <c r="V554" s="26">
        <v>4927</v>
      </c>
      <c r="W554" s="26">
        <v>4067</v>
      </c>
      <c r="X554" s="31">
        <v>8994</v>
      </c>
      <c r="Y554" s="16">
        <v>4998</v>
      </c>
      <c r="Z554" s="16">
        <v>1488</v>
      </c>
      <c r="AA554" s="31">
        <v>6486</v>
      </c>
      <c r="AB554" s="32">
        <v>4845</v>
      </c>
      <c r="AC554" s="16">
        <v>1173</v>
      </c>
      <c r="AD554" s="31">
        <v>6018</v>
      </c>
      <c r="AE554" s="16">
        <v>4845</v>
      </c>
      <c r="AF554" s="16">
        <v>1173</v>
      </c>
      <c r="AG554" s="31">
        <v>6018</v>
      </c>
      <c r="AH554" s="16">
        <v>4220</v>
      </c>
      <c r="AI554" s="16">
        <v>46347</v>
      </c>
      <c r="AJ554" s="31">
        <v>50567</v>
      </c>
      <c r="AK554" s="16">
        <v>3935</v>
      </c>
      <c r="AL554" s="16">
        <v>43547</v>
      </c>
      <c r="AM554" s="31">
        <v>47482</v>
      </c>
      <c r="AN554" s="16">
        <v>5103</v>
      </c>
      <c r="AO554" s="16">
        <v>346</v>
      </c>
      <c r="AP554" s="31">
        <v>5449</v>
      </c>
      <c r="AQ554" s="42"/>
      <c r="AR554" s="43"/>
      <c r="AS554" s="42"/>
      <c r="AT554" s="42"/>
    </row>
    <row r="555" spans="1:46" ht="12.9" customHeight="1" x14ac:dyDescent="0.25">
      <c r="A555" s="28" t="s">
        <v>1139</v>
      </c>
      <c r="B555" s="29" t="s">
        <v>1140</v>
      </c>
      <c r="C555" s="30" t="s">
        <v>438</v>
      </c>
      <c r="D555" s="40">
        <v>9370</v>
      </c>
      <c r="E555" s="26">
        <v>523</v>
      </c>
      <c r="F555" s="26">
        <f t="shared" si="16"/>
        <v>9893</v>
      </c>
      <c r="G555" s="40">
        <v>9618</v>
      </c>
      <c r="H555" s="26">
        <v>629</v>
      </c>
      <c r="I555" s="27">
        <f t="shared" si="17"/>
        <v>10247</v>
      </c>
      <c r="J555" s="40">
        <v>9618</v>
      </c>
      <c r="K555" s="26">
        <v>629</v>
      </c>
      <c r="L555" s="27">
        <v>10247</v>
      </c>
      <c r="M555" s="26">
        <v>8825</v>
      </c>
      <c r="N555" s="26">
        <v>1666</v>
      </c>
      <c r="O555" s="27">
        <v>10491</v>
      </c>
      <c r="P555" s="26">
        <v>8825</v>
      </c>
      <c r="Q555" s="26">
        <v>1666</v>
      </c>
      <c r="R555" s="27">
        <v>10491</v>
      </c>
      <c r="S555" s="26">
        <v>8825</v>
      </c>
      <c r="T555" s="26">
        <v>1666</v>
      </c>
      <c r="U555" s="27">
        <v>10491</v>
      </c>
      <c r="V555" s="26">
        <v>9078</v>
      </c>
      <c r="W555" s="26">
        <v>1358</v>
      </c>
      <c r="X555" s="31">
        <v>10436</v>
      </c>
      <c r="Y555" s="16">
        <v>8393</v>
      </c>
      <c r="Z555" s="16">
        <v>1599</v>
      </c>
      <c r="AA555" s="31">
        <v>9992</v>
      </c>
      <c r="AB555" s="32">
        <v>7640</v>
      </c>
      <c r="AC555" s="16">
        <v>48567</v>
      </c>
      <c r="AD555" s="31">
        <v>56207</v>
      </c>
      <c r="AE555" s="16">
        <v>7640</v>
      </c>
      <c r="AF555" s="16">
        <v>48567</v>
      </c>
      <c r="AG555" s="31">
        <v>56207</v>
      </c>
      <c r="AH555" s="16">
        <v>7862</v>
      </c>
      <c r="AI555" s="16">
        <v>130611</v>
      </c>
      <c r="AJ555" s="31">
        <v>138473</v>
      </c>
      <c r="AK555" s="16">
        <v>7683</v>
      </c>
      <c r="AL555" s="16">
        <v>117189</v>
      </c>
      <c r="AM555" s="31">
        <v>124872</v>
      </c>
      <c r="AN555" s="16">
        <v>10440</v>
      </c>
      <c r="AO555" s="16">
        <v>456</v>
      </c>
      <c r="AP555" s="31">
        <v>10896</v>
      </c>
      <c r="AQ555" s="42"/>
      <c r="AR555" s="43"/>
      <c r="AS555" s="42"/>
      <c r="AT555" s="42"/>
    </row>
    <row r="556" spans="1:46" ht="12.9" customHeight="1" x14ac:dyDescent="0.25">
      <c r="A556" s="28" t="s">
        <v>1141</v>
      </c>
      <c r="B556" s="29" t="s">
        <v>1142</v>
      </c>
      <c r="C556" s="30" t="s">
        <v>218</v>
      </c>
      <c r="D556" s="40">
        <v>17224</v>
      </c>
      <c r="E556" s="26">
        <v>8395</v>
      </c>
      <c r="F556" s="26">
        <f t="shared" si="16"/>
        <v>25619</v>
      </c>
      <c r="G556" s="40">
        <v>17597</v>
      </c>
      <c r="H556" s="26">
        <v>11245</v>
      </c>
      <c r="I556" s="27">
        <f t="shared" si="17"/>
        <v>28842</v>
      </c>
      <c r="J556" s="40">
        <v>18439</v>
      </c>
      <c r="K556" s="26">
        <v>11586</v>
      </c>
      <c r="L556" s="27">
        <v>30025</v>
      </c>
      <c r="M556" s="26">
        <v>20638</v>
      </c>
      <c r="N556" s="26">
        <v>13347</v>
      </c>
      <c r="O556" s="27">
        <v>33985</v>
      </c>
      <c r="P556" s="26">
        <v>22746</v>
      </c>
      <c r="Q556" s="26">
        <v>14307</v>
      </c>
      <c r="R556" s="27">
        <v>37053</v>
      </c>
      <c r="S556" s="26">
        <v>19264</v>
      </c>
      <c r="T556" s="26">
        <v>15819</v>
      </c>
      <c r="U556" s="27">
        <v>35083</v>
      </c>
      <c r="V556" s="26">
        <v>18611</v>
      </c>
      <c r="W556" s="26">
        <v>11433</v>
      </c>
      <c r="X556" s="31">
        <v>30044</v>
      </c>
      <c r="Y556" s="16">
        <v>19258</v>
      </c>
      <c r="Z556" s="16">
        <v>15523</v>
      </c>
      <c r="AA556" s="31">
        <v>34781</v>
      </c>
      <c r="AB556" s="32">
        <v>19716</v>
      </c>
      <c r="AC556" s="16">
        <v>14274</v>
      </c>
      <c r="AD556" s="31">
        <v>33990</v>
      </c>
      <c r="AE556" s="16">
        <v>24900</v>
      </c>
      <c r="AF556" s="16">
        <v>13096</v>
      </c>
      <c r="AG556" s="31">
        <v>37996</v>
      </c>
      <c r="AH556" s="16">
        <v>18247</v>
      </c>
      <c r="AI556" s="16">
        <v>9215</v>
      </c>
      <c r="AJ556" s="31">
        <v>27462</v>
      </c>
      <c r="AK556" s="16">
        <v>17833.308439133682</v>
      </c>
      <c r="AL556" s="16">
        <v>11373.292307692307</v>
      </c>
      <c r="AM556" s="31">
        <v>29206.600746825989</v>
      </c>
      <c r="AN556" s="16">
        <v>18712</v>
      </c>
      <c r="AO556" s="16">
        <v>9177</v>
      </c>
      <c r="AP556" s="31">
        <v>27889</v>
      </c>
      <c r="AQ556" s="42"/>
      <c r="AR556" s="43"/>
      <c r="AS556" s="42"/>
      <c r="AT556" s="42"/>
    </row>
    <row r="557" spans="1:46" ht="12.9" customHeight="1" x14ac:dyDescent="0.25">
      <c r="A557" s="28" t="s">
        <v>1143</v>
      </c>
      <c r="B557" s="29" t="s">
        <v>1144</v>
      </c>
      <c r="C557" s="30" t="s">
        <v>29</v>
      </c>
      <c r="D557" s="40">
        <v>78024</v>
      </c>
      <c r="E557" s="26">
        <v>188207</v>
      </c>
      <c r="F557" s="26">
        <f t="shared" si="16"/>
        <v>266231</v>
      </c>
      <c r="G557" s="40">
        <v>99142</v>
      </c>
      <c r="H557" s="26">
        <v>197437</v>
      </c>
      <c r="I557" s="27">
        <f t="shared" si="17"/>
        <v>296579</v>
      </c>
      <c r="J557" s="40">
        <v>81791</v>
      </c>
      <c r="K557" s="26">
        <v>194524</v>
      </c>
      <c r="L557" s="27">
        <v>276315</v>
      </c>
      <c r="M557" s="26">
        <v>80532</v>
      </c>
      <c r="N557" s="26">
        <v>170114</v>
      </c>
      <c r="O557" s="27">
        <v>250646</v>
      </c>
      <c r="P557" s="26">
        <v>83112</v>
      </c>
      <c r="Q557" s="26">
        <v>186073</v>
      </c>
      <c r="R557" s="27">
        <v>269185</v>
      </c>
      <c r="S557" s="26">
        <v>78801</v>
      </c>
      <c r="T557" s="26">
        <v>196916</v>
      </c>
      <c r="U557" s="27">
        <v>275717</v>
      </c>
      <c r="V557" s="26">
        <v>78517</v>
      </c>
      <c r="W557" s="26">
        <v>180614</v>
      </c>
      <c r="X557" s="31">
        <v>259131</v>
      </c>
      <c r="Y557" s="16">
        <v>83052</v>
      </c>
      <c r="Z557" s="16">
        <v>161513</v>
      </c>
      <c r="AA557" s="31">
        <v>244565</v>
      </c>
      <c r="AB557" s="32">
        <v>78382</v>
      </c>
      <c r="AC557" s="16">
        <v>151851</v>
      </c>
      <c r="AD557" s="31">
        <v>230233</v>
      </c>
      <c r="AE557" s="16">
        <v>83219</v>
      </c>
      <c r="AF557" s="16">
        <v>155584</v>
      </c>
      <c r="AG557" s="31">
        <v>238803</v>
      </c>
      <c r="AH557" s="16">
        <v>80520</v>
      </c>
      <c r="AI557" s="16">
        <v>136110</v>
      </c>
      <c r="AJ557" s="31">
        <v>216630</v>
      </c>
      <c r="AK557" s="16">
        <v>80242</v>
      </c>
      <c r="AL557" s="16">
        <v>132409</v>
      </c>
      <c r="AM557" s="31">
        <v>212651</v>
      </c>
      <c r="AN557" s="16">
        <v>87032</v>
      </c>
      <c r="AO557" s="16">
        <v>150282</v>
      </c>
      <c r="AP557" s="31">
        <v>237314</v>
      </c>
      <c r="AQ557" s="42"/>
      <c r="AR557" s="43"/>
      <c r="AS557" s="42"/>
      <c r="AT557" s="42"/>
    </row>
    <row r="558" spans="1:46" ht="12.9" customHeight="1" x14ac:dyDescent="0.25">
      <c r="A558" s="28" t="s">
        <v>1145</v>
      </c>
      <c r="B558" s="29" t="s">
        <v>1146</v>
      </c>
      <c r="C558" s="30" t="s">
        <v>191</v>
      </c>
      <c r="D558" s="40">
        <v>47408</v>
      </c>
      <c r="E558" s="26">
        <v>7347</v>
      </c>
      <c r="F558" s="26">
        <f t="shared" si="16"/>
        <v>54755</v>
      </c>
      <c r="G558" s="40">
        <v>49356</v>
      </c>
      <c r="H558" s="26">
        <v>10088</v>
      </c>
      <c r="I558" s="27">
        <f t="shared" si="17"/>
        <v>59444</v>
      </c>
      <c r="J558" s="40">
        <v>50668</v>
      </c>
      <c r="K558" s="26">
        <v>9568</v>
      </c>
      <c r="L558" s="27">
        <v>60236</v>
      </c>
      <c r="M558" s="26">
        <v>50101</v>
      </c>
      <c r="N558" s="26">
        <v>8794</v>
      </c>
      <c r="O558" s="27">
        <v>58895</v>
      </c>
      <c r="P558" s="26">
        <v>52583</v>
      </c>
      <c r="Q558" s="26">
        <v>10479</v>
      </c>
      <c r="R558" s="27">
        <v>63062</v>
      </c>
      <c r="S558" s="26">
        <v>43773</v>
      </c>
      <c r="T558" s="26">
        <v>13307</v>
      </c>
      <c r="U558" s="27">
        <v>57080</v>
      </c>
      <c r="V558" s="26">
        <v>44527</v>
      </c>
      <c r="W558" s="26">
        <v>11620</v>
      </c>
      <c r="X558" s="31">
        <v>56147</v>
      </c>
      <c r="Y558" s="16">
        <v>41079</v>
      </c>
      <c r="Z558" s="16">
        <v>10178</v>
      </c>
      <c r="AA558" s="31">
        <v>51257</v>
      </c>
      <c r="AB558" s="32">
        <v>41060</v>
      </c>
      <c r="AC558" s="16">
        <v>9499</v>
      </c>
      <c r="AD558" s="31">
        <v>50559</v>
      </c>
      <c r="AE558" s="16">
        <v>39805</v>
      </c>
      <c r="AF558" s="16">
        <v>8783</v>
      </c>
      <c r="AG558" s="31">
        <v>48588</v>
      </c>
      <c r="AH558" s="16">
        <v>39794</v>
      </c>
      <c r="AI558" s="16">
        <v>9528</v>
      </c>
      <c r="AJ558" s="31">
        <v>49322</v>
      </c>
      <c r="AK558" s="16">
        <v>36390</v>
      </c>
      <c r="AL558" s="16">
        <v>8340</v>
      </c>
      <c r="AM558" s="31">
        <v>44730</v>
      </c>
      <c r="AN558" s="16">
        <v>35200</v>
      </c>
      <c r="AO558" s="16">
        <v>7776</v>
      </c>
      <c r="AP558" s="31">
        <v>42976</v>
      </c>
      <c r="AQ558" s="42"/>
      <c r="AR558" s="43"/>
      <c r="AS558" s="42"/>
      <c r="AT558" s="42"/>
    </row>
    <row r="559" spans="1:46" ht="12.9" customHeight="1" x14ac:dyDescent="0.25">
      <c r="A559" s="28" t="s">
        <v>1147</v>
      </c>
      <c r="B559" s="29" t="s">
        <v>1148</v>
      </c>
      <c r="C559" s="30" t="s">
        <v>150</v>
      </c>
      <c r="D559" s="40">
        <v>61307</v>
      </c>
      <c r="E559" s="26">
        <v>91448</v>
      </c>
      <c r="F559" s="26">
        <f t="shared" si="16"/>
        <v>152755</v>
      </c>
      <c r="G559" s="40">
        <v>61779</v>
      </c>
      <c r="H559" s="26">
        <v>80323</v>
      </c>
      <c r="I559" s="27">
        <f t="shared" si="17"/>
        <v>142102</v>
      </c>
      <c r="J559" s="40">
        <v>67310</v>
      </c>
      <c r="K559" s="26">
        <v>75614</v>
      </c>
      <c r="L559" s="27">
        <v>142924</v>
      </c>
      <c r="M559" s="26">
        <v>67252</v>
      </c>
      <c r="N559" s="26">
        <v>73806</v>
      </c>
      <c r="O559" s="27">
        <v>141058</v>
      </c>
      <c r="P559" s="26">
        <v>65202</v>
      </c>
      <c r="Q559" s="26">
        <v>81803</v>
      </c>
      <c r="R559" s="27">
        <v>147005</v>
      </c>
      <c r="S559" s="26">
        <v>64995</v>
      </c>
      <c r="T559" s="26">
        <v>71584</v>
      </c>
      <c r="U559" s="27">
        <v>136579</v>
      </c>
      <c r="V559" s="26">
        <v>61410</v>
      </c>
      <c r="W559" s="26">
        <v>53881</v>
      </c>
      <c r="X559" s="31">
        <v>115291</v>
      </c>
      <c r="Y559" s="16">
        <v>65567</v>
      </c>
      <c r="Z559" s="16">
        <v>50628</v>
      </c>
      <c r="AA559" s="31">
        <v>116195</v>
      </c>
      <c r="AB559" s="32">
        <v>63182</v>
      </c>
      <c r="AC559" s="16">
        <v>47200</v>
      </c>
      <c r="AD559" s="31">
        <v>110382</v>
      </c>
      <c r="AE559" s="16">
        <v>64076</v>
      </c>
      <c r="AF559" s="16">
        <v>47705</v>
      </c>
      <c r="AG559" s="31">
        <v>111781</v>
      </c>
      <c r="AH559" s="16">
        <v>62467</v>
      </c>
      <c r="AI559" s="16">
        <v>42766</v>
      </c>
      <c r="AJ559" s="31">
        <v>105233</v>
      </c>
      <c r="AK559" s="16">
        <v>67197.90793729783</v>
      </c>
      <c r="AL559" s="16">
        <v>39974.711864406781</v>
      </c>
      <c r="AM559" s="31">
        <v>107172.61980170461</v>
      </c>
      <c r="AN559" s="16">
        <v>76266</v>
      </c>
      <c r="AO559" s="16">
        <v>31388</v>
      </c>
      <c r="AP559" s="31">
        <v>107654</v>
      </c>
      <c r="AQ559" s="42"/>
      <c r="AR559" s="43"/>
      <c r="AS559" s="42"/>
      <c r="AT559" s="42"/>
    </row>
    <row r="560" spans="1:46" ht="12.9" customHeight="1" x14ac:dyDescent="0.25">
      <c r="A560" s="28" t="s">
        <v>1149</v>
      </c>
      <c r="B560" s="29" t="s">
        <v>1150</v>
      </c>
      <c r="C560" s="30" t="s">
        <v>384</v>
      </c>
      <c r="D560" s="40">
        <v>24075</v>
      </c>
      <c r="E560" s="26">
        <v>6883</v>
      </c>
      <c r="F560" s="26">
        <f t="shared" si="16"/>
        <v>30958</v>
      </c>
      <c r="G560" s="40">
        <v>25646</v>
      </c>
      <c r="H560" s="26">
        <v>8115</v>
      </c>
      <c r="I560" s="27">
        <f t="shared" si="17"/>
        <v>33761</v>
      </c>
      <c r="J560" s="40">
        <v>26767</v>
      </c>
      <c r="K560" s="26">
        <v>8632</v>
      </c>
      <c r="L560" s="27">
        <v>35399</v>
      </c>
      <c r="M560" s="26">
        <v>29459</v>
      </c>
      <c r="N560" s="26">
        <v>8827</v>
      </c>
      <c r="O560" s="27">
        <v>38286</v>
      </c>
      <c r="P560" s="26">
        <v>28884</v>
      </c>
      <c r="Q560" s="26">
        <v>7079</v>
      </c>
      <c r="R560" s="27">
        <v>35963</v>
      </c>
      <c r="S560" s="26">
        <v>27072</v>
      </c>
      <c r="T560" s="26">
        <v>11335</v>
      </c>
      <c r="U560" s="27">
        <v>38407</v>
      </c>
      <c r="V560" s="26">
        <v>23471</v>
      </c>
      <c r="W560" s="26">
        <v>8168</v>
      </c>
      <c r="X560" s="31">
        <v>31639</v>
      </c>
      <c r="Y560" s="16">
        <v>26287</v>
      </c>
      <c r="Z560" s="16">
        <v>8613</v>
      </c>
      <c r="AA560" s="31">
        <v>34900</v>
      </c>
      <c r="AB560" s="32">
        <v>26123</v>
      </c>
      <c r="AC560" s="16">
        <v>8037</v>
      </c>
      <c r="AD560" s="31">
        <v>34160</v>
      </c>
      <c r="AE560" s="16">
        <v>27657</v>
      </c>
      <c r="AF560" s="16">
        <v>8437</v>
      </c>
      <c r="AG560" s="31">
        <v>36094</v>
      </c>
      <c r="AH560" s="16">
        <v>22634</v>
      </c>
      <c r="AI560" s="16">
        <v>5634</v>
      </c>
      <c r="AJ560" s="31">
        <v>28268</v>
      </c>
      <c r="AK560" s="16">
        <v>24787</v>
      </c>
      <c r="AL560" s="16">
        <v>5976</v>
      </c>
      <c r="AM560" s="31">
        <v>30763</v>
      </c>
      <c r="AN560" s="16">
        <v>34562</v>
      </c>
      <c r="AO560" s="16">
        <v>6140</v>
      </c>
      <c r="AP560" s="31">
        <v>40702</v>
      </c>
      <c r="AQ560" s="42"/>
      <c r="AR560" s="43"/>
      <c r="AS560" s="42"/>
      <c r="AT560" s="42"/>
    </row>
    <row r="561" spans="1:46" ht="12.9" customHeight="1" x14ac:dyDescent="0.25">
      <c r="A561" s="28" t="s">
        <v>1151</v>
      </c>
      <c r="B561" s="29" t="s">
        <v>1152</v>
      </c>
      <c r="C561" s="30" t="s">
        <v>281</v>
      </c>
      <c r="D561" s="40">
        <v>15782</v>
      </c>
      <c r="E561" s="26">
        <v>97929</v>
      </c>
      <c r="F561" s="26">
        <f t="shared" si="16"/>
        <v>113711</v>
      </c>
      <c r="G561" s="40">
        <v>15546</v>
      </c>
      <c r="H561" s="26">
        <v>161965</v>
      </c>
      <c r="I561" s="27">
        <f t="shared" si="17"/>
        <v>177511</v>
      </c>
      <c r="J561" s="40">
        <v>18844</v>
      </c>
      <c r="K561" s="26">
        <v>161391</v>
      </c>
      <c r="L561" s="27">
        <v>180235</v>
      </c>
      <c r="M561" s="26">
        <v>16431</v>
      </c>
      <c r="N561" s="26">
        <v>80265</v>
      </c>
      <c r="O561" s="27">
        <v>96696</v>
      </c>
      <c r="P561" s="26">
        <v>17978</v>
      </c>
      <c r="Q561" s="26">
        <v>177938</v>
      </c>
      <c r="R561" s="27">
        <v>195916</v>
      </c>
      <c r="S561" s="26">
        <v>17120</v>
      </c>
      <c r="T561" s="26">
        <v>151855</v>
      </c>
      <c r="U561" s="27">
        <v>168975</v>
      </c>
      <c r="V561" s="26">
        <v>16190</v>
      </c>
      <c r="W561" s="26">
        <v>137117</v>
      </c>
      <c r="X561" s="31">
        <v>153307</v>
      </c>
      <c r="Y561" s="16">
        <v>17665</v>
      </c>
      <c r="Z561" s="16">
        <v>130540</v>
      </c>
      <c r="AA561" s="31">
        <v>148205</v>
      </c>
      <c r="AB561" s="32">
        <v>17377</v>
      </c>
      <c r="AC561" s="16">
        <v>18920</v>
      </c>
      <c r="AD561" s="31">
        <v>36297</v>
      </c>
      <c r="AE561" s="16">
        <v>19474</v>
      </c>
      <c r="AF561" s="16">
        <v>18867</v>
      </c>
      <c r="AG561" s="31">
        <v>38341</v>
      </c>
      <c r="AH561" s="16">
        <v>1993</v>
      </c>
      <c r="AI561" s="16">
        <v>119831</v>
      </c>
      <c r="AJ561" s="31">
        <v>121824</v>
      </c>
      <c r="AK561" s="16">
        <v>21326</v>
      </c>
      <c r="AL561" s="16">
        <v>16066</v>
      </c>
      <c r="AM561" s="31">
        <v>37392</v>
      </c>
      <c r="AN561" s="16">
        <v>20488</v>
      </c>
      <c r="AO561" s="16">
        <v>53630</v>
      </c>
      <c r="AP561" s="31">
        <v>74118</v>
      </c>
      <c r="AQ561" s="42"/>
      <c r="AR561" s="43"/>
      <c r="AS561" s="42"/>
      <c r="AT561" s="42"/>
    </row>
    <row r="562" spans="1:46" ht="12.9" customHeight="1" x14ac:dyDescent="0.25">
      <c r="A562" s="28" t="s">
        <v>1153</v>
      </c>
      <c r="B562" s="29" t="s">
        <v>1154</v>
      </c>
      <c r="C562" s="30" t="s">
        <v>215</v>
      </c>
      <c r="D562" s="40">
        <v>31823</v>
      </c>
      <c r="E562" s="26">
        <v>8125</v>
      </c>
      <c r="F562" s="26">
        <f t="shared" si="16"/>
        <v>39948</v>
      </c>
      <c r="G562" s="40">
        <v>38592</v>
      </c>
      <c r="H562" s="26">
        <v>3085</v>
      </c>
      <c r="I562" s="27">
        <f t="shared" si="17"/>
        <v>41677</v>
      </c>
      <c r="J562" s="40">
        <v>38124</v>
      </c>
      <c r="K562" s="26">
        <v>3224</v>
      </c>
      <c r="L562" s="27">
        <v>41348</v>
      </c>
      <c r="M562" s="26">
        <v>29769</v>
      </c>
      <c r="N562" s="26">
        <v>8220</v>
      </c>
      <c r="O562" s="27">
        <v>37989</v>
      </c>
      <c r="P562" s="26">
        <v>37098</v>
      </c>
      <c r="Q562" s="26">
        <v>3419</v>
      </c>
      <c r="R562" s="27">
        <v>40517</v>
      </c>
      <c r="S562" s="26">
        <v>36936</v>
      </c>
      <c r="T562" s="26">
        <v>3352</v>
      </c>
      <c r="U562" s="27">
        <v>40288</v>
      </c>
      <c r="V562" s="26">
        <v>37098</v>
      </c>
      <c r="W562" s="26">
        <v>2758</v>
      </c>
      <c r="X562" s="31">
        <v>39856</v>
      </c>
      <c r="Y562" s="16">
        <v>37368</v>
      </c>
      <c r="Z562" s="16">
        <v>2848</v>
      </c>
      <c r="AA562" s="31">
        <v>40216</v>
      </c>
      <c r="AB562" s="32">
        <v>37314</v>
      </c>
      <c r="AC562" s="16">
        <v>2848</v>
      </c>
      <c r="AD562" s="31">
        <v>40162</v>
      </c>
      <c r="AE562" s="16">
        <v>37368</v>
      </c>
      <c r="AF562" s="16">
        <v>2956</v>
      </c>
      <c r="AG562" s="31">
        <v>40324</v>
      </c>
      <c r="AH562" s="16">
        <v>37368</v>
      </c>
      <c r="AI562" s="16">
        <v>2470</v>
      </c>
      <c r="AJ562" s="31">
        <v>39838</v>
      </c>
      <c r="AK562" s="16">
        <v>31230</v>
      </c>
      <c r="AL562" s="16">
        <v>1516</v>
      </c>
      <c r="AM562" s="31">
        <v>32746</v>
      </c>
      <c r="AN562" s="16">
        <v>24876</v>
      </c>
      <c r="AO562" s="16">
        <v>1156</v>
      </c>
      <c r="AP562" s="31">
        <v>26032</v>
      </c>
      <c r="AQ562" s="42"/>
      <c r="AR562" s="43"/>
      <c r="AS562" s="42"/>
      <c r="AT562" s="42"/>
    </row>
    <row r="563" spans="1:46" ht="12.9" customHeight="1" x14ac:dyDescent="0.25">
      <c r="A563" s="28" t="s">
        <v>1155</v>
      </c>
      <c r="B563" s="29" t="s">
        <v>1156</v>
      </c>
      <c r="C563" s="30" t="s">
        <v>42</v>
      </c>
      <c r="D563" s="40">
        <v>10692</v>
      </c>
      <c r="E563" s="26">
        <v>974</v>
      </c>
      <c r="F563" s="26">
        <f t="shared" si="16"/>
        <v>11666</v>
      </c>
      <c r="G563" s="40">
        <v>10818</v>
      </c>
      <c r="H563" s="26">
        <v>1093</v>
      </c>
      <c r="I563" s="27">
        <f t="shared" si="17"/>
        <v>11911</v>
      </c>
      <c r="J563" s="40">
        <v>11052</v>
      </c>
      <c r="K563" s="26">
        <v>1551</v>
      </c>
      <c r="L563" s="27">
        <v>12603</v>
      </c>
      <c r="M563" s="26">
        <v>10716</v>
      </c>
      <c r="N563" s="26">
        <v>1358</v>
      </c>
      <c r="O563" s="27">
        <v>12074</v>
      </c>
      <c r="P563" s="26">
        <v>10087</v>
      </c>
      <c r="Q563" s="26">
        <v>945</v>
      </c>
      <c r="R563" s="27">
        <v>11032</v>
      </c>
      <c r="S563" s="26">
        <v>9499</v>
      </c>
      <c r="T563" s="26">
        <v>1443</v>
      </c>
      <c r="U563" s="27">
        <v>10942</v>
      </c>
      <c r="V563" s="26">
        <v>10994</v>
      </c>
      <c r="W563" s="26">
        <v>1397</v>
      </c>
      <c r="X563" s="31">
        <v>12391</v>
      </c>
      <c r="Y563" s="16">
        <v>7534</v>
      </c>
      <c r="Z563" s="16">
        <v>990</v>
      </c>
      <c r="AA563" s="31">
        <v>8524</v>
      </c>
      <c r="AB563" s="32">
        <v>7534</v>
      </c>
      <c r="AC563" s="16">
        <v>990</v>
      </c>
      <c r="AD563" s="31">
        <v>8524</v>
      </c>
      <c r="AE563" s="16">
        <v>9133</v>
      </c>
      <c r="AF563" s="16">
        <v>1617</v>
      </c>
      <c r="AG563" s="31">
        <v>10750</v>
      </c>
      <c r="AH563" s="16">
        <v>7945</v>
      </c>
      <c r="AI563" s="16">
        <v>1559</v>
      </c>
      <c r="AJ563" s="31">
        <v>9504</v>
      </c>
      <c r="AK563" s="16">
        <v>7991</v>
      </c>
      <c r="AL563" s="16">
        <v>1983</v>
      </c>
      <c r="AM563" s="31">
        <v>9974</v>
      </c>
      <c r="AN563" s="16">
        <v>8669</v>
      </c>
      <c r="AO563" s="16">
        <v>2298</v>
      </c>
      <c r="AP563" s="31">
        <v>10967</v>
      </c>
      <c r="AQ563" s="42"/>
      <c r="AR563" s="43"/>
      <c r="AS563" s="42"/>
      <c r="AT563" s="42"/>
    </row>
    <row r="564" spans="1:46" ht="12.9" customHeight="1" x14ac:dyDescent="0.25">
      <c r="A564" s="28" t="s">
        <v>1157</v>
      </c>
      <c r="B564" s="29" t="s">
        <v>1158</v>
      </c>
      <c r="C564" s="30" t="s">
        <v>153</v>
      </c>
      <c r="D564" s="40">
        <v>85145</v>
      </c>
      <c r="E564" s="26">
        <v>1478060</v>
      </c>
      <c r="F564" s="26">
        <f t="shared" si="16"/>
        <v>1563205</v>
      </c>
      <c r="G564" s="40">
        <v>95709</v>
      </c>
      <c r="H564" s="26">
        <v>1701738</v>
      </c>
      <c r="I564" s="27">
        <f t="shared" si="17"/>
        <v>1797447</v>
      </c>
      <c r="J564" s="40">
        <v>106108</v>
      </c>
      <c r="K564" s="26">
        <v>1738559</v>
      </c>
      <c r="L564" s="27">
        <v>1844667</v>
      </c>
      <c r="M564" s="26">
        <v>103378</v>
      </c>
      <c r="N564" s="26">
        <v>2151568</v>
      </c>
      <c r="O564" s="27">
        <v>2254946</v>
      </c>
      <c r="P564" s="26">
        <v>105814</v>
      </c>
      <c r="Q564" s="26">
        <v>2132287</v>
      </c>
      <c r="R564" s="27">
        <v>2238101</v>
      </c>
      <c r="S564" s="26">
        <v>102034</v>
      </c>
      <c r="T564" s="26">
        <v>2249065</v>
      </c>
      <c r="U564" s="27">
        <v>2351099</v>
      </c>
      <c r="V564" s="26">
        <v>85745</v>
      </c>
      <c r="W564" s="26">
        <v>2229241</v>
      </c>
      <c r="X564" s="31">
        <v>2314986</v>
      </c>
      <c r="Y564" s="16">
        <v>92626</v>
      </c>
      <c r="Z564" s="16">
        <v>2139052</v>
      </c>
      <c r="AA564" s="31">
        <v>2231678</v>
      </c>
      <c r="AB564" s="32">
        <v>92977</v>
      </c>
      <c r="AC564" s="16">
        <v>2189763</v>
      </c>
      <c r="AD564" s="31">
        <v>2282740</v>
      </c>
      <c r="AE564" s="16">
        <v>93190</v>
      </c>
      <c r="AF564" s="16">
        <v>2353029</v>
      </c>
      <c r="AG564" s="31">
        <v>2446219</v>
      </c>
      <c r="AH564" s="16">
        <v>83759</v>
      </c>
      <c r="AI564" s="16">
        <v>2207517</v>
      </c>
      <c r="AJ564" s="31">
        <v>2291276</v>
      </c>
      <c r="AK564" s="16">
        <v>82788</v>
      </c>
      <c r="AL564" s="16">
        <v>2059120</v>
      </c>
      <c r="AM564" s="31">
        <v>2141908</v>
      </c>
      <c r="AN564" s="16">
        <v>90553</v>
      </c>
      <c r="AO564" s="16">
        <v>2462984</v>
      </c>
      <c r="AP564" s="31">
        <v>2553537</v>
      </c>
      <c r="AQ564" s="42"/>
      <c r="AR564" s="43"/>
      <c r="AS564" s="42"/>
      <c r="AT564" s="42"/>
    </row>
    <row r="565" spans="1:46" ht="12.9" customHeight="1" x14ac:dyDescent="0.25">
      <c r="A565" s="28" t="s">
        <v>1159</v>
      </c>
      <c r="B565" s="29" t="s">
        <v>1160</v>
      </c>
      <c r="C565" s="30" t="s">
        <v>184</v>
      </c>
      <c r="D565" s="40">
        <v>60660</v>
      </c>
      <c r="E565" s="26">
        <v>28300</v>
      </c>
      <c r="F565" s="26">
        <f t="shared" si="16"/>
        <v>88960</v>
      </c>
      <c r="G565" s="40">
        <v>37490</v>
      </c>
      <c r="H565" s="26">
        <v>20830</v>
      </c>
      <c r="I565" s="27">
        <f t="shared" si="17"/>
        <v>58320</v>
      </c>
      <c r="J565" s="40">
        <v>50651</v>
      </c>
      <c r="K565" s="26">
        <v>21573</v>
      </c>
      <c r="L565" s="27">
        <v>72224</v>
      </c>
      <c r="M565" s="26">
        <v>70073</v>
      </c>
      <c r="N565" s="26">
        <v>25240</v>
      </c>
      <c r="O565" s="27">
        <v>95313</v>
      </c>
      <c r="P565" s="26">
        <v>55845</v>
      </c>
      <c r="Q565" s="26">
        <v>24864</v>
      </c>
      <c r="R565" s="27">
        <v>80709</v>
      </c>
      <c r="S565" s="26">
        <v>54731</v>
      </c>
      <c r="T565" s="26">
        <v>34060</v>
      </c>
      <c r="U565" s="27">
        <v>88791</v>
      </c>
      <c r="V565" s="26">
        <v>45671</v>
      </c>
      <c r="W565" s="26">
        <v>33825</v>
      </c>
      <c r="X565" s="31">
        <v>79496</v>
      </c>
      <c r="Y565" s="16">
        <v>41737</v>
      </c>
      <c r="Z565" s="16">
        <v>28765</v>
      </c>
      <c r="AA565" s="31">
        <v>70502</v>
      </c>
      <c r="AB565" s="32">
        <v>37020</v>
      </c>
      <c r="AC565" s="16">
        <v>25964</v>
      </c>
      <c r="AD565" s="31">
        <v>62984</v>
      </c>
      <c r="AE565" s="16">
        <v>47395</v>
      </c>
      <c r="AF565" s="16">
        <v>25518</v>
      </c>
      <c r="AG565" s="31">
        <v>72913</v>
      </c>
      <c r="AH565" s="16">
        <v>49025</v>
      </c>
      <c r="AI565" s="16">
        <v>20294</v>
      </c>
      <c r="AJ565" s="31">
        <v>69319</v>
      </c>
      <c r="AK565" s="16">
        <v>39816</v>
      </c>
      <c r="AL565" s="16">
        <v>30030</v>
      </c>
      <c r="AM565" s="31">
        <v>69846</v>
      </c>
      <c r="AN565" s="16">
        <v>43789</v>
      </c>
      <c r="AO565" s="16">
        <v>44020</v>
      </c>
      <c r="AP565" s="31">
        <v>87809</v>
      </c>
      <c r="AQ565" s="42"/>
      <c r="AR565" s="43"/>
      <c r="AS565" s="42"/>
      <c r="AT565" s="42"/>
    </row>
    <row r="566" spans="1:46" ht="12.9" customHeight="1" x14ac:dyDescent="0.25">
      <c r="A566" s="28" t="s">
        <v>1161</v>
      </c>
      <c r="B566" s="29" t="s">
        <v>1162</v>
      </c>
      <c r="C566" s="30" t="s">
        <v>120</v>
      </c>
      <c r="D566" s="40">
        <v>112661</v>
      </c>
      <c r="E566" s="26">
        <v>12956459</v>
      </c>
      <c r="F566" s="26">
        <f t="shared" si="16"/>
        <v>13069120</v>
      </c>
      <c r="G566" s="40">
        <v>110013</v>
      </c>
      <c r="H566" s="26">
        <v>15222369</v>
      </c>
      <c r="I566" s="27">
        <f t="shared" si="17"/>
        <v>15332382</v>
      </c>
      <c r="J566" s="40">
        <v>117026</v>
      </c>
      <c r="K566" s="26">
        <v>15587783</v>
      </c>
      <c r="L566" s="27">
        <v>15704809</v>
      </c>
      <c r="M566" s="26">
        <v>122675</v>
      </c>
      <c r="N566" s="26">
        <v>13656083</v>
      </c>
      <c r="O566" s="27">
        <v>13778758</v>
      </c>
      <c r="P566" s="26">
        <v>122675</v>
      </c>
      <c r="Q566" s="26">
        <v>14325810</v>
      </c>
      <c r="R566" s="27">
        <v>14448485</v>
      </c>
      <c r="S566" s="26">
        <v>116963</v>
      </c>
      <c r="T566" s="26">
        <v>15303889</v>
      </c>
      <c r="U566" s="27">
        <v>15420852</v>
      </c>
      <c r="V566" s="26">
        <v>112432</v>
      </c>
      <c r="W566" s="26">
        <v>14821906</v>
      </c>
      <c r="X566" s="31">
        <v>14934338</v>
      </c>
      <c r="Y566" s="16">
        <v>116069</v>
      </c>
      <c r="Z566" s="16">
        <v>15254554</v>
      </c>
      <c r="AA566" s="31">
        <v>15370623</v>
      </c>
      <c r="AB566" s="32">
        <v>125208</v>
      </c>
      <c r="AC566" s="16">
        <v>14047363</v>
      </c>
      <c r="AD566" s="31">
        <v>14172571</v>
      </c>
      <c r="AE566" s="16">
        <v>118459</v>
      </c>
      <c r="AF566" s="16">
        <v>13771281</v>
      </c>
      <c r="AG566" s="31">
        <v>13889740</v>
      </c>
      <c r="AH566" s="16">
        <v>109871</v>
      </c>
      <c r="AI566" s="16">
        <v>12453755</v>
      </c>
      <c r="AJ566" s="31">
        <v>12563626</v>
      </c>
      <c r="AK566" s="16">
        <v>100198</v>
      </c>
      <c r="AL566" s="16">
        <v>12262101</v>
      </c>
      <c r="AM566" s="31">
        <v>12362299</v>
      </c>
      <c r="AN566" s="16">
        <v>100198</v>
      </c>
      <c r="AO566" s="16">
        <v>13274611</v>
      </c>
      <c r="AP566" s="31">
        <v>13374809</v>
      </c>
      <c r="AQ566" s="42"/>
      <c r="AR566" s="43"/>
      <c r="AS566" s="42"/>
      <c r="AT566" s="42"/>
    </row>
    <row r="567" spans="1:46" ht="12.9" customHeight="1" x14ac:dyDescent="0.25">
      <c r="A567" s="28" t="s">
        <v>1163</v>
      </c>
      <c r="B567" s="29" t="s">
        <v>1164</v>
      </c>
      <c r="C567" s="30" t="s">
        <v>163</v>
      </c>
      <c r="D567" s="40">
        <v>13062</v>
      </c>
      <c r="E567" s="26">
        <v>8160</v>
      </c>
      <c r="F567" s="26">
        <f t="shared" si="16"/>
        <v>21222</v>
      </c>
      <c r="G567" s="40">
        <v>13082</v>
      </c>
      <c r="H567" s="26">
        <v>11326</v>
      </c>
      <c r="I567" s="27">
        <f t="shared" si="17"/>
        <v>24408</v>
      </c>
      <c r="J567" s="40">
        <v>12114</v>
      </c>
      <c r="K567" s="26">
        <v>9571</v>
      </c>
      <c r="L567" s="27">
        <v>21685</v>
      </c>
      <c r="M567" s="26">
        <v>12835</v>
      </c>
      <c r="N567" s="26">
        <v>8319</v>
      </c>
      <c r="O567" s="27">
        <v>21154</v>
      </c>
      <c r="P567" s="26">
        <v>12555</v>
      </c>
      <c r="Q567" s="26">
        <v>6657</v>
      </c>
      <c r="R567" s="27">
        <v>19212</v>
      </c>
      <c r="S567" s="26">
        <v>13526</v>
      </c>
      <c r="T567" s="26">
        <v>8192</v>
      </c>
      <c r="U567" s="27">
        <v>21718</v>
      </c>
      <c r="V567" s="26">
        <v>13703</v>
      </c>
      <c r="W567" s="26">
        <v>6460</v>
      </c>
      <c r="X567" s="31">
        <v>20163</v>
      </c>
      <c r="Y567" s="16">
        <v>14218</v>
      </c>
      <c r="Z567" s="16">
        <v>6596</v>
      </c>
      <c r="AA567" s="31">
        <v>20814</v>
      </c>
      <c r="AB567" s="32">
        <v>13770</v>
      </c>
      <c r="AC567" s="16">
        <v>6513</v>
      </c>
      <c r="AD567" s="31">
        <v>20283</v>
      </c>
      <c r="AE567" s="16">
        <v>13594</v>
      </c>
      <c r="AF567" s="16">
        <v>3691</v>
      </c>
      <c r="AG567" s="31">
        <v>17285</v>
      </c>
      <c r="AH567" s="16">
        <v>13719</v>
      </c>
      <c r="AI567" s="16">
        <v>3288</v>
      </c>
      <c r="AJ567" s="31">
        <v>17007</v>
      </c>
      <c r="AK567" s="16">
        <v>14366</v>
      </c>
      <c r="AL567" s="16">
        <v>5046</v>
      </c>
      <c r="AM567" s="31">
        <v>19412</v>
      </c>
      <c r="AN567" s="16">
        <v>15822</v>
      </c>
      <c r="AO567" s="16">
        <v>2725</v>
      </c>
      <c r="AP567" s="31">
        <v>18547</v>
      </c>
      <c r="AQ567" s="42"/>
      <c r="AR567" s="43"/>
      <c r="AS567" s="42"/>
      <c r="AT567" s="42"/>
    </row>
    <row r="568" spans="1:46" ht="12.9" customHeight="1" x14ac:dyDescent="0.25">
      <c r="A568" s="28" t="s">
        <v>1165</v>
      </c>
      <c r="B568" s="29" t="s">
        <v>1166</v>
      </c>
      <c r="C568" s="30" t="s">
        <v>120</v>
      </c>
      <c r="D568" s="40">
        <v>206891</v>
      </c>
      <c r="E568" s="26">
        <v>44720</v>
      </c>
      <c r="F568" s="26">
        <f t="shared" si="16"/>
        <v>251611</v>
      </c>
      <c r="G568" s="40">
        <v>199217</v>
      </c>
      <c r="H568" s="26">
        <v>52697</v>
      </c>
      <c r="I568" s="27">
        <f t="shared" si="17"/>
        <v>251914</v>
      </c>
      <c r="J568" s="40">
        <v>192263</v>
      </c>
      <c r="K568" s="26">
        <v>55505</v>
      </c>
      <c r="L568" s="27">
        <v>247768</v>
      </c>
      <c r="M568" s="26">
        <v>185358</v>
      </c>
      <c r="N568" s="26">
        <v>68430</v>
      </c>
      <c r="O568" s="27">
        <v>253788</v>
      </c>
      <c r="P568" s="26">
        <v>178448</v>
      </c>
      <c r="Q568" s="26">
        <v>37580</v>
      </c>
      <c r="R568" s="27">
        <v>216028</v>
      </c>
      <c r="S568" s="26">
        <v>155459</v>
      </c>
      <c r="T568" s="26">
        <v>56684</v>
      </c>
      <c r="U568" s="27">
        <v>212143</v>
      </c>
      <c r="V568" s="26">
        <v>157336</v>
      </c>
      <c r="W568" s="26">
        <v>65064</v>
      </c>
      <c r="X568" s="31">
        <v>222400</v>
      </c>
      <c r="Y568" s="16">
        <v>165998</v>
      </c>
      <c r="Z568" s="16">
        <v>63686</v>
      </c>
      <c r="AA568" s="31">
        <v>229684</v>
      </c>
      <c r="AB568" s="32">
        <v>168781</v>
      </c>
      <c r="AC568" s="16">
        <v>57162</v>
      </c>
      <c r="AD568" s="31">
        <v>225943</v>
      </c>
      <c r="AE568" s="16">
        <v>168923</v>
      </c>
      <c r="AF568" s="16">
        <v>44119</v>
      </c>
      <c r="AG568" s="31">
        <v>213042</v>
      </c>
      <c r="AH568" s="16">
        <v>176640</v>
      </c>
      <c r="AI568" s="16">
        <v>32375</v>
      </c>
      <c r="AJ568" s="31">
        <v>209015</v>
      </c>
      <c r="AK568" s="16">
        <v>182616</v>
      </c>
      <c r="AL568" s="16">
        <v>43012</v>
      </c>
      <c r="AM568" s="31">
        <v>225628</v>
      </c>
      <c r="AN568" s="16">
        <v>204227</v>
      </c>
      <c r="AO568" s="16">
        <v>38925</v>
      </c>
      <c r="AP568" s="31">
        <v>243152</v>
      </c>
      <c r="AQ568" s="42"/>
      <c r="AR568" s="43"/>
      <c r="AS568" s="42"/>
      <c r="AT568" s="42"/>
    </row>
    <row r="569" spans="1:46" ht="12.9" customHeight="1" x14ac:dyDescent="0.25">
      <c r="A569" s="28" t="s">
        <v>1167</v>
      </c>
      <c r="B569" s="29" t="s">
        <v>1168</v>
      </c>
      <c r="C569" s="30" t="s">
        <v>8</v>
      </c>
      <c r="D569" s="40">
        <v>279480</v>
      </c>
      <c r="E569" s="26">
        <v>12599</v>
      </c>
      <c r="F569" s="26">
        <f t="shared" si="16"/>
        <v>292079</v>
      </c>
      <c r="G569" s="40">
        <v>279480</v>
      </c>
      <c r="H569" s="26">
        <v>12606</v>
      </c>
      <c r="I569" s="27">
        <f t="shared" si="17"/>
        <v>292086</v>
      </c>
      <c r="J569" s="40">
        <v>273480</v>
      </c>
      <c r="K569" s="26">
        <v>14841</v>
      </c>
      <c r="L569" s="27">
        <v>288321</v>
      </c>
      <c r="M569" s="26">
        <v>273480</v>
      </c>
      <c r="N569" s="26">
        <v>14717</v>
      </c>
      <c r="O569" s="27">
        <v>288197</v>
      </c>
      <c r="P569" s="26">
        <v>273480</v>
      </c>
      <c r="Q569" s="26">
        <v>14512</v>
      </c>
      <c r="R569" s="27">
        <v>287992</v>
      </c>
      <c r="S569" s="26">
        <v>273480</v>
      </c>
      <c r="T569" s="26">
        <v>14796</v>
      </c>
      <c r="U569" s="27">
        <v>288276</v>
      </c>
      <c r="V569" s="26">
        <v>274080</v>
      </c>
      <c r="W569" s="26">
        <v>14450</v>
      </c>
      <c r="X569" s="31">
        <v>288530</v>
      </c>
      <c r="Y569" s="16">
        <v>274440</v>
      </c>
      <c r="Z569" s="16">
        <v>14100</v>
      </c>
      <c r="AA569" s="31">
        <v>288540</v>
      </c>
      <c r="AB569" s="32">
        <v>266520</v>
      </c>
      <c r="AC569" s="16">
        <v>15306</v>
      </c>
      <c r="AD569" s="31">
        <v>281826</v>
      </c>
      <c r="AE569" s="16">
        <v>286200</v>
      </c>
      <c r="AF569" s="16">
        <v>1668</v>
      </c>
      <c r="AG569" s="31">
        <v>287868</v>
      </c>
      <c r="AH569" s="16">
        <v>286200</v>
      </c>
      <c r="AI569" s="16">
        <v>1062</v>
      </c>
      <c r="AJ569" s="31">
        <v>287262</v>
      </c>
      <c r="AK569" s="16">
        <v>288000</v>
      </c>
      <c r="AL569" s="16">
        <v>25559</v>
      </c>
      <c r="AM569" s="31">
        <v>313559</v>
      </c>
      <c r="AN569" s="16">
        <v>288000</v>
      </c>
      <c r="AO569" s="16">
        <v>37724</v>
      </c>
      <c r="AP569" s="31">
        <v>325724</v>
      </c>
      <c r="AQ569" s="42"/>
      <c r="AR569" s="43"/>
      <c r="AS569" s="42"/>
      <c r="AT569" s="42"/>
    </row>
    <row r="570" spans="1:46" ht="12.9" customHeight="1" x14ac:dyDescent="0.25">
      <c r="A570" s="28" t="s">
        <v>1169</v>
      </c>
      <c r="B570" s="29" t="s">
        <v>1170</v>
      </c>
      <c r="C570" s="30" t="s">
        <v>249</v>
      </c>
      <c r="D570" s="40">
        <v>12027</v>
      </c>
      <c r="E570" s="26">
        <v>4152</v>
      </c>
      <c r="F570" s="26">
        <f t="shared" si="16"/>
        <v>16179</v>
      </c>
      <c r="G570" s="40">
        <v>14420</v>
      </c>
      <c r="H570" s="26">
        <v>1528</v>
      </c>
      <c r="I570" s="27">
        <f t="shared" si="17"/>
        <v>15948</v>
      </c>
      <c r="J570" s="40">
        <v>12414</v>
      </c>
      <c r="K570" s="26">
        <v>1748</v>
      </c>
      <c r="L570" s="27">
        <v>14162</v>
      </c>
      <c r="M570" s="26">
        <v>12778</v>
      </c>
      <c r="N570" s="26">
        <v>2826</v>
      </c>
      <c r="O570" s="27">
        <v>15604</v>
      </c>
      <c r="P570" s="26">
        <v>13247</v>
      </c>
      <c r="Q570" s="26">
        <v>2345</v>
      </c>
      <c r="R570" s="27">
        <v>15592</v>
      </c>
      <c r="S570" s="26">
        <v>13260</v>
      </c>
      <c r="T570" s="26">
        <v>2449</v>
      </c>
      <c r="U570" s="27">
        <v>15709</v>
      </c>
      <c r="V570" s="26">
        <v>13475</v>
      </c>
      <c r="W570" s="26">
        <v>8727</v>
      </c>
      <c r="X570" s="31">
        <v>22202</v>
      </c>
      <c r="Y570" s="16">
        <v>13261</v>
      </c>
      <c r="Z570" s="16">
        <v>9508</v>
      </c>
      <c r="AA570" s="31">
        <v>22769</v>
      </c>
      <c r="AB570" s="32">
        <v>14135</v>
      </c>
      <c r="AC570" s="16">
        <v>6102</v>
      </c>
      <c r="AD570" s="31">
        <v>20237</v>
      </c>
      <c r="AE570" s="16">
        <v>14207</v>
      </c>
      <c r="AF570" s="16">
        <v>4342</v>
      </c>
      <c r="AG570" s="31">
        <v>18549</v>
      </c>
      <c r="AH570" s="16">
        <v>14219</v>
      </c>
      <c r="AI570" s="16">
        <v>3645</v>
      </c>
      <c r="AJ570" s="31">
        <v>17864</v>
      </c>
      <c r="AK570" s="16">
        <v>15385</v>
      </c>
      <c r="AL570" s="16">
        <v>4953</v>
      </c>
      <c r="AM570" s="31">
        <v>20338</v>
      </c>
      <c r="AN570" s="16">
        <v>15385</v>
      </c>
      <c r="AO570" s="16">
        <v>4957</v>
      </c>
      <c r="AP570" s="31">
        <v>20342</v>
      </c>
      <c r="AQ570" s="42"/>
      <c r="AR570" s="43"/>
      <c r="AS570" s="42"/>
      <c r="AT570" s="42"/>
    </row>
    <row r="571" spans="1:46" ht="12.9" customHeight="1" x14ac:dyDescent="0.25">
      <c r="A571" s="28" t="s">
        <v>1171</v>
      </c>
      <c r="B571" s="29" t="s">
        <v>1172</v>
      </c>
      <c r="C571" s="30" t="s">
        <v>197</v>
      </c>
      <c r="D571" s="40">
        <v>321360</v>
      </c>
      <c r="E571" s="26">
        <v>226909</v>
      </c>
      <c r="F571" s="26">
        <f t="shared" si="16"/>
        <v>548269</v>
      </c>
      <c r="G571" s="40">
        <v>328803</v>
      </c>
      <c r="H571" s="26">
        <v>245286</v>
      </c>
      <c r="I571" s="27">
        <f t="shared" si="17"/>
        <v>574089</v>
      </c>
      <c r="J571" s="40">
        <v>338623</v>
      </c>
      <c r="K571" s="26">
        <v>281686</v>
      </c>
      <c r="L571" s="27">
        <v>620309</v>
      </c>
      <c r="M571" s="26">
        <v>351004</v>
      </c>
      <c r="N571" s="26">
        <v>301514</v>
      </c>
      <c r="O571" s="27">
        <v>652518</v>
      </c>
      <c r="P571" s="26">
        <v>384296</v>
      </c>
      <c r="Q571" s="26">
        <v>275199</v>
      </c>
      <c r="R571" s="27">
        <v>659495</v>
      </c>
      <c r="S571" s="26">
        <v>339669</v>
      </c>
      <c r="T571" s="26">
        <v>294966</v>
      </c>
      <c r="U571" s="27">
        <v>634635</v>
      </c>
      <c r="V571" s="26">
        <v>333604</v>
      </c>
      <c r="W571" s="26">
        <v>275665</v>
      </c>
      <c r="X571" s="31">
        <v>609269</v>
      </c>
      <c r="Y571" s="16">
        <v>340678</v>
      </c>
      <c r="Z571" s="16">
        <v>310968</v>
      </c>
      <c r="AA571" s="31">
        <v>651646</v>
      </c>
      <c r="AB571" s="32">
        <v>335466</v>
      </c>
      <c r="AC571" s="16">
        <v>282562</v>
      </c>
      <c r="AD571" s="31">
        <v>618028</v>
      </c>
      <c r="AE571" s="16">
        <v>330245</v>
      </c>
      <c r="AF571" s="16">
        <v>245713</v>
      </c>
      <c r="AG571" s="31">
        <v>575958</v>
      </c>
      <c r="AH571" s="16">
        <v>321264</v>
      </c>
      <c r="AI571" s="16">
        <v>233505</v>
      </c>
      <c r="AJ571" s="31">
        <v>554769</v>
      </c>
      <c r="AK571" s="16">
        <v>329152</v>
      </c>
      <c r="AL571" s="16">
        <v>246700</v>
      </c>
      <c r="AM571" s="31">
        <v>575852</v>
      </c>
      <c r="AN571" s="16">
        <v>334444</v>
      </c>
      <c r="AO571" s="16">
        <v>248390</v>
      </c>
      <c r="AP571" s="31">
        <v>582834</v>
      </c>
      <c r="AQ571" s="42"/>
      <c r="AR571" s="43"/>
      <c r="AS571" s="42"/>
      <c r="AT571" s="42"/>
    </row>
    <row r="572" spans="1:46" ht="12.9" customHeight="1" x14ac:dyDescent="0.25">
      <c r="A572" s="28" t="s">
        <v>1173</v>
      </c>
      <c r="B572" s="29" t="s">
        <v>1174</v>
      </c>
      <c r="C572" s="30" t="s">
        <v>29</v>
      </c>
      <c r="D572" s="40">
        <v>20741</v>
      </c>
      <c r="E572" s="26">
        <v>8469</v>
      </c>
      <c r="F572" s="26">
        <f t="shared" si="16"/>
        <v>29210</v>
      </c>
      <c r="G572" s="40">
        <v>19602</v>
      </c>
      <c r="H572" s="26">
        <v>10124</v>
      </c>
      <c r="I572" s="27">
        <f t="shared" si="17"/>
        <v>29726</v>
      </c>
      <c r="J572" s="40">
        <v>19398</v>
      </c>
      <c r="K572" s="26">
        <v>10735</v>
      </c>
      <c r="L572" s="27">
        <v>30133</v>
      </c>
      <c r="M572" s="26">
        <v>21493</v>
      </c>
      <c r="N572" s="26">
        <v>11064</v>
      </c>
      <c r="O572" s="27">
        <v>32557</v>
      </c>
      <c r="P572" s="26">
        <v>20934</v>
      </c>
      <c r="Q572" s="26">
        <v>10426</v>
      </c>
      <c r="R572" s="27">
        <v>31360</v>
      </c>
      <c r="S572" s="26">
        <v>19959</v>
      </c>
      <c r="T572" s="26">
        <v>15354</v>
      </c>
      <c r="U572" s="27">
        <v>35313</v>
      </c>
      <c r="V572" s="26">
        <v>20115</v>
      </c>
      <c r="W572" s="26">
        <v>8356</v>
      </c>
      <c r="X572" s="31">
        <v>28471</v>
      </c>
      <c r="Y572" s="16">
        <v>22423</v>
      </c>
      <c r="Z572" s="16">
        <v>7822</v>
      </c>
      <c r="AA572" s="31">
        <v>30245</v>
      </c>
      <c r="AB572" s="32">
        <v>21302</v>
      </c>
      <c r="AC572" s="16">
        <v>7214</v>
      </c>
      <c r="AD572" s="31">
        <v>28516</v>
      </c>
      <c r="AE572" s="16">
        <v>21179</v>
      </c>
      <c r="AF572" s="16">
        <v>19484</v>
      </c>
      <c r="AG572" s="31">
        <v>40663</v>
      </c>
      <c r="AH572" s="16">
        <v>20936</v>
      </c>
      <c r="AI572" s="16">
        <v>7597</v>
      </c>
      <c r="AJ572" s="31">
        <v>28533</v>
      </c>
      <c r="AK572" s="16">
        <v>21729</v>
      </c>
      <c r="AL572" s="16">
        <v>6434</v>
      </c>
      <c r="AM572" s="31">
        <v>28163</v>
      </c>
      <c r="AN572" s="16">
        <v>24517</v>
      </c>
      <c r="AO572" s="16">
        <v>6991</v>
      </c>
      <c r="AP572" s="31">
        <v>31508</v>
      </c>
      <c r="AQ572" s="42"/>
      <c r="AR572" s="43"/>
      <c r="AS572" s="42"/>
      <c r="AT572" s="42"/>
    </row>
    <row r="573" spans="1:46" ht="12.9" customHeight="1" x14ac:dyDescent="0.25">
      <c r="A573" s="28" t="s">
        <v>1175</v>
      </c>
      <c r="B573" s="29" t="s">
        <v>1176</v>
      </c>
      <c r="C573" s="30" t="s">
        <v>39</v>
      </c>
      <c r="D573" s="40">
        <v>11175</v>
      </c>
      <c r="E573" s="26">
        <v>16938</v>
      </c>
      <c r="F573" s="26">
        <f t="shared" si="16"/>
        <v>28113</v>
      </c>
      <c r="G573" s="40">
        <v>11098</v>
      </c>
      <c r="H573" s="26">
        <v>3860</v>
      </c>
      <c r="I573" s="27">
        <f t="shared" si="17"/>
        <v>14958</v>
      </c>
      <c r="J573" s="40">
        <v>11181</v>
      </c>
      <c r="K573" s="26">
        <v>4533</v>
      </c>
      <c r="L573" s="27">
        <v>15714</v>
      </c>
      <c r="M573" s="26">
        <v>11023.5</v>
      </c>
      <c r="N573" s="26">
        <v>2236</v>
      </c>
      <c r="O573" s="27">
        <v>13259.5</v>
      </c>
      <c r="P573" s="26">
        <v>11052</v>
      </c>
      <c r="Q573" s="26">
        <v>1931</v>
      </c>
      <c r="R573" s="27">
        <v>12983</v>
      </c>
      <c r="S573" s="26">
        <v>11052</v>
      </c>
      <c r="T573" s="26">
        <v>3558</v>
      </c>
      <c r="U573" s="27">
        <v>14610</v>
      </c>
      <c r="V573" s="26">
        <v>10916</v>
      </c>
      <c r="W573" s="26">
        <v>3241</v>
      </c>
      <c r="X573" s="31">
        <v>14157</v>
      </c>
      <c r="Y573" s="16">
        <v>10768</v>
      </c>
      <c r="Z573" s="16">
        <v>1217</v>
      </c>
      <c r="AA573" s="31">
        <v>11985</v>
      </c>
      <c r="AB573" s="32">
        <v>10638</v>
      </c>
      <c r="AC573" s="16">
        <v>4273</v>
      </c>
      <c r="AD573" s="31">
        <v>14911</v>
      </c>
      <c r="AE573" s="16">
        <v>11030</v>
      </c>
      <c r="AF573" s="16">
        <v>172</v>
      </c>
      <c r="AG573" s="31">
        <v>11202</v>
      </c>
      <c r="AH573" s="16">
        <v>11392</v>
      </c>
      <c r="AI573" s="16">
        <v>13698</v>
      </c>
      <c r="AJ573" s="31">
        <v>25090</v>
      </c>
      <c r="AK573" s="16">
        <v>11232</v>
      </c>
      <c r="AL573" s="16">
        <v>18264</v>
      </c>
      <c r="AM573" s="31">
        <v>29496</v>
      </c>
      <c r="AN573" s="16">
        <v>11877</v>
      </c>
      <c r="AO573" s="16">
        <v>18264</v>
      </c>
      <c r="AP573" s="31">
        <v>30141</v>
      </c>
      <c r="AQ573" s="42"/>
      <c r="AR573" s="43"/>
      <c r="AS573" s="42"/>
      <c r="AT573" s="42"/>
    </row>
    <row r="574" spans="1:46" ht="12.9" customHeight="1" x14ac:dyDescent="0.25">
      <c r="A574" s="28" t="s">
        <v>1177</v>
      </c>
      <c r="B574" s="29" t="s">
        <v>1178</v>
      </c>
      <c r="C574" s="30" t="s">
        <v>23</v>
      </c>
      <c r="D574" s="40">
        <v>18860</v>
      </c>
      <c r="E574" s="26">
        <v>62707</v>
      </c>
      <c r="F574" s="26">
        <f t="shared" si="16"/>
        <v>81567</v>
      </c>
      <c r="G574" s="40">
        <v>20921</v>
      </c>
      <c r="H574" s="26">
        <v>56872</v>
      </c>
      <c r="I574" s="27">
        <f t="shared" si="17"/>
        <v>77793</v>
      </c>
      <c r="J574" s="40">
        <v>23760</v>
      </c>
      <c r="K574" s="26">
        <v>53365</v>
      </c>
      <c r="L574" s="27">
        <v>77125</v>
      </c>
      <c r="M574" s="26">
        <v>24433</v>
      </c>
      <c r="N574" s="26">
        <v>40042</v>
      </c>
      <c r="O574" s="27">
        <v>64475</v>
      </c>
      <c r="P574" s="26">
        <v>23934</v>
      </c>
      <c r="Q574" s="26">
        <v>16595</v>
      </c>
      <c r="R574" s="27">
        <v>40529</v>
      </c>
      <c r="S574" s="26">
        <v>22996</v>
      </c>
      <c r="T574" s="26">
        <v>16759</v>
      </c>
      <c r="U574" s="27">
        <v>39755</v>
      </c>
      <c r="V574" s="26">
        <v>22181</v>
      </c>
      <c r="W574" s="26">
        <v>30085</v>
      </c>
      <c r="X574" s="31">
        <v>52266</v>
      </c>
      <c r="Y574" s="16">
        <v>24347</v>
      </c>
      <c r="Z574" s="16">
        <v>32446</v>
      </c>
      <c r="AA574" s="31">
        <v>56793</v>
      </c>
      <c r="AB574" s="32">
        <v>24090</v>
      </c>
      <c r="AC574" s="16">
        <v>31153</v>
      </c>
      <c r="AD574" s="31">
        <v>55243</v>
      </c>
      <c r="AE574" s="16">
        <v>23622</v>
      </c>
      <c r="AF574" s="16">
        <v>17253</v>
      </c>
      <c r="AG574" s="31">
        <v>40875</v>
      </c>
      <c r="AH574" s="16">
        <v>23127</v>
      </c>
      <c r="AI574" s="16">
        <v>18279</v>
      </c>
      <c r="AJ574" s="31">
        <v>41406</v>
      </c>
      <c r="AK574" s="16">
        <v>21105</v>
      </c>
      <c r="AL574" s="16">
        <v>14307</v>
      </c>
      <c r="AM574" s="31">
        <v>35412</v>
      </c>
      <c r="AN574" s="16">
        <v>23029</v>
      </c>
      <c r="AO574" s="16">
        <v>11196</v>
      </c>
      <c r="AP574" s="31">
        <v>34225</v>
      </c>
      <c r="AQ574" s="42"/>
      <c r="AR574" s="43"/>
      <c r="AS574" s="42"/>
      <c r="AT574" s="42"/>
    </row>
    <row r="575" spans="1:46" ht="12.9" customHeight="1" x14ac:dyDescent="0.25">
      <c r="A575" s="28" t="s">
        <v>1179</v>
      </c>
      <c r="B575" s="29" t="s">
        <v>1180</v>
      </c>
      <c r="C575" s="30" t="s">
        <v>1181</v>
      </c>
      <c r="D575" s="40">
        <v>149150</v>
      </c>
      <c r="E575" s="26">
        <v>32641</v>
      </c>
      <c r="F575" s="26">
        <f t="shared" si="16"/>
        <v>181791</v>
      </c>
      <c r="G575" s="40">
        <v>149150</v>
      </c>
      <c r="H575" s="26">
        <v>33095</v>
      </c>
      <c r="I575" s="27">
        <f t="shared" si="17"/>
        <v>182245</v>
      </c>
      <c r="J575" s="40">
        <v>149150</v>
      </c>
      <c r="K575" s="26">
        <v>33170</v>
      </c>
      <c r="L575" s="27">
        <v>182320</v>
      </c>
      <c r="M575" s="26">
        <v>142870</v>
      </c>
      <c r="N575" s="26">
        <v>47731</v>
      </c>
      <c r="O575" s="27">
        <v>190601</v>
      </c>
      <c r="P575" s="26">
        <v>142870</v>
      </c>
      <c r="Q575" s="26">
        <v>47471</v>
      </c>
      <c r="R575" s="27">
        <v>190341</v>
      </c>
      <c r="S575" s="26">
        <v>169560</v>
      </c>
      <c r="T575" s="26">
        <v>1836</v>
      </c>
      <c r="U575" s="27">
        <v>171396</v>
      </c>
      <c r="V575" s="26">
        <v>169560</v>
      </c>
      <c r="W575" s="26">
        <v>6760</v>
      </c>
      <c r="X575" s="31">
        <v>176320</v>
      </c>
      <c r="Y575" s="16">
        <v>162972</v>
      </c>
      <c r="Z575" s="16">
        <v>2862</v>
      </c>
      <c r="AA575" s="31">
        <v>165834</v>
      </c>
      <c r="AB575" s="32">
        <v>162000</v>
      </c>
      <c r="AC575" s="16">
        <v>3528</v>
      </c>
      <c r="AD575" s="31">
        <v>165528</v>
      </c>
      <c r="AE575" s="16">
        <v>162000</v>
      </c>
      <c r="AF575" s="16">
        <v>3528</v>
      </c>
      <c r="AG575" s="31">
        <v>165528</v>
      </c>
      <c r="AH575" s="16">
        <v>162000</v>
      </c>
      <c r="AI575" s="16">
        <v>2266</v>
      </c>
      <c r="AJ575" s="31">
        <v>164266</v>
      </c>
      <c r="AK575" s="16">
        <v>162000</v>
      </c>
      <c r="AL575" s="16">
        <v>25144</v>
      </c>
      <c r="AM575" s="31">
        <v>187144</v>
      </c>
      <c r="AN575" s="16">
        <v>162000</v>
      </c>
      <c r="AO575" s="16">
        <v>27558</v>
      </c>
      <c r="AP575" s="31">
        <v>189558</v>
      </c>
      <c r="AQ575" s="42"/>
      <c r="AR575" s="43"/>
      <c r="AS575" s="42"/>
      <c r="AT575" s="42"/>
    </row>
    <row r="576" spans="1:46" ht="12.9" customHeight="1" x14ac:dyDescent="0.25">
      <c r="A576" s="28" t="s">
        <v>1182</v>
      </c>
      <c r="B576" s="29" t="s">
        <v>1183</v>
      </c>
      <c r="C576" s="30" t="s">
        <v>20</v>
      </c>
      <c r="D576" s="40">
        <v>150986</v>
      </c>
      <c r="E576" s="26">
        <v>49417</v>
      </c>
      <c r="F576" s="26">
        <f t="shared" si="16"/>
        <v>200403</v>
      </c>
      <c r="G576" s="40">
        <v>172035</v>
      </c>
      <c r="H576" s="26">
        <v>63985</v>
      </c>
      <c r="I576" s="27">
        <f t="shared" si="17"/>
        <v>236020</v>
      </c>
      <c r="J576" s="40">
        <v>170911</v>
      </c>
      <c r="K576" s="26">
        <v>68548</v>
      </c>
      <c r="L576" s="27">
        <v>239459</v>
      </c>
      <c r="M576" s="26">
        <v>178060</v>
      </c>
      <c r="N576" s="26">
        <v>50191</v>
      </c>
      <c r="O576" s="27">
        <v>228251</v>
      </c>
      <c r="P576" s="26">
        <v>175255</v>
      </c>
      <c r="Q576" s="26">
        <v>41885</v>
      </c>
      <c r="R576" s="27">
        <v>217140</v>
      </c>
      <c r="S576" s="26">
        <v>163194</v>
      </c>
      <c r="T576" s="26">
        <v>47846</v>
      </c>
      <c r="U576" s="27">
        <v>211040</v>
      </c>
      <c r="V576" s="26">
        <v>163872</v>
      </c>
      <c r="W576" s="26">
        <v>41387</v>
      </c>
      <c r="X576" s="31">
        <v>205259</v>
      </c>
      <c r="Y576" s="16">
        <v>169758</v>
      </c>
      <c r="Z576" s="16">
        <v>45592</v>
      </c>
      <c r="AA576" s="31">
        <v>215350</v>
      </c>
      <c r="AB576" s="32">
        <v>167396</v>
      </c>
      <c r="AC576" s="16">
        <v>42489</v>
      </c>
      <c r="AD576" s="31">
        <v>209885</v>
      </c>
      <c r="AE576" s="16">
        <v>166273</v>
      </c>
      <c r="AF576" s="16">
        <v>34873</v>
      </c>
      <c r="AG576" s="31">
        <v>201146</v>
      </c>
      <c r="AH576" s="16">
        <v>162249</v>
      </c>
      <c r="AI576" s="16">
        <v>33737</v>
      </c>
      <c r="AJ576" s="31">
        <v>195986</v>
      </c>
      <c r="AK576" s="16">
        <v>157820</v>
      </c>
      <c r="AL576" s="16">
        <v>38055</v>
      </c>
      <c r="AM576" s="31">
        <v>195875</v>
      </c>
      <c r="AN576" s="16">
        <v>175657</v>
      </c>
      <c r="AO576" s="16">
        <v>30814</v>
      </c>
      <c r="AP576" s="31">
        <v>206471</v>
      </c>
      <c r="AQ576" s="42"/>
      <c r="AR576" s="43"/>
      <c r="AS576" s="42"/>
      <c r="AT576" s="42"/>
    </row>
    <row r="577" spans="1:46" ht="12.9" customHeight="1" x14ac:dyDescent="0.25">
      <c r="A577" s="28" t="s">
        <v>1184</v>
      </c>
      <c r="B577" s="29" t="s">
        <v>1185</v>
      </c>
      <c r="C577" s="30" t="s">
        <v>218</v>
      </c>
      <c r="D577" s="40">
        <v>7198</v>
      </c>
      <c r="E577" s="26">
        <v>12043</v>
      </c>
      <c r="F577" s="26">
        <f t="shared" si="16"/>
        <v>19241</v>
      </c>
      <c r="G577" s="40">
        <v>7479</v>
      </c>
      <c r="H577" s="26">
        <v>19768</v>
      </c>
      <c r="I577" s="27">
        <f t="shared" si="17"/>
        <v>27247</v>
      </c>
      <c r="J577" s="40">
        <v>7964</v>
      </c>
      <c r="K577" s="26">
        <v>16378</v>
      </c>
      <c r="L577" s="27">
        <v>24342</v>
      </c>
      <c r="M577" s="26">
        <v>8171</v>
      </c>
      <c r="N577" s="26">
        <v>13966</v>
      </c>
      <c r="O577" s="27">
        <v>22137</v>
      </c>
      <c r="P577" s="26">
        <v>6746</v>
      </c>
      <c r="Q577" s="26">
        <v>9421</v>
      </c>
      <c r="R577" s="27">
        <v>16167</v>
      </c>
      <c r="S577" s="26">
        <v>6615</v>
      </c>
      <c r="T577" s="26">
        <v>10213</v>
      </c>
      <c r="U577" s="27">
        <v>16828</v>
      </c>
      <c r="V577" s="26">
        <v>7333</v>
      </c>
      <c r="W577" s="26">
        <v>3475</v>
      </c>
      <c r="X577" s="31">
        <v>10808</v>
      </c>
      <c r="Y577" s="16">
        <v>8990</v>
      </c>
      <c r="Z577" s="16">
        <v>1933</v>
      </c>
      <c r="AA577" s="31">
        <v>10923</v>
      </c>
      <c r="AB577" s="32">
        <v>8313</v>
      </c>
      <c r="AC577" s="16">
        <v>2004</v>
      </c>
      <c r="AD577" s="31">
        <v>10317</v>
      </c>
      <c r="AE577" s="16">
        <v>8182</v>
      </c>
      <c r="AF577" s="16">
        <v>3662</v>
      </c>
      <c r="AG577" s="31">
        <v>11844</v>
      </c>
      <c r="AH577" s="16">
        <v>16038</v>
      </c>
      <c r="AI577" s="16">
        <v>3383</v>
      </c>
      <c r="AJ577" s="31">
        <v>19421</v>
      </c>
      <c r="AK577" s="16">
        <v>16621</v>
      </c>
      <c r="AL577" s="16">
        <v>2448</v>
      </c>
      <c r="AM577" s="31">
        <v>19069</v>
      </c>
      <c r="AN577" s="16">
        <v>16621</v>
      </c>
      <c r="AO577" s="16">
        <v>6367</v>
      </c>
      <c r="AP577" s="31">
        <v>22988</v>
      </c>
      <c r="AQ577" s="42"/>
      <c r="AR577" s="43"/>
      <c r="AS577" s="42"/>
      <c r="AT577" s="42"/>
    </row>
    <row r="578" spans="1:46" ht="12.9" customHeight="1" x14ac:dyDescent="0.25">
      <c r="A578" s="28" t="s">
        <v>1186</v>
      </c>
      <c r="B578" s="29" t="s">
        <v>1187</v>
      </c>
      <c r="C578" s="30" t="s">
        <v>191</v>
      </c>
      <c r="D578" s="40">
        <v>22976</v>
      </c>
      <c r="E578" s="26">
        <v>4363</v>
      </c>
      <c r="F578" s="26">
        <f t="shared" si="16"/>
        <v>27339</v>
      </c>
      <c r="G578" s="40">
        <v>25673</v>
      </c>
      <c r="H578" s="26">
        <v>5173</v>
      </c>
      <c r="I578" s="27">
        <f t="shared" si="17"/>
        <v>30846</v>
      </c>
      <c r="J578" s="40">
        <v>25596</v>
      </c>
      <c r="K578" s="26">
        <v>5491</v>
      </c>
      <c r="L578" s="27">
        <v>31087</v>
      </c>
      <c r="M578" s="26">
        <v>27511</v>
      </c>
      <c r="N578" s="26">
        <v>4933</v>
      </c>
      <c r="O578" s="27">
        <v>32444</v>
      </c>
      <c r="P578" s="26">
        <v>24834</v>
      </c>
      <c r="Q578" s="26">
        <v>4791</v>
      </c>
      <c r="R578" s="27">
        <v>29625</v>
      </c>
      <c r="S578" s="26">
        <v>22441</v>
      </c>
      <c r="T578" s="26">
        <v>7397</v>
      </c>
      <c r="U578" s="27">
        <v>29838</v>
      </c>
      <c r="V578" s="26">
        <v>21899</v>
      </c>
      <c r="W578" s="26">
        <v>8647</v>
      </c>
      <c r="X578" s="31">
        <v>30546</v>
      </c>
      <c r="Y578" s="16">
        <v>24756</v>
      </c>
      <c r="Z578" s="16">
        <v>7978</v>
      </c>
      <c r="AA578" s="31">
        <v>32734</v>
      </c>
      <c r="AB578" s="32">
        <v>24018</v>
      </c>
      <c r="AC578" s="16">
        <v>7658</v>
      </c>
      <c r="AD578" s="31">
        <v>31676</v>
      </c>
      <c r="AE578" s="16">
        <v>21998</v>
      </c>
      <c r="AF578" s="16">
        <v>7712</v>
      </c>
      <c r="AG578" s="31">
        <v>29710</v>
      </c>
      <c r="AH578" s="16">
        <v>23080</v>
      </c>
      <c r="AI578" s="16">
        <v>5975</v>
      </c>
      <c r="AJ578" s="31">
        <v>29055</v>
      </c>
      <c r="AK578" s="16">
        <v>24391</v>
      </c>
      <c r="AL578" s="16">
        <v>5011</v>
      </c>
      <c r="AM578" s="31">
        <v>29402</v>
      </c>
      <c r="AN578" s="16">
        <v>26569</v>
      </c>
      <c r="AO578" s="16">
        <v>6115</v>
      </c>
      <c r="AP578" s="31">
        <v>32684</v>
      </c>
      <c r="AQ578" s="42"/>
      <c r="AR578" s="43"/>
      <c r="AS578" s="42"/>
      <c r="AT578" s="42"/>
    </row>
    <row r="579" spans="1:46" ht="12.9" customHeight="1" x14ac:dyDescent="0.25">
      <c r="A579" s="28" t="s">
        <v>1188</v>
      </c>
      <c r="B579" s="29" t="s">
        <v>1189</v>
      </c>
      <c r="C579" s="30" t="s">
        <v>23</v>
      </c>
      <c r="D579" s="40">
        <v>8853</v>
      </c>
      <c r="E579" s="26">
        <v>7681</v>
      </c>
      <c r="F579" s="26">
        <f t="shared" si="16"/>
        <v>16534</v>
      </c>
      <c r="G579" s="40">
        <v>9705</v>
      </c>
      <c r="H579" s="26">
        <v>3263</v>
      </c>
      <c r="I579" s="27">
        <f t="shared" si="17"/>
        <v>12968</v>
      </c>
      <c r="J579" s="40">
        <v>11614</v>
      </c>
      <c r="K579" s="26">
        <v>6436</v>
      </c>
      <c r="L579" s="27">
        <v>18050</v>
      </c>
      <c r="M579" s="26">
        <v>13354</v>
      </c>
      <c r="N579" s="26">
        <v>4257</v>
      </c>
      <c r="O579" s="27">
        <v>17611</v>
      </c>
      <c r="P579" s="26">
        <v>12371</v>
      </c>
      <c r="Q579" s="26">
        <v>3881</v>
      </c>
      <c r="R579" s="27">
        <v>16252</v>
      </c>
      <c r="S579" s="26">
        <v>14957</v>
      </c>
      <c r="T579" s="26">
        <v>1888</v>
      </c>
      <c r="U579" s="27">
        <v>16845</v>
      </c>
      <c r="V579" s="26">
        <v>16089</v>
      </c>
      <c r="W579" s="26">
        <v>1771</v>
      </c>
      <c r="X579" s="31">
        <v>17860</v>
      </c>
      <c r="Y579" s="16">
        <v>16089</v>
      </c>
      <c r="Z579" s="16">
        <v>1753</v>
      </c>
      <c r="AA579" s="31">
        <v>17842</v>
      </c>
      <c r="AB579" s="32">
        <v>16089</v>
      </c>
      <c r="AC579" s="16">
        <v>1722</v>
      </c>
      <c r="AD579" s="31">
        <v>17811</v>
      </c>
      <c r="AE579" s="16">
        <v>16089</v>
      </c>
      <c r="AF579" s="16">
        <v>1835</v>
      </c>
      <c r="AG579" s="31">
        <v>17924</v>
      </c>
      <c r="AH579" s="16">
        <v>16089</v>
      </c>
      <c r="AI579" s="16">
        <v>3356</v>
      </c>
      <c r="AJ579" s="31">
        <v>19445</v>
      </c>
      <c r="AK579" s="16">
        <v>16089</v>
      </c>
      <c r="AL579" s="16">
        <v>2541</v>
      </c>
      <c r="AM579" s="31">
        <v>18630</v>
      </c>
      <c r="AN579" s="16">
        <v>16089</v>
      </c>
      <c r="AO579" s="16">
        <v>1219</v>
      </c>
      <c r="AP579" s="31">
        <v>17308</v>
      </c>
      <c r="AQ579" s="42"/>
      <c r="AR579" s="43"/>
      <c r="AS579" s="42"/>
      <c r="AT579" s="42"/>
    </row>
    <row r="580" spans="1:46" ht="12.9" customHeight="1" x14ac:dyDescent="0.25">
      <c r="A580" s="28" t="s">
        <v>1190</v>
      </c>
      <c r="B580" s="29" t="s">
        <v>1191</v>
      </c>
      <c r="C580" s="30" t="s">
        <v>14</v>
      </c>
      <c r="D580" s="40">
        <v>100086</v>
      </c>
      <c r="E580" s="26">
        <v>91118</v>
      </c>
      <c r="F580" s="26">
        <f t="shared" si="16"/>
        <v>191204</v>
      </c>
      <c r="G580" s="40">
        <v>103102</v>
      </c>
      <c r="H580" s="26">
        <v>100037</v>
      </c>
      <c r="I580" s="27">
        <f t="shared" si="17"/>
        <v>203139</v>
      </c>
      <c r="J580" s="40">
        <v>105213</v>
      </c>
      <c r="K580" s="26">
        <v>105621</v>
      </c>
      <c r="L580" s="27">
        <v>210834</v>
      </c>
      <c r="M580" s="26">
        <v>116052</v>
      </c>
      <c r="N580" s="26">
        <v>87108</v>
      </c>
      <c r="O580" s="27">
        <v>203160</v>
      </c>
      <c r="P580" s="26">
        <v>122035</v>
      </c>
      <c r="Q580" s="26">
        <v>103824</v>
      </c>
      <c r="R580" s="27">
        <v>225859</v>
      </c>
      <c r="S580" s="26">
        <v>115159</v>
      </c>
      <c r="T580" s="26">
        <v>100026</v>
      </c>
      <c r="U580" s="27">
        <v>215185</v>
      </c>
      <c r="V580" s="26">
        <v>120179</v>
      </c>
      <c r="W580" s="26">
        <v>82413</v>
      </c>
      <c r="X580" s="31">
        <v>202592</v>
      </c>
      <c r="Y580" s="16">
        <v>106748</v>
      </c>
      <c r="Z580" s="16">
        <v>92751</v>
      </c>
      <c r="AA580" s="31">
        <v>199499</v>
      </c>
      <c r="AB580" s="32">
        <v>110565</v>
      </c>
      <c r="AC580" s="16">
        <v>91452</v>
      </c>
      <c r="AD580" s="31">
        <v>202017</v>
      </c>
      <c r="AE580" s="16">
        <v>109039</v>
      </c>
      <c r="AF580" s="16">
        <v>89296</v>
      </c>
      <c r="AG580" s="31">
        <v>198335</v>
      </c>
      <c r="AH580" s="16">
        <v>109195</v>
      </c>
      <c r="AI580" s="16">
        <v>85512</v>
      </c>
      <c r="AJ580" s="31">
        <v>194707</v>
      </c>
      <c r="AK580" s="16">
        <v>108223.13486005089</v>
      </c>
      <c r="AL580" s="16">
        <v>63478.509090909094</v>
      </c>
      <c r="AM580" s="31">
        <v>171701.64395095999</v>
      </c>
      <c r="AN580" s="16">
        <v>117128</v>
      </c>
      <c r="AO580" s="16">
        <v>80206</v>
      </c>
      <c r="AP580" s="31">
        <v>197334</v>
      </c>
      <c r="AQ580" s="42"/>
      <c r="AR580" s="43"/>
      <c r="AS580" s="42"/>
      <c r="AT580" s="42"/>
    </row>
    <row r="581" spans="1:46" ht="12.9" customHeight="1" x14ac:dyDescent="0.25">
      <c r="A581" s="28" t="s">
        <v>1192</v>
      </c>
      <c r="B581" s="29" t="s">
        <v>1193</v>
      </c>
      <c r="C581" s="30" t="s">
        <v>212</v>
      </c>
      <c r="D581" s="40">
        <v>191164</v>
      </c>
      <c r="E581" s="26">
        <v>75655</v>
      </c>
      <c r="F581" s="26">
        <f t="shared" si="16"/>
        <v>266819</v>
      </c>
      <c r="G581" s="40">
        <v>190905</v>
      </c>
      <c r="H581" s="26">
        <v>72509</v>
      </c>
      <c r="I581" s="27">
        <f t="shared" si="17"/>
        <v>263414</v>
      </c>
      <c r="J581" s="40">
        <v>201058</v>
      </c>
      <c r="K581" s="26">
        <v>75526</v>
      </c>
      <c r="L581" s="27">
        <v>276584</v>
      </c>
      <c r="M581" s="26">
        <v>196886</v>
      </c>
      <c r="N581" s="26">
        <v>71738</v>
      </c>
      <c r="O581" s="27">
        <v>268624</v>
      </c>
      <c r="P581" s="26">
        <v>203537</v>
      </c>
      <c r="Q581" s="26">
        <v>59752</v>
      </c>
      <c r="R581" s="27">
        <v>263289</v>
      </c>
      <c r="S581" s="26">
        <v>196286</v>
      </c>
      <c r="T581" s="26">
        <v>82999</v>
      </c>
      <c r="U581" s="27">
        <v>279285</v>
      </c>
      <c r="V581" s="26">
        <v>182150</v>
      </c>
      <c r="W581" s="26">
        <v>70088</v>
      </c>
      <c r="X581" s="31">
        <v>252238</v>
      </c>
      <c r="Y581" s="16">
        <v>189318</v>
      </c>
      <c r="Z581" s="16">
        <v>64001</v>
      </c>
      <c r="AA581" s="31">
        <v>253319</v>
      </c>
      <c r="AB581" s="32">
        <v>184025</v>
      </c>
      <c r="AC581" s="16">
        <v>65617</v>
      </c>
      <c r="AD581" s="31">
        <v>249642</v>
      </c>
      <c r="AE581" s="16">
        <v>184051</v>
      </c>
      <c r="AF581" s="16">
        <v>67197</v>
      </c>
      <c r="AG581" s="31">
        <v>251248</v>
      </c>
      <c r="AH581" s="16">
        <v>174496</v>
      </c>
      <c r="AI581" s="16">
        <v>74476</v>
      </c>
      <c r="AJ581" s="31">
        <v>248972</v>
      </c>
      <c r="AK581" s="16">
        <v>174768</v>
      </c>
      <c r="AL581" s="16">
        <v>60225</v>
      </c>
      <c r="AM581" s="31">
        <v>234993</v>
      </c>
      <c r="AN581" s="16">
        <v>192859</v>
      </c>
      <c r="AO581" s="16">
        <v>67819</v>
      </c>
      <c r="AP581" s="31">
        <v>260678</v>
      </c>
      <c r="AQ581" s="42"/>
      <c r="AR581" s="43"/>
      <c r="AS581" s="42"/>
      <c r="AT581" s="42"/>
    </row>
    <row r="582" spans="1:46" ht="12.9" customHeight="1" x14ac:dyDescent="0.25">
      <c r="A582" s="28" t="s">
        <v>1194</v>
      </c>
      <c r="B582" s="29" t="s">
        <v>1195</v>
      </c>
      <c r="C582" s="30" t="s">
        <v>249</v>
      </c>
      <c r="D582" s="40">
        <v>14051</v>
      </c>
      <c r="E582" s="26">
        <v>5648</v>
      </c>
      <c r="F582" s="26">
        <f t="shared" si="16"/>
        <v>19699</v>
      </c>
      <c r="G582" s="40">
        <v>14797</v>
      </c>
      <c r="H582" s="26">
        <v>8180</v>
      </c>
      <c r="I582" s="27">
        <f t="shared" si="17"/>
        <v>22977</v>
      </c>
      <c r="J582" s="40">
        <v>16944</v>
      </c>
      <c r="K582" s="26">
        <v>7579</v>
      </c>
      <c r="L582" s="27">
        <v>24523</v>
      </c>
      <c r="M582" s="26">
        <v>15107</v>
      </c>
      <c r="N582" s="26">
        <v>6235</v>
      </c>
      <c r="O582" s="27">
        <v>21342</v>
      </c>
      <c r="P582" s="26">
        <v>16569</v>
      </c>
      <c r="Q582" s="26">
        <v>6883</v>
      </c>
      <c r="R582" s="27">
        <v>23452</v>
      </c>
      <c r="S582" s="26">
        <v>15642</v>
      </c>
      <c r="T582" s="26">
        <v>7610</v>
      </c>
      <c r="U582" s="27">
        <v>23252</v>
      </c>
      <c r="V582" s="26">
        <v>15397</v>
      </c>
      <c r="W582" s="26">
        <v>7614</v>
      </c>
      <c r="X582" s="31">
        <v>23011</v>
      </c>
      <c r="Y582" s="16">
        <v>17255</v>
      </c>
      <c r="Z582" s="16">
        <v>7188</v>
      </c>
      <c r="AA582" s="31">
        <v>24443</v>
      </c>
      <c r="AB582" s="32">
        <v>17325</v>
      </c>
      <c r="AC582" s="16">
        <v>6054</v>
      </c>
      <c r="AD582" s="31">
        <v>23379</v>
      </c>
      <c r="AE582" s="16">
        <v>17294</v>
      </c>
      <c r="AF582" s="16">
        <v>4518</v>
      </c>
      <c r="AG582" s="31">
        <v>21812</v>
      </c>
      <c r="AH582" s="16">
        <v>17472</v>
      </c>
      <c r="AI582" s="16">
        <v>3894</v>
      </c>
      <c r="AJ582" s="31">
        <v>21366</v>
      </c>
      <c r="AK582" s="16">
        <v>17300</v>
      </c>
      <c r="AL582" s="16">
        <v>4019</v>
      </c>
      <c r="AM582" s="31">
        <v>21319</v>
      </c>
      <c r="AN582" s="16">
        <v>17300</v>
      </c>
      <c r="AO582" s="16">
        <v>4019</v>
      </c>
      <c r="AP582" s="31">
        <v>21319</v>
      </c>
      <c r="AQ582" s="42"/>
      <c r="AR582" s="43"/>
      <c r="AS582" s="42"/>
      <c r="AT582" s="42"/>
    </row>
    <row r="583" spans="1:46" ht="12.9" customHeight="1" x14ac:dyDescent="0.25">
      <c r="A583" s="28" t="s">
        <v>1196</v>
      </c>
      <c r="B583" s="29" t="s">
        <v>1197</v>
      </c>
      <c r="C583" s="30" t="s">
        <v>23</v>
      </c>
      <c r="D583" s="40">
        <v>131132</v>
      </c>
      <c r="E583" s="26">
        <v>42105</v>
      </c>
      <c r="F583" s="26">
        <f t="shared" si="16"/>
        <v>173237</v>
      </c>
      <c r="G583" s="40">
        <v>152192</v>
      </c>
      <c r="H583" s="26">
        <v>49342</v>
      </c>
      <c r="I583" s="27">
        <f t="shared" si="17"/>
        <v>201534</v>
      </c>
      <c r="J583" s="40">
        <v>162686</v>
      </c>
      <c r="K583" s="26">
        <v>51481</v>
      </c>
      <c r="L583" s="27">
        <v>214167</v>
      </c>
      <c r="M583" s="26">
        <v>173829</v>
      </c>
      <c r="N583" s="26">
        <v>41584</v>
      </c>
      <c r="O583" s="27">
        <v>215413</v>
      </c>
      <c r="P583" s="26">
        <v>159952</v>
      </c>
      <c r="Q583" s="26">
        <v>37650</v>
      </c>
      <c r="R583" s="27">
        <v>197602</v>
      </c>
      <c r="S583" s="26">
        <v>149420</v>
      </c>
      <c r="T583" s="26">
        <v>45231</v>
      </c>
      <c r="U583" s="27">
        <v>194651</v>
      </c>
      <c r="V583" s="26">
        <v>147697</v>
      </c>
      <c r="W583" s="26">
        <v>43284</v>
      </c>
      <c r="X583" s="31">
        <v>190981</v>
      </c>
      <c r="Y583" s="16">
        <v>160509</v>
      </c>
      <c r="Z583" s="16">
        <v>61233</v>
      </c>
      <c r="AA583" s="31">
        <v>221742</v>
      </c>
      <c r="AB583" s="32">
        <v>155107</v>
      </c>
      <c r="AC583" s="16">
        <v>44609</v>
      </c>
      <c r="AD583" s="31">
        <v>199716</v>
      </c>
      <c r="AE583" s="16">
        <v>159590</v>
      </c>
      <c r="AF583" s="16">
        <v>51609</v>
      </c>
      <c r="AG583" s="31">
        <v>211199</v>
      </c>
      <c r="AH583" s="16">
        <v>163112</v>
      </c>
      <c r="AI583" s="16">
        <v>46729</v>
      </c>
      <c r="AJ583" s="31">
        <v>209841</v>
      </c>
      <c r="AK583" s="16">
        <v>157748</v>
      </c>
      <c r="AL583" s="16">
        <v>48470</v>
      </c>
      <c r="AM583" s="31">
        <v>206218</v>
      </c>
      <c r="AN583" s="16">
        <v>192935.54</v>
      </c>
      <c r="AO583" s="16">
        <v>47148</v>
      </c>
      <c r="AP583" s="31">
        <v>240083.54</v>
      </c>
      <c r="AQ583" s="42"/>
      <c r="AR583" s="43"/>
      <c r="AS583" s="42"/>
      <c r="AT583" s="42"/>
    </row>
    <row r="584" spans="1:46" ht="12.9" customHeight="1" x14ac:dyDescent="0.25">
      <c r="A584" s="28" t="s">
        <v>1198</v>
      </c>
      <c r="B584" s="29" t="s">
        <v>1199</v>
      </c>
      <c r="C584" s="30" t="s">
        <v>23</v>
      </c>
      <c r="D584" s="40">
        <v>46436</v>
      </c>
      <c r="E584" s="26">
        <v>9735</v>
      </c>
      <c r="F584" s="26">
        <f t="shared" si="16"/>
        <v>56171</v>
      </c>
      <c r="G584" s="40">
        <v>47626</v>
      </c>
      <c r="H584" s="26">
        <v>15738</v>
      </c>
      <c r="I584" s="27">
        <f t="shared" si="17"/>
        <v>63364</v>
      </c>
      <c r="J584" s="40">
        <v>49448</v>
      </c>
      <c r="K584" s="26">
        <v>25184</v>
      </c>
      <c r="L584" s="27">
        <v>74632</v>
      </c>
      <c r="M584" s="26">
        <v>50828</v>
      </c>
      <c r="N584" s="26">
        <v>17005</v>
      </c>
      <c r="O584" s="27">
        <v>67833</v>
      </c>
      <c r="P584" s="26">
        <v>53403</v>
      </c>
      <c r="Q584" s="26">
        <v>16230</v>
      </c>
      <c r="R584" s="27">
        <v>69633</v>
      </c>
      <c r="S584" s="26">
        <v>51712</v>
      </c>
      <c r="T584" s="26">
        <v>18190</v>
      </c>
      <c r="U584" s="27">
        <v>69902</v>
      </c>
      <c r="V584" s="26">
        <v>51144</v>
      </c>
      <c r="W584" s="26">
        <v>18746</v>
      </c>
      <c r="X584" s="31">
        <v>69890</v>
      </c>
      <c r="Y584" s="16">
        <v>52382</v>
      </c>
      <c r="Z584" s="16">
        <v>22256</v>
      </c>
      <c r="AA584" s="31">
        <v>74638</v>
      </c>
      <c r="AB584" s="32">
        <v>53770</v>
      </c>
      <c r="AC584" s="16">
        <v>27408</v>
      </c>
      <c r="AD584" s="31">
        <v>81178</v>
      </c>
      <c r="AE584" s="16">
        <v>54981</v>
      </c>
      <c r="AF584" s="16">
        <v>23755</v>
      </c>
      <c r="AG584" s="31">
        <v>78736</v>
      </c>
      <c r="AH584" s="16">
        <v>56280</v>
      </c>
      <c r="AI584" s="16">
        <v>22670</v>
      </c>
      <c r="AJ584" s="31">
        <v>78950</v>
      </c>
      <c r="AK584" s="16">
        <v>55800</v>
      </c>
      <c r="AL584" s="16">
        <v>24833</v>
      </c>
      <c r="AM584" s="31">
        <v>80633</v>
      </c>
      <c r="AN584" s="16">
        <v>58795</v>
      </c>
      <c r="AO584" s="16">
        <v>23853</v>
      </c>
      <c r="AP584" s="31">
        <v>82648</v>
      </c>
      <c r="AQ584" s="42"/>
      <c r="AR584" s="43"/>
      <c r="AS584" s="42"/>
      <c r="AT584" s="42"/>
    </row>
    <row r="585" spans="1:46" ht="12.9" customHeight="1" x14ac:dyDescent="0.25">
      <c r="A585" s="28" t="s">
        <v>1200</v>
      </c>
      <c r="B585" s="29" t="s">
        <v>1201</v>
      </c>
      <c r="C585" s="30" t="s">
        <v>34</v>
      </c>
      <c r="D585" s="40">
        <v>30215</v>
      </c>
      <c r="E585" s="26">
        <v>8705</v>
      </c>
      <c r="F585" s="26">
        <f t="shared" ref="F585:F648" si="18">+D585+E585</f>
        <v>38920</v>
      </c>
      <c r="G585" s="40">
        <v>30728</v>
      </c>
      <c r="H585" s="26">
        <v>22775</v>
      </c>
      <c r="I585" s="27">
        <f t="shared" si="17"/>
        <v>53503</v>
      </c>
      <c r="J585" s="40">
        <v>29244</v>
      </c>
      <c r="K585" s="26">
        <v>25413</v>
      </c>
      <c r="L585" s="27">
        <v>54657</v>
      </c>
      <c r="M585" s="26">
        <v>31695</v>
      </c>
      <c r="N585" s="26">
        <v>26087</v>
      </c>
      <c r="O585" s="27">
        <v>57782</v>
      </c>
      <c r="P585" s="26">
        <v>31404</v>
      </c>
      <c r="Q585" s="26">
        <v>18273</v>
      </c>
      <c r="R585" s="27">
        <v>49677</v>
      </c>
      <c r="S585" s="26">
        <v>30606</v>
      </c>
      <c r="T585" s="26">
        <v>17271</v>
      </c>
      <c r="U585" s="27">
        <v>47877</v>
      </c>
      <c r="V585" s="26">
        <v>27357</v>
      </c>
      <c r="W585" s="26">
        <v>11776</v>
      </c>
      <c r="X585" s="31">
        <v>39133</v>
      </c>
      <c r="Y585" s="16">
        <v>29454</v>
      </c>
      <c r="Z585" s="16">
        <v>15561</v>
      </c>
      <c r="AA585" s="31">
        <v>45015</v>
      </c>
      <c r="AB585" s="32">
        <v>29454</v>
      </c>
      <c r="AC585" s="16">
        <v>15561</v>
      </c>
      <c r="AD585" s="31">
        <v>45015</v>
      </c>
      <c r="AE585" s="16">
        <v>30204</v>
      </c>
      <c r="AF585" s="16">
        <v>11483</v>
      </c>
      <c r="AG585" s="31">
        <v>41687</v>
      </c>
      <c r="AH585" s="16">
        <v>31272</v>
      </c>
      <c r="AI585" s="16">
        <v>9671</v>
      </c>
      <c r="AJ585" s="31">
        <v>40943</v>
      </c>
      <c r="AK585" s="16">
        <v>39203</v>
      </c>
      <c r="AL585" s="16">
        <v>12642</v>
      </c>
      <c r="AM585" s="31">
        <v>51845</v>
      </c>
      <c r="AN585" s="16">
        <v>39203</v>
      </c>
      <c r="AO585" s="16">
        <v>12642</v>
      </c>
      <c r="AP585" s="31">
        <v>51845</v>
      </c>
      <c r="AQ585" s="42"/>
      <c r="AR585" s="43"/>
      <c r="AS585" s="42"/>
      <c r="AT585" s="42"/>
    </row>
    <row r="586" spans="1:46" ht="12.9" customHeight="1" x14ac:dyDescent="0.25">
      <c r="A586" s="28" t="s">
        <v>1202</v>
      </c>
      <c r="B586" s="29" t="s">
        <v>1203</v>
      </c>
      <c r="C586" s="30" t="s">
        <v>249</v>
      </c>
      <c r="D586" s="40">
        <v>5026</v>
      </c>
      <c r="E586" s="26">
        <v>2460</v>
      </c>
      <c r="F586" s="26">
        <f t="shared" si="18"/>
        <v>7486</v>
      </c>
      <c r="G586" s="40">
        <v>5259</v>
      </c>
      <c r="H586" s="26">
        <v>2270</v>
      </c>
      <c r="I586" s="27">
        <f t="shared" ref="I586:I649" si="19">+G586+H586</f>
        <v>7529</v>
      </c>
      <c r="J586" s="40">
        <v>5376</v>
      </c>
      <c r="K586" s="26">
        <v>269</v>
      </c>
      <c r="L586" s="27">
        <v>5645</v>
      </c>
      <c r="M586" s="26">
        <v>5655</v>
      </c>
      <c r="N586" s="26">
        <v>744</v>
      </c>
      <c r="O586" s="27">
        <v>6399</v>
      </c>
      <c r="P586" s="26">
        <v>4982</v>
      </c>
      <c r="Q586" s="26">
        <v>530</v>
      </c>
      <c r="R586" s="27">
        <v>5512</v>
      </c>
      <c r="S586" s="26">
        <v>5538</v>
      </c>
      <c r="T586" s="26">
        <v>323</v>
      </c>
      <c r="U586" s="27">
        <v>5861</v>
      </c>
      <c r="V586" s="26">
        <v>5745</v>
      </c>
      <c r="W586" s="26">
        <v>437</v>
      </c>
      <c r="X586" s="31">
        <v>6182</v>
      </c>
      <c r="Y586" s="16">
        <v>4832</v>
      </c>
      <c r="Z586" s="16">
        <v>488</v>
      </c>
      <c r="AA586" s="31">
        <v>5320</v>
      </c>
      <c r="AB586" s="32">
        <v>4716</v>
      </c>
      <c r="AC586" s="16">
        <v>515</v>
      </c>
      <c r="AD586" s="31">
        <v>5231</v>
      </c>
      <c r="AE586" s="16">
        <v>4461</v>
      </c>
      <c r="AF586" s="16">
        <v>703</v>
      </c>
      <c r="AG586" s="31">
        <v>5164</v>
      </c>
      <c r="AH586" s="16">
        <v>4553</v>
      </c>
      <c r="AI586" s="16">
        <v>650</v>
      </c>
      <c r="AJ586" s="31">
        <v>5203</v>
      </c>
      <c r="AK586" s="16">
        <v>5523</v>
      </c>
      <c r="AL586" s="16">
        <v>747</v>
      </c>
      <c r="AM586" s="31">
        <v>6270</v>
      </c>
      <c r="AN586" s="16">
        <v>5523</v>
      </c>
      <c r="AO586" s="16">
        <v>747</v>
      </c>
      <c r="AP586" s="31">
        <v>6270</v>
      </c>
      <c r="AQ586" s="42"/>
      <c r="AR586" s="43"/>
      <c r="AS586" s="42"/>
      <c r="AT586" s="42"/>
    </row>
    <row r="587" spans="1:46" ht="12.9" customHeight="1" x14ac:dyDescent="0.25">
      <c r="A587" s="28" t="s">
        <v>1204</v>
      </c>
      <c r="B587" s="29" t="s">
        <v>1205</v>
      </c>
      <c r="C587" s="30" t="s">
        <v>56</v>
      </c>
      <c r="D587" s="40">
        <v>30656</v>
      </c>
      <c r="E587" s="26">
        <v>17511</v>
      </c>
      <c r="F587" s="26">
        <f t="shared" si="18"/>
        <v>48167</v>
      </c>
      <c r="G587" s="40">
        <v>33296</v>
      </c>
      <c r="H587" s="26">
        <v>16681</v>
      </c>
      <c r="I587" s="27">
        <f t="shared" si="19"/>
        <v>49977</v>
      </c>
      <c r="J587" s="40">
        <v>38363</v>
      </c>
      <c r="K587" s="26">
        <v>17145</v>
      </c>
      <c r="L587" s="27">
        <v>55508</v>
      </c>
      <c r="M587" s="26">
        <v>36800</v>
      </c>
      <c r="N587" s="26">
        <v>12215</v>
      </c>
      <c r="O587" s="27">
        <v>49015</v>
      </c>
      <c r="P587" s="26">
        <v>35522</v>
      </c>
      <c r="Q587" s="26">
        <v>11924</v>
      </c>
      <c r="R587" s="27">
        <v>47446</v>
      </c>
      <c r="S587" s="26">
        <v>35522</v>
      </c>
      <c r="T587" s="26">
        <v>12161</v>
      </c>
      <c r="U587" s="27">
        <v>47683</v>
      </c>
      <c r="V587" s="26">
        <v>37567</v>
      </c>
      <c r="W587" s="26">
        <v>11803</v>
      </c>
      <c r="X587" s="31">
        <v>49370</v>
      </c>
      <c r="Y587" s="16">
        <v>38334</v>
      </c>
      <c r="Z587" s="16">
        <v>10708</v>
      </c>
      <c r="AA587" s="31">
        <v>49042</v>
      </c>
      <c r="AB587" s="32">
        <v>38334</v>
      </c>
      <c r="AC587" s="16">
        <v>10896</v>
      </c>
      <c r="AD587" s="31">
        <v>49230</v>
      </c>
      <c r="AE587" s="16">
        <v>38762</v>
      </c>
      <c r="AF587" s="16">
        <v>14186</v>
      </c>
      <c r="AG587" s="31">
        <v>52948</v>
      </c>
      <c r="AH587" s="16">
        <v>39457</v>
      </c>
      <c r="AI587" s="16">
        <v>14258</v>
      </c>
      <c r="AJ587" s="31">
        <v>53715</v>
      </c>
      <c r="AK587" s="16">
        <v>41562</v>
      </c>
      <c r="AL587" s="16">
        <v>16058</v>
      </c>
      <c r="AM587" s="31">
        <v>57620</v>
      </c>
      <c r="AN587" s="16">
        <v>48150</v>
      </c>
      <c r="AO587" s="16">
        <v>10821</v>
      </c>
      <c r="AP587" s="31">
        <v>58971</v>
      </c>
      <c r="AQ587" s="42"/>
      <c r="AR587" s="43"/>
      <c r="AS587" s="42"/>
      <c r="AT587" s="42"/>
    </row>
    <row r="588" spans="1:46" ht="12.9" customHeight="1" x14ac:dyDescent="0.25">
      <c r="A588" s="28" t="s">
        <v>1206</v>
      </c>
      <c r="B588" s="29" t="s">
        <v>1207</v>
      </c>
      <c r="C588" s="30" t="s">
        <v>163</v>
      </c>
      <c r="D588" s="40">
        <v>8175</v>
      </c>
      <c r="E588" s="26">
        <v>2565</v>
      </c>
      <c r="F588" s="26">
        <f t="shared" si="18"/>
        <v>10740</v>
      </c>
      <c r="G588" s="40">
        <v>7966</v>
      </c>
      <c r="H588" s="26">
        <v>2692</v>
      </c>
      <c r="I588" s="27">
        <f t="shared" si="19"/>
        <v>10658</v>
      </c>
      <c r="J588" s="40">
        <v>6155</v>
      </c>
      <c r="K588" s="26">
        <v>2059</v>
      </c>
      <c r="L588" s="27">
        <v>8214</v>
      </c>
      <c r="M588" s="26">
        <v>8612</v>
      </c>
      <c r="N588" s="26">
        <v>3919</v>
      </c>
      <c r="O588" s="27">
        <v>12531</v>
      </c>
      <c r="P588" s="26">
        <v>5164</v>
      </c>
      <c r="Q588" s="26">
        <v>1433</v>
      </c>
      <c r="R588" s="27">
        <v>6597</v>
      </c>
      <c r="S588" s="26">
        <v>6715</v>
      </c>
      <c r="T588" s="26">
        <v>2284</v>
      </c>
      <c r="U588" s="27">
        <v>8999</v>
      </c>
      <c r="V588" s="26">
        <v>7871</v>
      </c>
      <c r="W588" s="26">
        <v>2879</v>
      </c>
      <c r="X588" s="31">
        <v>10750</v>
      </c>
      <c r="Y588" s="16">
        <v>7034.6666666666661</v>
      </c>
      <c r="Z588" s="16">
        <v>1755</v>
      </c>
      <c r="AA588" s="31">
        <v>8789.6666666666661</v>
      </c>
      <c r="AB588" s="32">
        <v>6263</v>
      </c>
      <c r="AC588" s="16">
        <v>883</v>
      </c>
      <c r="AD588" s="31">
        <v>7146</v>
      </c>
      <c r="AE588" s="16">
        <v>6055</v>
      </c>
      <c r="AF588" s="16">
        <v>908</v>
      </c>
      <c r="AG588" s="31">
        <v>6963</v>
      </c>
      <c r="AH588" s="16">
        <v>5782</v>
      </c>
      <c r="AI588" s="16">
        <v>4611</v>
      </c>
      <c r="AJ588" s="31">
        <v>10393</v>
      </c>
      <c r="AK588" s="16">
        <v>6941</v>
      </c>
      <c r="AL588" s="16">
        <v>6244</v>
      </c>
      <c r="AM588" s="31">
        <v>13185</v>
      </c>
      <c r="AN588" s="16">
        <v>6941</v>
      </c>
      <c r="AO588" s="16">
        <v>6244</v>
      </c>
      <c r="AP588" s="31">
        <v>13185</v>
      </c>
      <c r="AQ588" s="42"/>
      <c r="AR588" s="43"/>
      <c r="AS588" s="42"/>
      <c r="AT588" s="42"/>
    </row>
    <row r="589" spans="1:46" ht="12.9" customHeight="1" x14ac:dyDescent="0.25">
      <c r="A589" s="28" t="s">
        <v>1208</v>
      </c>
      <c r="B589" s="29" t="s">
        <v>1209</v>
      </c>
      <c r="C589" s="30" t="s">
        <v>11</v>
      </c>
      <c r="D589" s="40">
        <v>2250984</v>
      </c>
      <c r="E589" s="26">
        <v>5735778</v>
      </c>
      <c r="F589" s="26">
        <f t="shared" si="18"/>
        <v>7986762</v>
      </c>
      <c r="G589" s="40">
        <v>2276511</v>
      </c>
      <c r="H589" s="26">
        <v>5920078</v>
      </c>
      <c r="I589" s="27">
        <f t="shared" si="19"/>
        <v>8196589</v>
      </c>
      <c r="J589" s="40">
        <v>2323684</v>
      </c>
      <c r="K589" s="26">
        <v>6176943</v>
      </c>
      <c r="L589" s="27">
        <v>8500627</v>
      </c>
      <c r="M589" s="26">
        <v>2435118</v>
      </c>
      <c r="N589" s="26">
        <v>5266573</v>
      </c>
      <c r="O589" s="27">
        <v>7701691</v>
      </c>
      <c r="P589" s="26">
        <v>2484563</v>
      </c>
      <c r="Q589" s="26">
        <v>5268136</v>
      </c>
      <c r="R589" s="27">
        <v>7752699</v>
      </c>
      <c r="S589" s="26">
        <v>2311797</v>
      </c>
      <c r="T589" s="26">
        <v>5608301</v>
      </c>
      <c r="U589" s="27">
        <v>7920098</v>
      </c>
      <c r="V589" s="26">
        <v>2289209</v>
      </c>
      <c r="W589" s="26">
        <v>6136667</v>
      </c>
      <c r="X589" s="31">
        <v>8425876</v>
      </c>
      <c r="Y589" s="16">
        <v>2268920</v>
      </c>
      <c r="Z589" s="16">
        <v>5027022</v>
      </c>
      <c r="AA589" s="31">
        <v>7295942</v>
      </c>
      <c r="AB589" s="32">
        <v>2275488</v>
      </c>
      <c r="AC589" s="16">
        <v>5348409</v>
      </c>
      <c r="AD589" s="31">
        <v>7623897</v>
      </c>
      <c r="AE589" s="16">
        <v>2262180</v>
      </c>
      <c r="AF589" s="16">
        <v>5374129</v>
      </c>
      <c r="AG589" s="31">
        <v>7636309</v>
      </c>
      <c r="AH589" s="16">
        <v>2249625</v>
      </c>
      <c r="AI589" s="16">
        <v>5362661</v>
      </c>
      <c r="AJ589" s="31">
        <v>7612286</v>
      </c>
      <c r="AK589" s="16">
        <v>2247464</v>
      </c>
      <c r="AL589" s="16">
        <v>5720135</v>
      </c>
      <c r="AM589" s="31">
        <v>7967599</v>
      </c>
      <c r="AN589" s="16">
        <v>2295813</v>
      </c>
      <c r="AO589" s="16">
        <v>6229091</v>
      </c>
      <c r="AP589" s="31">
        <v>8524904</v>
      </c>
      <c r="AQ589" s="42"/>
      <c r="AR589" s="43"/>
      <c r="AS589" s="42"/>
      <c r="AT589" s="42"/>
    </row>
    <row r="590" spans="1:46" ht="12.9" customHeight="1" x14ac:dyDescent="0.25">
      <c r="A590" s="28" t="s">
        <v>1210</v>
      </c>
      <c r="B590" s="29" t="s">
        <v>1211</v>
      </c>
      <c r="C590" s="30" t="s">
        <v>56</v>
      </c>
      <c r="D590" s="40">
        <v>52149</v>
      </c>
      <c r="E590" s="26">
        <v>8125</v>
      </c>
      <c r="F590" s="26">
        <f t="shared" si="18"/>
        <v>60274</v>
      </c>
      <c r="G590" s="40">
        <v>49887</v>
      </c>
      <c r="H590" s="26">
        <v>11174</v>
      </c>
      <c r="I590" s="27">
        <f t="shared" si="19"/>
        <v>61061</v>
      </c>
      <c r="J590" s="40">
        <v>49050</v>
      </c>
      <c r="K590" s="26">
        <v>6841</v>
      </c>
      <c r="L590" s="27">
        <v>55891</v>
      </c>
      <c r="M590" s="26">
        <v>49033</v>
      </c>
      <c r="N590" s="26">
        <v>7959</v>
      </c>
      <c r="O590" s="27">
        <v>56992</v>
      </c>
      <c r="P590" s="26">
        <v>49613</v>
      </c>
      <c r="Q590" s="26">
        <v>6585</v>
      </c>
      <c r="R590" s="27">
        <v>56198</v>
      </c>
      <c r="S590" s="26">
        <v>56922</v>
      </c>
      <c r="T590" s="26">
        <v>8020</v>
      </c>
      <c r="U590" s="27">
        <v>64942</v>
      </c>
      <c r="V590" s="26">
        <v>57038</v>
      </c>
      <c r="W590" s="26">
        <v>2427</v>
      </c>
      <c r="X590" s="31">
        <v>59465</v>
      </c>
      <c r="Y590" s="16">
        <v>59112</v>
      </c>
      <c r="Z590" s="16">
        <v>2996</v>
      </c>
      <c r="AA590" s="31">
        <v>62108</v>
      </c>
      <c r="AB590" s="32">
        <v>64952</v>
      </c>
      <c r="AC590" s="16">
        <v>1099</v>
      </c>
      <c r="AD590" s="31">
        <v>66051</v>
      </c>
      <c r="AE590" s="16">
        <v>46103</v>
      </c>
      <c r="AF590" s="16">
        <v>653</v>
      </c>
      <c r="AG590" s="31">
        <v>46756</v>
      </c>
      <c r="AH590" s="16">
        <v>63402</v>
      </c>
      <c r="AI590" s="16">
        <v>1208</v>
      </c>
      <c r="AJ590" s="31">
        <v>64610</v>
      </c>
      <c r="AK590" s="16">
        <v>63402</v>
      </c>
      <c r="AL590" s="16">
        <v>1208</v>
      </c>
      <c r="AM590" s="31">
        <v>64610</v>
      </c>
      <c r="AN590" s="16">
        <v>78338</v>
      </c>
      <c r="AO590" s="16">
        <v>739</v>
      </c>
      <c r="AP590" s="31">
        <v>79077</v>
      </c>
      <c r="AQ590" s="42"/>
      <c r="AR590" s="43"/>
      <c r="AS590" s="42"/>
      <c r="AT590" s="42"/>
    </row>
    <row r="591" spans="1:46" ht="12.9" customHeight="1" x14ac:dyDescent="0.25">
      <c r="A591" s="28" t="s">
        <v>1212</v>
      </c>
      <c r="B591" s="29" t="s">
        <v>1213</v>
      </c>
      <c r="C591" s="47" t="s">
        <v>1946</v>
      </c>
      <c r="D591" s="40">
        <v>84177</v>
      </c>
      <c r="E591" s="26">
        <v>62164</v>
      </c>
      <c r="F591" s="26">
        <f t="shared" si="18"/>
        <v>146341</v>
      </c>
      <c r="G591" s="40">
        <v>86134</v>
      </c>
      <c r="H591" s="26">
        <v>90428</v>
      </c>
      <c r="I591" s="27">
        <f t="shared" si="19"/>
        <v>176562</v>
      </c>
      <c r="J591" s="40">
        <v>90969</v>
      </c>
      <c r="K591" s="26">
        <v>80202</v>
      </c>
      <c r="L591" s="27">
        <v>171171</v>
      </c>
      <c r="M591" s="26">
        <v>94577</v>
      </c>
      <c r="N591" s="26">
        <v>75553</v>
      </c>
      <c r="O591" s="27">
        <v>170130</v>
      </c>
      <c r="P591" s="26">
        <v>92714</v>
      </c>
      <c r="Q591" s="26">
        <v>67825</v>
      </c>
      <c r="R591" s="27">
        <v>160539</v>
      </c>
      <c r="S591" s="26">
        <v>89616</v>
      </c>
      <c r="T591" s="26">
        <v>85836</v>
      </c>
      <c r="U591" s="27">
        <v>175452</v>
      </c>
      <c r="V591" s="26">
        <v>85095</v>
      </c>
      <c r="W591" s="26">
        <v>75271</v>
      </c>
      <c r="X591" s="31">
        <v>160366</v>
      </c>
      <c r="Y591" s="16">
        <v>86288</v>
      </c>
      <c r="Z591" s="16">
        <v>78357</v>
      </c>
      <c r="AA591" s="31">
        <v>164645</v>
      </c>
      <c r="AB591" s="32">
        <v>86629</v>
      </c>
      <c r="AC591" s="16">
        <v>85198</v>
      </c>
      <c r="AD591" s="31">
        <v>171827</v>
      </c>
      <c r="AE591" s="16">
        <v>84332</v>
      </c>
      <c r="AF591" s="16">
        <v>63533</v>
      </c>
      <c r="AG591" s="31">
        <v>147865</v>
      </c>
      <c r="AH591" s="16">
        <v>81483</v>
      </c>
      <c r="AI591" s="16">
        <v>60496</v>
      </c>
      <c r="AJ591" s="31">
        <v>141979</v>
      </c>
      <c r="AK591" s="16">
        <v>83949</v>
      </c>
      <c r="AL591" s="16">
        <v>48087</v>
      </c>
      <c r="AM591" s="31">
        <v>132036</v>
      </c>
      <c r="AN591" s="16">
        <v>88217</v>
      </c>
      <c r="AO591" s="16">
        <v>70842</v>
      </c>
      <c r="AP591" s="31">
        <v>159059</v>
      </c>
      <c r="AQ591" s="42"/>
      <c r="AR591" s="43"/>
      <c r="AS591" s="42"/>
      <c r="AT591" s="42"/>
    </row>
    <row r="592" spans="1:46" ht="12.9" customHeight="1" x14ac:dyDescent="0.25">
      <c r="A592" s="28" t="s">
        <v>1214</v>
      </c>
      <c r="B592" s="29" t="s">
        <v>1215</v>
      </c>
      <c r="C592" s="30" t="s">
        <v>153</v>
      </c>
      <c r="D592" s="40">
        <v>17912</v>
      </c>
      <c r="E592" s="26">
        <v>18923</v>
      </c>
      <c r="F592" s="26">
        <f t="shared" si="18"/>
        <v>36835</v>
      </c>
      <c r="G592" s="40">
        <v>18072</v>
      </c>
      <c r="H592" s="26">
        <v>29264</v>
      </c>
      <c r="I592" s="27">
        <f t="shared" si="19"/>
        <v>47336</v>
      </c>
      <c r="J592" s="40">
        <v>18986</v>
      </c>
      <c r="K592" s="26">
        <v>18542</v>
      </c>
      <c r="L592" s="27">
        <v>37528</v>
      </c>
      <c r="M592" s="26">
        <v>20018</v>
      </c>
      <c r="N592" s="26">
        <v>18984</v>
      </c>
      <c r="O592" s="27">
        <v>39002</v>
      </c>
      <c r="P592" s="26">
        <v>20255</v>
      </c>
      <c r="Q592" s="26">
        <v>22875</v>
      </c>
      <c r="R592" s="27">
        <v>43130</v>
      </c>
      <c r="S592" s="26">
        <v>19625</v>
      </c>
      <c r="T592" s="26">
        <v>4063</v>
      </c>
      <c r="U592" s="27">
        <v>23688</v>
      </c>
      <c r="V592" s="26">
        <v>18576</v>
      </c>
      <c r="W592" s="26">
        <v>4249</v>
      </c>
      <c r="X592" s="31">
        <v>22825</v>
      </c>
      <c r="Y592" s="16">
        <v>18450</v>
      </c>
      <c r="Z592" s="16">
        <v>6157</v>
      </c>
      <c r="AA592" s="31">
        <v>24607</v>
      </c>
      <c r="AB592" s="32">
        <v>19956</v>
      </c>
      <c r="AC592" s="16">
        <v>3680</v>
      </c>
      <c r="AD592" s="31">
        <v>23636</v>
      </c>
      <c r="AE592" s="16">
        <v>22644</v>
      </c>
      <c r="AF592" s="16">
        <v>228</v>
      </c>
      <c r="AG592" s="31">
        <v>22872</v>
      </c>
      <c r="AH592" s="16">
        <v>22644</v>
      </c>
      <c r="AI592" s="16">
        <v>228</v>
      </c>
      <c r="AJ592" s="31">
        <v>22872</v>
      </c>
      <c r="AK592" s="16">
        <v>22644</v>
      </c>
      <c r="AL592" s="16">
        <v>228</v>
      </c>
      <c r="AM592" s="31">
        <v>22872</v>
      </c>
      <c r="AN592" s="16">
        <v>22644</v>
      </c>
      <c r="AO592" s="16">
        <v>228</v>
      </c>
      <c r="AP592" s="31">
        <v>22872</v>
      </c>
      <c r="AQ592" s="42"/>
      <c r="AR592" s="43"/>
      <c r="AS592" s="42"/>
      <c r="AT592" s="42"/>
    </row>
    <row r="593" spans="1:46" ht="12.9" customHeight="1" x14ac:dyDescent="0.25">
      <c r="A593" s="28" t="s">
        <v>1216</v>
      </c>
      <c r="B593" s="29" t="s">
        <v>1217</v>
      </c>
      <c r="C593" s="30" t="s">
        <v>110</v>
      </c>
      <c r="D593" s="40">
        <v>90307</v>
      </c>
      <c r="E593" s="26">
        <v>39356</v>
      </c>
      <c r="F593" s="26">
        <f t="shared" si="18"/>
        <v>129663</v>
      </c>
      <c r="G593" s="40">
        <v>74359</v>
      </c>
      <c r="H593" s="26">
        <v>34539</v>
      </c>
      <c r="I593" s="27">
        <f t="shared" si="19"/>
        <v>108898</v>
      </c>
      <c r="J593" s="40">
        <v>83809</v>
      </c>
      <c r="K593" s="26">
        <v>52002</v>
      </c>
      <c r="L593" s="27">
        <v>135811</v>
      </c>
      <c r="M593" s="26">
        <v>80264</v>
      </c>
      <c r="N593" s="26">
        <v>29216</v>
      </c>
      <c r="O593" s="27">
        <v>109480</v>
      </c>
      <c r="P593" s="26">
        <v>79119</v>
      </c>
      <c r="Q593" s="26">
        <v>26683</v>
      </c>
      <c r="R593" s="27">
        <v>105802</v>
      </c>
      <c r="S593" s="26">
        <v>99164</v>
      </c>
      <c r="T593" s="26">
        <v>35620</v>
      </c>
      <c r="U593" s="27">
        <v>134784</v>
      </c>
      <c r="V593" s="26">
        <v>101951</v>
      </c>
      <c r="W593" s="26">
        <v>30753</v>
      </c>
      <c r="X593" s="31">
        <v>132704</v>
      </c>
      <c r="Y593" s="16">
        <v>79426</v>
      </c>
      <c r="Z593" s="16">
        <v>36890</v>
      </c>
      <c r="AA593" s="31">
        <v>116316</v>
      </c>
      <c r="AB593" s="32">
        <v>69554</v>
      </c>
      <c r="AC593" s="16">
        <v>54386</v>
      </c>
      <c r="AD593" s="31">
        <v>123940</v>
      </c>
      <c r="AE593" s="16">
        <v>70097</v>
      </c>
      <c r="AF593" s="16">
        <v>25470</v>
      </c>
      <c r="AG593" s="31">
        <v>95567</v>
      </c>
      <c r="AH593" s="16">
        <v>53081</v>
      </c>
      <c r="AI593" s="16">
        <v>32659</v>
      </c>
      <c r="AJ593" s="31">
        <v>85740</v>
      </c>
      <c r="AK593" s="16">
        <v>68751</v>
      </c>
      <c r="AL593" s="16">
        <v>30397</v>
      </c>
      <c r="AM593" s="31">
        <v>99148</v>
      </c>
      <c r="AN593" s="16">
        <v>75234</v>
      </c>
      <c r="AO593" s="16">
        <v>32620</v>
      </c>
      <c r="AP593" s="31">
        <v>107854</v>
      </c>
      <c r="AQ593" s="42"/>
      <c r="AR593" s="43"/>
      <c r="AS593" s="42"/>
      <c r="AT593" s="42"/>
    </row>
    <row r="594" spans="1:46" ht="12.9" customHeight="1" x14ac:dyDescent="0.25">
      <c r="A594" s="28" t="s">
        <v>1218</v>
      </c>
      <c r="B594" s="29" t="s">
        <v>1219</v>
      </c>
      <c r="C594" s="30" t="s">
        <v>17</v>
      </c>
      <c r="D594" s="40">
        <v>15557</v>
      </c>
      <c r="E594" s="26">
        <v>15775</v>
      </c>
      <c r="F594" s="26">
        <f t="shared" si="18"/>
        <v>31332</v>
      </c>
      <c r="G594" s="40">
        <v>14035</v>
      </c>
      <c r="H594" s="26">
        <v>15871</v>
      </c>
      <c r="I594" s="27">
        <f t="shared" si="19"/>
        <v>29906</v>
      </c>
      <c r="J594" s="40">
        <v>13465</v>
      </c>
      <c r="K594" s="26">
        <v>15939</v>
      </c>
      <c r="L594" s="27">
        <v>29404</v>
      </c>
      <c r="M594" s="26">
        <v>19698</v>
      </c>
      <c r="N594" s="26">
        <v>22948</v>
      </c>
      <c r="O594" s="27">
        <v>42646</v>
      </c>
      <c r="P594" s="26">
        <v>14887</v>
      </c>
      <c r="Q594" s="26">
        <v>21215</v>
      </c>
      <c r="R594" s="27">
        <v>36102</v>
      </c>
      <c r="S594" s="26">
        <v>14887</v>
      </c>
      <c r="T594" s="26">
        <v>2782</v>
      </c>
      <c r="U594" s="27">
        <v>17669</v>
      </c>
      <c r="V594" s="26">
        <v>14920</v>
      </c>
      <c r="W594" s="26">
        <v>638</v>
      </c>
      <c r="X594" s="31">
        <v>15558</v>
      </c>
      <c r="Y594" s="16">
        <v>14920</v>
      </c>
      <c r="Z594" s="16">
        <v>638</v>
      </c>
      <c r="AA594" s="31">
        <v>15558</v>
      </c>
      <c r="AB594" s="32">
        <v>14920</v>
      </c>
      <c r="AC594" s="16">
        <v>638</v>
      </c>
      <c r="AD594" s="31">
        <v>15558</v>
      </c>
      <c r="AE594" s="16">
        <v>15588</v>
      </c>
      <c r="AF594" s="16">
        <v>722</v>
      </c>
      <c r="AG594" s="31">
        <v>16310</v>
      </c>
      <c r="AH594" s="16">
        <v>15588</v>
      </c>
      <c r="AI594" s="16">
        <v>722</v>
      </c>
      <c r="AJ594" s="31">
        <v>16310</v>
      </c>
      <c r="AK594" s="16">
        <v>15250</v>
      </c>
      <c r="AL594" s="16">
        <v>2268</v>
      </c>
      <c r="AM594" s="31">
        <v>17518</v>
      </c>
      <c r="AN594" s="16">
        <v>15250</v>
      </c>
      <c r="AO594" s="16">
        <v>2268</v>
      </c>
      <c r="AP594" s="31">
        <v>17518</v>
      </c>
      <c r="AQ594" s="42"/>
      <c r="AR594" s="43"/>
      <c r="AS594" s="42"/>
      <c r="AT594" s="42"/>
    </row>
    <row r="595" spans="1:46" ht="12.9" customHeight="1" x14ac:dyDescent="0.25">
      <c r="A595" s="28" t="s">
        <v>1220</v>
      </c>
      <c r="B595" s="29" t="s">
        <v>1221</v>
      </c>
      <c r="C595" s="30" t="s">
        <v>14</v>
      </c>
      <c r="D595" s="40">
        <v>15307</v>
      </c>
      <c r="E595" s="26">
        <v>9176</v>
      </c>
      <c r="F595" s="26">
        <f t="shared" si="18"/>
        <v>24483</v>
      </c>
      <c r="G595" s="40">
        <v>15279</v>
      </c>
      <c r="H595" s="26">
        <v>11261</v>
      </c>
      <c r="I595" s="27">
        <f t="shared" si="19"/>
        <v>26540</v>
      </c>
      <c r="J595" s="40">
        <v>16061</v>
      </c>
      <c r="K595" s="26">
        <v>11291</v>
      </c>
      <c r="L595" s="27">
        <v>27352</v>
      </c>
      <c r="M595" s="26">
        <v>18920</v>
      </c>
      <c r="N595" s="26">
        <v>10307</v>
      </c>
      <c r="O595" s="27">
        <v>29227</v>
      </c>
      <c r="P595" s="26">
        <v>18548</v>
      </c>
      <c r="Q595" s="26">
        <v>7309</v>
      </c>
      <c r="R595" s="27">
        <v>25857</v>
      </c>
      <c r="S595" s="26">
        <v>17198</v>
      </c>
      <c r="T595" s="26">
        <v>15828</v>
      </c>
      <c r="U595" s="27">
        <v>33026</v>
      </c>
      <c r="V595" s="26">
        <v>15729</v>
      </c>
      <c r="W595" s="26">
        <v>12356</v>
      </c>
      <c r="X595" s="31">
        <v>28085</v>
      </c>
      <c r="Y595" s="16">
        <v>16402</v>
      </c>
      <c r="Z595" s="16">
        <v>11969</v>
      </c>
      <c r="AA595" s="31">
        <v>28371</v>
      </c>
      <c r="AB595" s="32">
        <v>17088</v>
      </c>
      <c r="AC595" s="16">
        <v>12499</v>
      </c>
      <c r="AD595" s="31">
        <v>29587</v>
      </c>
      <c r="AE595" s="16">
        <v>17902</v>
      </c>
      <c r="AF595" s="16">
        <v>10566</v>
      </c>
      <c r="AG595" s="31">
        <v>28468</v>
      </c>
      <c r="AH595" s="16">
        <v>16172</v>
      </c>
      <c r="AI595" s="16">
        <v>15114</v>
      </c>
      <c r="AJ595" s="31">
        <v>31286</v>
      </c>
      <c r="AK595" s="16">
        <v>4145</v>
      </c>
      <c r="AL595" s="16">
        <v>8230</v>
      </c>
      <c r="AM595" s="31">
        <v>12375</v>
      </c>
      <c r="AN595" s="16">
        <v>17647</v>
      </c>
      <c r="AO595" s="16">
        <v>21880</v>
      </c>
      <c r="AP595" s="31">
        <v>39527</v>
      </c>
      <c r="AQ595" s="42"/>
      <c r="AR595" s="43"/>
      <c r="AS595" s="42"/>
      <c r="AT595" s="42"/>
    </row>
    <row r="596" spans="1:46" ht="12.9" customHeight="1" x14ac:dyDescent="0.25">
      <c r="A596" s="28" t="s">
        <v>1222</v>
      </c>
      <c r="B596" s="29" t="s">
        <v>1223</v>
      </c>
      <c r="C596" s="30" t="s">
        <v>80</v>
      </c>
      <c r="D596" s="40">
        <v>547782</v>
      </c>
      <c r="E596" s="26">
        <v>75348</v>
      </c>
      <c r="F596" s="26">
        <f t="shared" si="18"/>
        <v>623130</v>
      </c>
      <c r="G596" s="40">
        <v>599945</v>
      </c>
      <c r="H596" s="26">
        <v>82237</v>
      </c>
      <c r="I596" s="27">
        <f t="shared" si="19"/>
        <v>682182</v>
      </c>
      <c r="J596" s="40">
        <v>648726</v>
      </c>
      <c r="K596" s="26">
        <v>92985</v>
      </c>
      <c r="L596" s="27">
        <v>741711</v>
      </c>
      <c r="M596" s="26">
        <v>679790</v>
      </c>
      <c r="N596" s="26">
        <v>84798</v>
      </c>
      <c r="O596" s="27">
        <v>764588</v>
      </c>
      <c r="P596" s="26">
        <v>640945</v>
      </c>
      <c r="Q596" s="26">
        <v>78921</v>
      </c>
      <c r="R596" s="27">
        <v>719866</v>
      </c>
      <c r="S596" s="26">
        <v>626284</v>
      </c>
      <c r="T596" s="26">
        <v>81498</v>
      </c>
      <c r="U596" s="27">
        <v>707782</v>
      </c>
      <c r="V596" s="26">
        <v>605102</v>
      </c>
      <c r="W596" s="26">
        <v>74063</v>
      </c>
      <c r="X596" s="31">
        <v>679165</v>
      </c>
      <c r="Y596" s="16">
        <v>630100</v>
      </c>
      <c r="Z596" s="16">
        <v>87118</v>
      </c>
      <c r="AA596" s="31">
        <v>717218</v>
      </c>
      <c r="AB596" s="32">
        <v>638319</v>
      </c>
      <c r="AC596" s="16">
        <v>77550</v>
      </c>
      <c r="AD596" s="31">
        <v>715869</v>
      </c>
      <c r="AE596" s="16">
        <v>619921</v>
      </c>
      <c r="AF596" s="16">
        <v>83096</v>
      </c>
      <c r="AG596" s="31">
        <v>703017</v>
      </c>
      <c r="AH596" s="16">
        <v>587104</v>
      </c>
      <c r="AI596" s="16">
        <v>83275</v>
      </c>
      <c r="AJ596" s="31">
        <v>670379</v>
      </c>
      <c r="AK596" s="16">
        <v>600168</v>
      </c>
      <c r="AL596" s="16">
        <v>84638</v>
      </c>
      <c r="AM596" s="31">
        <v>684806</v>
      </c>
      <c r="AN596" s="16">
        <v>690922</v>
      </c>
      <c r="AO596" s="16">
        <v>77485</v>
      </c>
      <c r="AP596" s="31">
        <v>768407</v>
      </c>
      <c r="AQ596" s="42"/>
      <c r="AR596" s="43"/>
      <c r="AS596" s="42"/>
      <c r="AT596" s="42"/>
    </row>
    <row r="597" spans="1:46" ht="12.9" customHeight="1" x14ac:dyDescent="0.25">
      <c r="A597" s="28" t="s">
        <v>1224</v>
      </c>
      <c r="B597" s="29" t="s">
        <v>1225</v>
      </c>
      <c r="C597" s="30" t="s">
        <v>80</v>
      </c>
      <c r="D597" s="40">
        <v>1138754</v>
      </c>
      <c r="E597" s="26">
        <v>174017</v>
      </c>
      <c r="F597" s="26">
        <f t="shared" si="18"/>
        <v>1312771</v>
      </c>
      <c r="G597" s="40">
        <v>1188152</v>
      </c>
      <c r="H597" s="26">
        <v>199421</v>
      </c>
      <c r="I597" s="27">
        <f t="shared" si="19"/>
        <v>1387573</v>
      </c>
      <c r="J597" s="40">
        <v>1212547</v>
      </c>
      <c r="K597" s="26">
        <v>212789</v>
      </c>
      <c r="L597" s="27">
        <v>1425336</v>
      </c>
      <c r="M597" s="26">
        <v>1258872</v>
      </c>
      <c r="N597" s="26">
        <v>193452</v>
      </c>
      <c r="O597" s="27">
        <v>1452324</v>
      </c>
      <c r="P597" s="26">
        <v>1319396</v>
      </c>
      <c r="Q597" s="26">
        <v>166855</v>
      </c>
      <c r="R597" s="27">
        <v>1486251</v>
      </c>
      <c r="S597" s="26">
        <v>1219251</v>
      </c>
      <c r="T597" s="26">
        <v>203480</v>
      </c>
      <c r="U597" s="27">
        <v>1422731</v>
      </c>
      <c r="V597" s="26">
        <v>1186850</v>
      </c>
      <c r="W597" s="26">
        <v>167222</v>
      </c>
      <c r="X597" s="31">
        <v>1354072</v>
      </c>
      <c r="Y597" s="16">
        <v>1194696</v>
      </c>
      <c r="Z597" s="16">
        <v>166350</v>
      </c>
      <c r="AA597" s="31">
        <v>1361046</v>
      </c>
      <c r="AB597" s="32">
        <v>1234085</v>
      </c>
      <c r="AC597" s="16">
        <v>164084</v>
      </c>
      <c r="AD597" s="31">
        <v>1398169</v>
      </c>
      <c r="AE597" s="16">
        <v>1160020</v>
      </c>
      <c r="AF597" s="16">
        <v>160462</v>
      </c>
      <c r="AG597" s="31">
        <v>1320482</v>
      </c>
      <c r="AH597" s="16">
        <v>1219483</v>
      </c>
      <c r="AI597" s="16">
        <v>168965</v>
      </c>
      <c r="AJ597" s="31">
        <v>1388448</v>
      </c>
      <c r="AK597" s="16">
        <v>1219717</v>
      </c>
      <c r="AL597" s="16">
        <v>168311</v>
      </c>
      <c r="AM597" s="31">
        <v>1388028</v>
      </c>
      <c r="AN597" s="16">
        <v>1311146</v>
      </c>
      <c r="AO597" s="16">
        <v>180868</v>
      </c>
      <c r="AP597" s="31">
        <v>1492014</v>
      </c>
      <c r="AQ597" s="42"/>
      <c r="AR597" s="43"/>
      <c r="AS597" s="42"/>
      <c r="AT597" s="42"/>
    </row>
    <row r="598" spans="1:46" ht="12.9" customHeight="1" x14ac:dyDescent="0.25">
      <c r="A598" s="28" t="s">
        <v>1226</v>
      </c>
      <c r="B598" s="29" t="s">
        <v>1227</v>
      </c>
      <c r="C598" s="30" t="s">
        <v>150</v>
      </c>
      <c r="D598" s="40">
        <v>82746</v>
      </c>
      <c r="E598" s="26">
        <v>176405</v>
      </c>
      <c r="F598" s="26">
        <f t="shared" si="18"/>
        <v>259151</v>
      </c>
      <c r="G598" s="40">
        <v>89222</v>
      </c>
      <c r="H598" s="26">
        <v>172498</v>
      </c>
      <c r="I598" s="27">
        <f t="shared" si="19"/>
        <v>261720</v>
      </c>
      <c r="J598" s="40">
        <v>86819</v>
      </c>
      <c r="K598" s="26">
        <v>158952</v>
      </c>
      <c r="L598" s="27">
        <v>245771</v>
      </c>
      <c r="M598" s="26">
        <v>88201</v>
      </c>
      <c r="N598" s="26">
        <v>158976</v>
      </c>
      <c r="O598" s="27">
        <v>247177</v>
      </c>
      <c r="P598" s="26">
        <v>89773</v>
      </c>
      <c r="Q598" s="26">
        <v>143302</v>
      </c>
      <c r="R598" s="27">
        <v>233075</v>
      </c>
      <c r="S598" s="26">
        <v>83695</v>
      </c>
      <c r="T598" s="26">
        <v>135559</v>
      </c>
      <c r="U598" s="27">
        <v>219254</v>
      </c>
      <c r="V598" s="26">
        <v>77228</v>
      </c>
      <c r="W598" s="26">
        <v>133550</v>
      </c>
      <c r="X598" s="31">
        <v>210778</v>
      </c>
      <c r="Y598" s="16">
        <v>84113</v>
      </c>
      <c r="Z598" s="16">
        <v>192658</v>
      </c>
      <c r="AA598" s="31">
        <v>276771</v>
      </c>
      <c r="AB598" s="32">
        <v>80677</v>
      </c>
      <c r="AC598" s="16">
        <v>170864</v>
      </c>
      <c r="AD598" s="31">
        <v>251541</v>
      </c>
      <c r="AE598" s="16">
        <v>83179</v>
      </c>
      <c r="AF598" s="16">
        <v>159191</v>
      </c>
      <c r="AG598" s="31">
        <v>242370</v>
      </c>
      <c r="AH598" s="16">
        <v>84535</v>
      </c>
      <c r="AI598" s="16">
        <v>152578</v>
      </c>
      <c r="AJ598" s="31">
        <v>237113</v>
      </c>
      <c r="AK598" s="16">
        <v>76128</v>
      </c>
      <c r="AL598" s="16">
        <v>143267</v>
      </c>
      <c r="AM598" s="31">
        <v>219395</v>
      </c>
      <c r="AN598" s="16">
        <v>76027</v>
      </c>
      <c r="AO598" s="16">
        <v>164979</v>
      </c>
      <c r="AP598" s="31">
        <v>241006</v>
      </c>
      <c r="AQ598" s="42"/>
      <c r="AR598" s="43"/>
      <c r="AS598" s="42"/>
      <c r="AT598" s="42"/>
    </row>
    <row r="599" spans="1:46" ht="12.9" customHeight="1" x14ac:dyDescent="0.25">
      <c r="A599" s="28" t="s">
        <v>1228</v>
      </c>
      <c r="B599" s="29" t="s">
        <v>1229</v>
      </c>
      <c r="C599" s="30" t="s">
        <v>110</v>
      </c>
      <c r="D599" s="40">
        <v>25079</v>
      </c>
      <c r="E599" s="26">
        <v>19250</v>
      </c>
      <c r="F599" s="26">
        <f t="shared" si="18"/>
        <v>44329</v>
      </c>
      <c r="G599" s="40">
        <v>25370</v>
      </c>
      <c r="H599" s="26">
        <v>20171</v>
      </c>
      <c r="I599" s="27">
        <f t="shared" si="19"/>
        <v>45541</v>
      </c>
      <c r="J599" s="40">
        <v>25276</v>
      </c>
      <c r="K599" s="26">
        <v>21110</v>
      </c>
      <c r="L599" s="27">
        <v>46386</v>
      </c>
      <c r="M599" s="26">
        <v>22140</v>
      </c>
      <c r="N599" s="26">
        <v>16373</v>
      </c>
      <c r="O599" s="27">
        <v>38513</v>
      </c>
      <c r="P599" s="26">
        <v>25393</v>
      </c>
      <c r="Q599" s="26">
        <v>16133</v>
      </c>
      <c r="R599" s="27">
        <v>41526</v>
      </c>
      <c r="S599" s="26">
        <v>27046</v>
      </c>
      <c r="T599" s="26">
        <v>19144</v>
      </c>
      <c r="U599" s="27">
        <v>46190</v>
      </c>
      <c r="V599" s="26">
        <v>21025</v>
      </c>
      <c r="W599" s="26">
        <v>24785</v>
      </c>
      <c r="X599" s="31">
        <v>45810</v>
      </c>
      <c r="Y599" s="16">
        <v>23785</v>
      </c>
      <c r="Z599" s="16">
        <v>31815</v>
      </c>
      <c r="AA599" s="31">
        <v>55600</v>
      </c>
      <c r="AB599" s="32">
        <v>21782</v>
      </c>
      <c r="AC599" s="16">
        <v>43611</v>
      </c>
      <c r="AD599" s="31">
        <v>65393</v>
      </c>
      <c r="AE599" s="16">
        <v>21251</v>
      </c>
      <c r="AF599" s="16">
        <v>32967</v>
      </c>
      <c r="AG599" s="31">
        <v>54218</v>
      </c>
      <c r="AH599" s="16">
        <v>17873</v>
      </c>
      <c r="AI599" s="16">
        <v>25928</v>
      </c>
      <c r="AJ599" s="31">
        <v>43801</v>
      </c>
      <c r="AK599" s="16">
        <v>16764</v>
      </c>
      <c r="AL599" s="16">
        <v>21357</v>
      </c>
      <c r="AM599" s="31">
        <v>38121</v>
      </c>
      <c r="AN599" s="16">
        <v>27157</v>
      </c>
      <c r="AO599" s="16">
        <v>34366</v>
      </c>
      <c r="AP599" s="31">
        <v>61523</v>
      </c>
      <c r="AQ599" s="42"/>
      <c r="AR599" s="43"/>
      <c r="AS599" s="42"/>
      <c r="AT599" s="42"/>
    </row>
    <row r="600" spans="1:46" ht="12.9" customHeight="1" x14ac:dyDescent="0.25">
      <c r="A600" s="28" t="s">
        <v>1230</v>
      </c>
      <c r="B600" s="29" t="s">
        <v>1231</v>
      </c>
      <c r="C600" s="30" t="s">
        <v>110</v>
      </c>
      <c r="D600" s="40">
        <v>477379</v>
      </c>
      <c r="E600" s="26">
        <v>350902</v>
      </c>
      <c r="F600" s="26">
        <f t="shared" si="18"/>
        <v>828281</v>
      </c>
      <c r="G600" s="40">
        <v>472472</v>
      </c>
      <c r="H600" s="26">
        <v>338687</v>
      </c>
      <c r="I600" s="27">
        <f t="shared" si="19"/>
        <v>811159</v>
      </c>
      <c r="J600" s="40">
        <v>476298</v>
      </c>
      <c r="K600" s="26">
        <v>309684</v>
      </c>
      <c r="L600" s="27">
        <v>785982</v>
      </c>
      <c r="M600" s="26">
        <v>469228</v>
      </c>
      <c r="N600" s="26">
        <v>315338</v>
      </c>
      <c r="O600" s="27">
        <v>784566</v>
      </c>
      <c r="P600" s="26">
        <v>493926</v>
      </c>
      <c r="Q600" s="26">
        <v>276931</v>
      </c>
      <c r="R600" s="27">
        <v>770857</v>
      </c>
      <c r="S600" s="26">
        <v>472318</v>
      </c>
      <c r="T600" s="26">
        <v>336925</v>
      </c>
      <c r="U600" s="27">
        <v>809243</v>
      </c>
      <c r="V600" s="26">
        <v>448654</v>
      </c>
      <c r="W600" s="26">
        <v>283981</v>
      </c>
      <c r="X600" s="31">
        <v>732635</v>
      </c>
      <c r="Y600" s="16">
        <v>437719</v>
      </c>
      <c r="Z600" s="16">
        <v>243496</v>
      </c>
      <c r="AA600" s="31">
        <v>681215</v>
      </c>
      <c r="AB600" s="32">
        <v>427356</v>
      </c>
      <c r="AC600" s="16">
        <v>273283</v>
      </c>
      <c r="AD600" s="31">
        <v>700639</v>
      </c>
      <c r="AE600" s="16">
        <v>409691</v>
      </c>
      <c r="AF600" s="16">
        <v>258821</v>
      </c>
      <c r="AG600" s="31">
        <v>668512</v>
      </c>
      <c r="AH600" s="16">
        <v>386039</v>
      </c>
      <c r="AI600" s="16">
        <v>224686</v>
      </c>
      <c r="AJ600" s="31">
        <v>610725</v>
      </c>
      <c r="AK600" s="16">
        <v>462036</v>
      </c>
      <c r="AL600" s="16">
        <v>227417</v>
      </c>
      <c r="AM600" s="31">
        <v>689453</v>
      </c>
      <c r="AN600" s="16">
        <v>466061</v>
      </c>
      <c r="AO600" s="16">
        <v>237375</v>
      </c>
      <c r="AP600" s="31">
        <v>703436</v>
      </c>
      <c r="AQ600" s="42"/>
      <c r="AR600" s="43"/>
      <c r="AS600" s="42"/>
      <c r="AT600" s="42"/>
    </row>
    <row r="601" spans="1:46" ht="12.9" customHeight="1" x14ac:dyDescent="0.25">
      <c r="A601" s="28" t="s">
        <v>1232</v>
      </c>
      <c r="B601" s="29" t="s">
        <v>1233</v>
      </c>
      <c r="C601" s="30" t="s">
        <v>191</v>
      </c>
      <c r="D601" s="40">
        <v>25183</v>
      </c>
      <c r="E601" s="26">
        <v>2916</v>
      </c>
      <c r="F601" s="26">
        <f t="shared" si="18"/>
        <v>28099</v>
      </c>
      <c r="G601" s="40">
        <v>25091</v>
      </c>
      <c r="H601" s="26">
        <v>3609</v>
      </c>
      <c r="I601" s="27">
        <f t="shared" si="19"/>
        <v>28700</v>
      </c>
      <c r="J601" s="40">
        <v>25285</v>
      </c>
      <c r="K601" s="26">
        <v>3103</v>
      </c>
      <c r="L601" s="27">
        <v>28388</v>
      </c>
      <c r="M601" s="26">
        <v>25481</v>
      </c>
      <c r="N601" s="26">
        <v>1777</v>
      </c>
      <c r="O601" s="27">
        <v>27258</v>
      </c>
      <c r="P601" s="26">
        <v>25235</v>
      </c>
      <c r="Q601" s="26">
        <v>1391</v>
      </c>
      <c r="R601" s="27">
        <v>26626</v>
      </c>
      <c r="S601" s="26">
        <v>24313</v>
      </c>
      <c r="T601" s="26">
        <v>1938</v>
      </c>
      <c r="U601" s="27">
        <v>26251</v>
      </c>
      <c r="V601" s="26">
        <v>22542</v>
      </c>
      <c r="W601" s="26">
        <v>3299</v>
      </c>
      <c r="X601" s="31">
        <v>25841</v>
      </c>
      <c r="Y601" s="16">
        <v>24963</v>
      </c>
      <c r="Z601" s="16">
        <v>1929</v>
      </c>
      <c r="AA601" s="31">
        <v>26892</v>
      </c>
      <c r="AB601" s="32">
        <v>24392</v>
      </c>
      <c r="AC601" s="16">
        <v>1425</v>
      </c>
      <c r="AD601" s="31">
        <v>25817</v>
      </c>
      <c r="AE601" s="16">
        <v>24816</v>
      </c>
      <c r="AF601" s="16">
        <v>1776</v>
      </c>
      <c r="AG601" s="31">
        <v>26592</v>
      </c>
      <c r="AH601" s="16">
        <v>24561</v>
      </c>
      <c r="AI601" s="16">
        <v>1136</v>
      </c>
      <c r="AJ601" s="31">
        <v>25697</v>
      </c>
      <c r="AK601" s="16">
        <v>17232</v>
      </c>
      <c r="AL601" s="16">
        <v>820</v>
      </c>
      <c r="AM601" s="31">
        <v>18052</v>
      </c>
      <c r="AN601" s="16">
        <v>21591</v>
      </c>
      <c r="AO601" s="16">
        <v>591</v>
      </c>
      <c r="AP601" s="31">
        <v>22182</v>
      </c>
      <c r="AQ601" s="42"/>
      <c r="AR601" s="43"/>
      <c r="AS601" s="42"/>
      <c r="AT601" s="42"/>
    </row>
    <row r="602" spans="1:46" ht="12.9" customHeight="1" x14ac:dyDescent="0.25">
      <c r="A602" s="28" t="s">
        <v>1234</v>
      </c>
      <c r="B602" s="29" t="s">
        <v>1235</v>
      </c>
      <c r="C602" s="30" t="s">
        <v>42</v>
      </c>
      <c r="D602" s="40">
        <v>9203</v>
      </c>
      <c r="E602" s="26">
        <v>144</v>
      </c>
      <c r="F602" s="26">
        <f t="shared" si="18"/>
        <v>9347</v>
      </c>
      <c r="G602" s="40">
        <v>12542</v>
      </c>
      <c r="H602" s="26">
        <v>219</v>
      </c>
      <c r="I602" s="27">
        <f t="shared" si="19"/>
        <v>12761</v>
      </c>
      <c r="J602" s="40">
        <v>10291</v>
      </c>
      <c r="K602" s="26">
        <v>60</v>
      </c>
      <c r="L602" s="27">
        <v>10351</v>
      </c>
      <c r="M602" s="26">
        <v>10032</v>
      </c>
      <c r="N602" s="26">
        <v>227</v>
      </c>
      <c r="O602" s="27">
        <v>10259</v>
      </c>
      <c r="P602" s="26">
        <v>10157</v>
      </c>
      <c r="Q602" s="26">
        <v>78</v>
      </c>
      <c r="R602" s="27">
        <v>10235</v>
      </c>
      <c r="S602" s="26">
        <v>9637</v>
      </c>
      <c r="T602" s="26">
        <v>83</v>
      </c>
      <c r="U602" s="27">
        <v>9720</v>
      </c>
      <c r="V602" s="26">
        <v>10042</v>
      </c>
      <c r="W602" s="26">
        <v>75</v>
      </c>
      <c r="X602" s="31">
        <v>10117</v>
      </c>
      <c r="Y602" s="16">
        <v>9260</v>
      </c>
      <c r="Z602" s="16">
        <v>71</v>
      </c>
      <c r="AA602" s="31">
        <v>9331</v>
      </c>
      <c r="AB602" s="32">
        <v>11323</v>
      </c>
      <c r="AC602" s="16">
        <v>74</v>
      </c>
      <c r="AD602" s="31">
        <v>11397</v>
      </c>
      <c r="AE602" s="16">
        <v>10246</v>
      </c>
      <c r="AF602" s="16">
        <v>61</v>
      </c>
      <c r="AG602" s="31">
        <v>10307</v>
      </c>
      <c r="AH602" s="16">
        <v>9636</v>
      </c>
      <c r="AI602" s="16">
        <v>68</v>
      </c>
      <c r="AJ602" s="31">
        <v>9704</v>
      </c>
      <c r="AK602" s="16">
        <v>10149</v>
      </c>
      <c r="AL602" s="16">
        <v>860</v>
      </c>
      <c r="AM602" s="31">
        <v>11009</v>
      </c>
      <c r="AN602" s="16">
        <v>10149</v>
      </c>
      <c r="AO602" s="16">
        <v>960</v>
      </c>
      <c r="AP602" s="31">
        <v>11109</v>
      </c>
      <c r="AQ602" s="42"/>
      <c r="AR602" s="43"/>
      <c r="AS602" s="42"/>
      <c r="AT602" s="42"/>
    </row>
    <row r="603" spans="1:46" ht="12.9" customHeight="1" x14ac:dyDescent="0.25">
      <c r="A603" s="28" t="s">
        <v>1236</v>
      </c>
      <c r="B603" s="29" t="s">
        <v>1237</v>
      </c>
      <c r="C603" s="30" t="s">
        <v>29</v>
      </c>
      <c r="D603" s="40">
        <v>45536</v>
      </c>
      <c r="E603" s="26">
        <v>793565</v>
      </c>
      <c r="F603" s="26">
        <f t="shared" si="18"/>
        <v>839101</v>
      </c>
      <c r="G603" s="40">
        <v>48521</v>
      </c>
      <c r="H603" s="26">
        <v>791682</v>
      </c>
      <c r="I603" s="27">
        <f t="shared" si="19"/>
        <v>840203</v>
      </c>
      <c r="J603" s="40">
        <v>47108</v>
      </c>
      <c r="K603" s="26">
        <v>908081</v>
      </c>
      <c r="L603" s="27">
        <v>955189</v>
      </c>
      <c r="M603" s="26">
        <v>44913</v>
      </c>
      <c r="N603" s="26">
        <v>893145</v>
      </c>
      <c r="O603" s="27">
        <v>938058</v>
      </c>
      <c r="P603" s="26">
        <v>41923</v>
      </c>
      <c r="Q603" s="26">
        <v>872777</v>
      </c>
      <c r="R603" s="27">
        <v>914700</v>
      </c>
      <c r="S603" s="26">
        <v>42317</v>
      </c>
      <c r="T603" s="26">
        <v>907025</v>
      </c>
      <c r="U603" s="27">
        <v>949342</v>
      </c>
      <c r="V603" s="26">
        <v>36040</v>
      </c>
      <c r="W603" s="26">
        <v>878862</v>
      </c>
      <c r="X603" s="31">
        <v>914902</v>
      </c>
      <c r="Y603" s="16">
        <v>39329</v>
      </c>
      <c r="Z603" s="16">
        <v>934235</v>
      </c>
      <c r="AA603" s="31">
        <v>973564</v>
      </c>
      <c r="AB603" s="32">
        <v>41795</v>
      </c>
      <c r="AC603" s="16">
        <v>849046</v>
      </c>
      <c r="AD603" s="31">
        <v>890841</v>
      </c>
      <c r="AE603" s="16">
        <v>37106</v>
      </c>
      <c r="AF603" s="16">
        <v>884167</v>
      </c>
      <c r="AG603" s="31">
        <v>921273</v>
      </c>
      <c r="AH603" s="16">
        <v>33235</v>
      </c>
      <c r="AI603" s="16">
        <v>868393</v>
      </c>
      <c r="AJ603" s="31">
        <v>901628</v>
      </c>
      <c r="AK603" s="16">
        <v>35426</v>
      </c>
      <c r="AL603" s="16">
        <v>809983</v>
      </c>
      <c r="AM603" s="31">
        <v>845409</v>
      </c>
      <c r="AN603" s="16">
        <v>38453</v>
      </c>
      <c r="AO603" s="16">
        <v>773709</v>
      </c>
      <c r="AP603" s="31">
        <v>812162</v>
      </c>
      <c r="AQ603" s="42"/>
      <c r="AR603" s="43"/>
      <c r="AS603" s="42"/>
      <c r="AT603" s="42"/>
    </row>
    <row r="604" spans="1:46" ht="12.9" customHeight="1" x14ac:dyDescent="0.25">
      <c r="A604" s="28" t="s">
        <v>1238</v>
      </c>
      <c r="B604" s="29" t="s">
        <v>1239</v>
      </c>
      <c r="C604" s="30" t="s">
        <v>184</v>
      </c>
      <c r="D604" s="40">
        <v>140200</v>
      </c>
      <c r="E604" s="26">
        <v>102571</v>
      </c>
      <c r="F604" s="26">
        <f t="shared" si="18"/>
        <v>242771</v>
      </c>
      <c r="G604" s="40">
        <v>136500</v>
      </c>
      <c r="H604" s="26">
        <v>99125</v>
      </c>
      <c r="I604" s="27">
        <f t="shared" si="19"/>
        <v>235625</v>
      </c>
      <c r="J604" s="40">
        <v>134206</v>
      </c>
      <c r="K604" s="26">
        <v>102341</v>
      </c>
      <c r="L604" s="27">
        <v>236547</v>
      </c>
      <c r="M604" s="26">
        <v>147927</v>
      </c>
      <c r="N604" s="26">
        <v>107988</v>
      </c>
      <c r="O604" s="27">
        <v>255915</v>
      </c>
      <c r="P604" s="26">
        <v>142230</v>
      </c>
      <c r="Q604" s="26">
        <v>142611</v>
      </c>
      <c r="R604" s="27">
        <v>284841</v>
      </c>
      <c r="S604" s="26">
        <v>132984</v>
      </c>
      <c r="T604" s="26">
        <v>129290</v>
      </c>
      <c r="U604" s="27">
        <v>262274</v>
      </c>
      <c r="V604" s="26">
        <v>132488</v>
      </c>
      <c r="W604" s="26">
        <v>119850</v>
      </c>
      <c r="X604" s="31">
        <v>252338</v>
      </c>
      <c r="Y604" s="16">
        <v>133552</v>
      </c>
      <c r="Z604" s="16">
        <v>126094</v>
      </c>
      <c r="AA604" s="31">
        <v>259646</v>
      </c>
      <c r="AB604" s="32">
        <v>137601</v>
      </c>
      <c r="AC604" s="16">
        <v>110855</v>
      </c>
      <c r="AD604" s="31">
        <v>248456</v>
      </c>
      <c r="AE604" s="16">
        <v>137982</v>
      </c>
      <c r="AF604" s="16">
        <v>114852</v>
      </c>
      <c r="AG604" s="31">
        <v>252834</v>
      </c>
      <c r="AH604" s="16">
        <v>138184</v>
      </c>
      <c r="AI604" s="16">
        <v>118315</v>
      </c>
      <c r="AJ604" s="31">
        <v>256499</v>
      </c>
      <c r="AK604" s="16">
        <v>141575</v>
      </c>
      <c r="AL604" s="16">
        <v>99118</v>
      </c>
      <c r="AM604" s="31">
        <v>240693</v>
      </c>
      <c r="AN604" s="16">
        <v>132508</v>
      </c>
      <c r="AO604" s="16">
        <v>88947</v>
      </c>
      <c r="AP604" s="31">
        <v>221455</v>
      </c>
      <c r="AQ604" s="42"/>
      <c r="AR604" s="43"/>
      <c r="AS604" s="42"/>
      <c r="AT604" s="42"/>
    </row>
    <row r="605" spans="1:46" ht="12.9" customHeight="1" x14ac:dyDescent="0.25">
      <c r="A605" s="28" t="s">
        <v>1240</v>
      </c>
      <c r="B605" s="29" t="s">
        <v>1241</v>
      </c>
      <c r="C605" s="30" t="s">
        <v>17</v>
      </c>
      <c r="D605" s="40">
        <v>5707</v>
      </c>
      <c r="E605" s="26">
        <v>12477</v>
      </c>
      <c r="F605" s="26">
        <f t="shared" si="18"/>
        <v>18184</v>
      </c>
      <c r="G605" s="40">
        <v>9467</v>
      </c>
      <c r="H605" s="26">
        <v>12697</v>
      </c>
      <c r="I605" s="27">
        <f t="shared" si="19"/>
        <v>22164</v>
      </c>
      <c r="J605" s="40">
        <v>5227</v>
      </c>
      <c r="K605" s="26">
        <v>12483</v>
      </c>
      <c r="L605" s="27">
        <v>17710</v>
      </c>
      <c r="M605" s="26">
        <v>8562</v>
      </c>
      <c r="N605" s="26">
        <v>12618</v>
      </c>
      <c r="O605" s="27">
        <v>21180</v>
      </c>
      <c r="P605" s="26">
        <v>8910.756055363323</v>
      </c>
      <c r="Q605" s="26">
        <v>11313</v>
      </c>
      <c r="R605" s="27">
        <v>20223.756055363323</v>
      </c>
      <c r="S605" s="26">
        <v>8005</v>
      </c>
      <c r="T605" s="26">
        <v>72</v>
      </c>
      <c r="U605" s="27">
        <v>8077</v>
      </c>
      <c r="V605" s="26">
        <v>7680</v>
      </c>
      <c r="W605" s="26">
        <v>23</v>
      </c>
      <c r="X605" s="31">
        <v>7703</v>
      </c>
      <c r="Y605" s="16">
        <v>7680</v>
      </c>
      <c r="Z605" s="16">
        <v>288</v>
      </c>
      <c r="AA605" s="31">
        <v>7968</v>
      </c>
      <c r="AB605" s="32">
        <v>7680</v>
      </c>
      <c r="AC605" s="16">
        <v>592</v>
      </c>
      <c r="AD605" s="31">
        <v>8272</v>
      </c>
      <c r="AE605" s="16">
        <v>5477</v>
      </c>
      <c r="AF605" s="16">
        <v>18138</v>
      </c>
      <c r="AG605" s="31">
        <v>23615</v>
      </c>
      <c r="AH605" s="16">
        <v>5012</v>
      </c>
      <c r="AI605" s="16">
        <v>16569</v>
      </c>
      <c r="AJ605" s="31">
        <v>21581</v>
      </c>
      <c r="AK605" s="16">
        <v>5360</v>
      </c>
      <c r="AL605" s="16">
        <v>11838</v>
      </c>
      <c r="AM605" s="31">
        <v>17198</v>
      </c>
      <c r="AN605" s="16">
        <v>8210</v>
      </c>
      <c r="AO605" s="16">
        <v>50687</v>
      </c>
      <c r="AP605" s="31">
        <v>58897</v>
      </c>
      <c r="AQ605" s="42"/>
      <c r="AR605" s="43"/>
      <c r="AS605" s="42"/>
      <c r="AT605" s="42"/>
    </row>
    <row r="606" spans="1:46" ht="12.9" customHeight="1" x14ac:dyDescent="0.25">
      <c r="A606" s="28" t="s">
        <v>1242</v>
      </c>
      <c r="B606" s="29" t="s">
        <v>1243</v>
      </c>
      <c r="C606" s="30" t="s">
        <v>34</v>
      </c>
      <c r="D606" s="40">
        <v>52736</v>
      </c>
      <c r="E606" s="26">
        <v>31353</v>
      </c>
      <c r="F606" s="26">
        <f t="shared" si="18"/>
        <v>84089</v>
      </c>
      <c r="G606" s="40">
        <v>53686</v>
      </c>
      <c r="H606" s="26">
        <v>31775</v>
      </c>
      <c r="I606" s="27">
        <f t="shared" si="19"/>
        <v>85461</v>
      </c>
      <c r="J606" s="40">
        <v>54963</v>
      </c>
      <c r="K606" s="26">
        <v>30578</v>
      </c>
      <c r="L606" s="27">
        <v>85541</v>
      </c>
      <c r="M606" s="26">
        <v>58812</v>
      </c>
      <c r="N606" s="26">
        <v>39284</v>
      </c>
      <c r="O606" s="27">
        <v>98096</v>
      </c>
      <c r="P606" s="26">
        <v>54753</v>
      </c>
      <c r="Q606" s="26">
        <v>35345</v>
      </c>
      <c r="R606" s="27">
        <v>90098</v>
      </c>
      <c r="S606" s="26">
        <v>47447</v>
      </c>
      <c r="T606" s="26">
        <v>32391</v>
      </c>
      <c r="U606" s="27">
        <v>79838</v>
      </c>
      <c r="V606" s="26">
        <v>54727</v>
      </c>
      <c r="W606" s="26">
        <v>20168</v>
      </c>
      <c r="X606" s="31">
        <v>74895</v>
      </c>
      <c r="Y606" s="16">
        <v>66305</v>
      </c>
      <c r="Z606" s="16">
        <v>21318</v>
      </c>
      <c r="AA606" s="31">
        <v>87623</v>
      </c>
      <c r="AB606" s="32">
        <v>53464</v>
      </c>
      <c r="AC606" s="16">
        <v>15924</v>
      </c>
      <c r="AD606" s="31">
        <v>69388</v>
      </c>
      <c r="AE606" s="16">
        <v>55395</v>
      </c>
      <c r="AF606" s="16">
        <v>15183</v>
      </c>
      <c r="AG606" s="31">
        <v>70578</v>
      </c>
      <c r="AH606" s="16">
        <v>53662</v>
      </c>
      <c r="AI606" s="16">
        <v>10538</v>
      </c>
      <c r="AJ606" s="31">
        <v>64200</v>
      </c>
      <c r="AK606" s="16">
        <v>59120</v>
      </c>
      <c r="AL606" s="16">
        <v>10048</v>
      </c>
      <c r="AM606" s="31">
        <v>69168</v>
      </c>
      <c r="AN606" s="16">
        <v>59269</v>
      </c>
      <c r="AO606" s="16">
        <v>11814</v>
      </c>
      <c r="AP606" s="31">
        <v>71083</v>
      </c>
      <c r="AQ606" s="42"/>
      <c r="AR606" s="43"/>
      <c r="AS606" s="42"/>
      <c r="AT606" s="42"/>
    </row>
    <row r="607" spans="1:46" ht="12.9" customHeight="1" x14ac:dyDescent="0.25">
      <c r="A607" s="28" t="s">
        <v>1244</v>
      </c>
      <c r="B607" s="29" t="s">
        <v>1245</v>
      </c>
      <c r="C607" s="30" t="s">
        <v>153</v>
      </c>
      <c r="D607" s="40">
        <v>5960</v>
      </c>
      <c r="E607" s="26">
        <v>39395</v>
      </c>
      <c r="F607" s="26">
        <f t="shared" si="18"/>
        <v>45355</v>
      </c>
      <c r="G607" s="40">
        <v>6555</v>
      </c>
      <c r="H607" s="26">
        <v>36843</v>
      </c>
      <c r="I607" s="27">
        <f t="shared" si="19"/>
        <v>43398</v>
      </c>
      <c r="J607" s="40">
        <v>6951</v>
      </c>
      <c r="K607" s="26">
        <v>40584</v>
      </c>
      <c r="L607" s="27">
        <v>47535</v>
      </c>
      <c r="M607" s="26">
        <v>8342</v>
      </c>
      <c r="N607" s="26">
        <v>36087</v>
      </c>
      <c r="O607" s="27">
        <v>44429</v>
      </c>
      <c r="P607" s="26">
        <v>11269</v>
      </c>
      <c r="Q607" s="26">
        <v>41938</v>
      </c>
      <c r="R607" s="27">
        <v>53207</v>
      </c>
      <c r="S607" s="26">
        <v>9536</v>
      </c>
      <c r="T607" s="26">
        <v>2366</v>
      </c>
      <c r="U607" s="27">
        <v>11902</v>
      </c>
      <c r="V607" s="26">
        <v>9761</v>
      </c>
      <c r="W607" s="26">
        <v>1747</v>
      </c>
      <c r="X607" s="31">
        <v>11508</v>
      </c>
      <c r="Y607" s="16">
        <v>9297</v>
      </c>
      <c r="Z607" s="16">
        <v>2518</v>
      </c>
      <c r="AA607" s="31">
        <v>11815</v>
      </c>
      <c r="AB607" s="32">
        <v>5546</v>
      </c>
      <c r="AC607" s="16">
        <v>1534</v>
      </c>
      <c r="AD607" s="31">
        <v>7080</v>
      </c>
      <c r="AE607" s="16">
        <v>6076</v>
      </c>
      <c r="AF607" s="16">
        <v>1763</v>
      </c>
      <c r="AG607" s="31">
        <v>7839</v>
      </c>
      <c r="AH607" s="16">
        <v>6607</v>
      </c>
      <c r="AI607" s="16">
        <v>1775</v>
      </c>
      <c r="AJ607" s="31">
        <v>8382</v>
      </c>
      <c r="AK607" s="16">
        <v>9956</v>
      </c>
      <c r="AL607" s="16">
        <v>1969</v>
      </c>
      <c r="AM607" s="31">
        <v>11925</v>
      </c>
      <c r="AN607" s="16">
        <v>8876</v>
      </c>
      <c r="AO607" s="16">
        <v>2714</v>
      </c>
      <c r="AP607" s="31">
        <v>11590</v>
      </c>
      <c r="AQ607" s="42"/>
      <c r="AR607" s="43"/>
      <c r="AS607" s="42"/>
      <c r="AT607" s="42"/>
    </row>
    <row r="608" spans="1:46" ht="12.9" customHeight="1" x14ac:dyDescent="0.25">
      <c r="A608" s="28" t="s">
        <v>1246</v>
      </c>
      <c r="B608" s="29" t="s">
        <v>1247</v>
      </c>
      <c r="C608" s="30" t="s">
        <v>184</v>
      </c>
      <c r="D608" s="40">
        <v>801</v>
      </c>
      <c r="E608" s="26">
        <v>10364</v>
      </c>
      <c r="F608" s="26">
        <f t="shared" si="18"/>
        <v>11165</v>
      </c>
      <c r="G608" s="40">
        <v>828</v>
      </c>
      <c r="H608" s="26">
        <v>6744</v>
      </c>
      <c r="I608" s="27">
        <f t="shared" si="19"/>
        <v>7572</v>
      </c>
      <c r="J608" s="40">
        <v>1139</v>
      </c>
      <c r="K608" s="26">
        <v>314</v>
      </c>
      <c r="L608" s="27">
        <v>1453</v>
      </c>
      <c r="M608" s="26">
        <v>1122</v>
      </c>
      <c r="N608" s="26">
        <v>201</v>
      </c>
      <c r="O608" s="27">
        <v>1323</v>
      </c>
      <c r="P608" s="26">
        <v>731</v>
      </c>
      <c r="Q608" s="26">
        <v>1858</v>
      </c>
      <c r="R608" s="27">
        <v>2589</v>
      </c>
      <c r="S608" s="26">
        <v>521</v>
      </c>
      <c r="T608" s="26">
        <v>115</v>
      </c>
      <c r="U608" s="27">
        <v>636</v>
      </c>
      <c r="V608" s="26">
        <v>351</v>
      </c>
      <c r="W608" s="26">
        <v>133</v>
      </c>
      <c r="X608" s="31">
        <v>484</v>
      </c>
      <c r="Y608" s="16">
        <v>580</v>
      </c>
      <c r="Z608" s="16">
        <v>208</v>
      </c>
      <c r="AA608" s="31">
        <v>788</v>
      </c>
      <c r="AB608" s="32">
        <v>485</v>
      </c>
      <c r="AC608" s="16">
        <v>378</v>
      </c>
      <c r="AD608" s="31">
        <v>863</v>
      </c>
      <c r="AE608" s="16">
        <v>476</v>
      </c>
      <c r="AF608" s="16">
        <v>456</v>
      </c>
      <c r="AG608" s="31">
        <v>932</v>
      </c>
      <c r="AH608" s="16">
        <v>531</v>
      </c>
      <c r="AI608" s="16">
        <v>267</v>
      </c>
      <c r="AJ608" s="31">
        <v>798</v>
      </c>
      <c r="AK608" s="16">
        <v>612</v>
      </c>
      <c r="AL608" s="16">
        <v>273</v>
      </c>
      <c r="AM608" s="31">
        <v>885</v>
      </c>
      <c r="AN608" s="16">
        <v>468</v>
      </c>
      <c r="AO608" s="16">
        <v>29675</v>
      </c>
      <c r="AP608" s="31">
        <v>30143</v>
      </c>
      <c r="AQ608" s="42"/>
      <c r="AR608" s="43"/>
      <c r="AS608" s="42"/>
      <c r="AT608" s="42"/>
    </row>
    <row r="609" spans="1:46" ht="12.9" customHeight="1" x14ac:dyDescent="0.25">
      <c r="A609" s="28" t="s">
        <v>1248</v>
      </c>
      <c r="B609" s="29" t="s">
        <v>1249</v>
      </c>
      <c r="C609" s="30" t="s">
        <v>274</v>
      </c>
      <c r="D609" s="40">
        <v>126736</v>
      </c>
      <c r="E609" s="26">
        <v>64855</v>
      </c>
      <c r="F609" s="26">
        <f t="shared" si="18"/>
        <v>191591</v>
      </c>
      <c r="G609" s="40">
        <v>133840</v>
      </c>
      <c r="H609" s="26">
        <v>95732</v>
      </c>
      <c r="I609" s="27">
        <f t="shared" si="19"/>
        <v>229572</v>
      </c>
      <c r="J609" s="40">
        <v>158614</v>
      </c>
      <c r="K609" s="26">
        <v>62653</v>
      </c>
      <c r="L609" s="27">
        <v>221267</v>
      </c>
      <c r="M609" s="26">
        <v>161463</v>
      </c>
      <c r="N609" s="26">
        <v>68677</v>
      </c>
      <c r="O609" s="27">
        <v>230140</v>
      </c>
      <c r="P609" s="26">
        <v>153121</v>
      </c>
      <c r="Q609" s="26">
        <v>79696</v>
      </c>
      <c r="R609" s="27">
        <v>232817</v>
      </c>
      <c r="S609" s="26">
        <v>148506</v>
      </c>
      <c r="T609" s="26">
        <v>79009</v>
      </c>
      <c r="U609" s="27">
        <v>227515</v>
      </c>
      <c r="V609" s="26">
        <v>133783</v>
      </c>
      <c r="W609" s="26">
        <v>73889</v>
      </c>
      <c r="X609" s="31">
        <v>207672</v>
      </c>
      <c r="Y609" s="16">
        <v>133988</v>
      </c>
      <c r="Z609" s="16">
        <v>57495</v>
      </c>
      <c r="AA609" s="31">
        <v>191483</v>
      </c>
      <c r="AB609" s="32">
        <v>133933</v>
      </c>
      <c r="AC609" s="16">
        <v>50477</v>
      </c>
      <c r="AD609" s="31">
        <v>184410</v>
      </c>
      <c r="AE609" s="16">
        <v>138555</v>
      </c>
      <c r="AF609" s="16">
        <v>42237</v>
      </c>
      <c r="AG609" s="31">
        <v>180792</v>
      </c>
      <c r="AH609" s="16">
        <v>128382</v>
      </c>
      <c r="AI609" s="16">
        <v>45950</v>
      </c>
      <c r="AJ609" s="31">
        <v>174332</v>
      </c>
      <c r="AK609" s="16">
        <v>123119</v>
      </c>
      <c r="AL609" s="16">
        <v>46176</v>
      </c>
      <c r="AM609" s="31">
        <v>169295</v>
      </c>
      <c r="AN609" s="16">
        <v>147289</v>
      </c>
      <c r="AO609" s="16">
        <v>43829</v>
      </c>
      <c r="AP609" s="31">
        <v>191118</v>
      </c>
      <c r="AQ609" s="42"/>
      <c r="AR609" s="43"/>
      <c r="AS609" s="42"/>
      <c r="AT609" s="42"/>
    </row>
    <row r="610" spans="1:46" ht="12.9" customHeight="1" x14ac:dyDescent="0.25">
      <c r="A610" s="28" t="s">
        <v>1250</v>
      </c>
      <c r="B610" s="29" t="s">
        <v>1251</v>
      </c>
      <c r="C610" s="30" t="s">
        <v>384</v>
      </c>
      <c r="D610" s="40">
        <v>10659</v>
      </c>
      <c r="E610" s="26">
        <v>161547</v>
      </c>
      <c r="F610" s="26">
        <f t="shared" si="18"/>
        <v>172206</v>
      </c>
      <c r="G610" s="40">
        <v>11494</v>
      </c>
      <c r="H610" s="26">
        <v>145925</v>
      </c>
      <c r="I610" s="27">
        <f t="shared" si="19"/>
        <v>157419</v>
      </c>
      <c r="J610" s="40">
        <v>12602</v>
      </c>
      <c r="K610" s="26">
        <v>154591</v>
      </c>
      <c r="L610" s="27">
        <v>167193</v>
      </c>
      <c r="M610" s="26">
        <v>11988</v>
      </c>
      <c r="N610" s="26">
        <v>57786</v>
      </c>
      <c r="O610" s="27">
        <v>69774</v>
      </c>
      <c r="P610" s="26">
        <v>12600</v>
      </c>
      <c r="Q610" s="26">
        <v>94980</v>
      </c>
      <c r="R610" s="27">
        <v>107580</v>
      </c>
      <c r="S610" s="26">
        <v>11398</v>
      </c>
      <c r="T610" s="26">
        <v>64324</v>
      </c>
      <c r="U610" s="27">
        <v>75722</v>
      </c>
      <c r="V610" s="26">
        <v>10252</v>
      </c>
      <c r="W610" s="26">
        <v>112996</v>
      </c>
      <c r="X610" s="31">
        <v>123248</v>
      </c>
      <c r="Y610" s="16">
        <v>25236</v>
      </c>
      <c r="Z610" s="16">
        <v>72513</v>
      </c>
      <c r="AA610" s="31">
        <v>97749</v>
      </c>
      <c r="AB610" s="32">
        <v>25200</v>
      </c>
      <c r="AC610" s="16">
        <v>73125</v>
      </c>
      <c r="AD610" s="31">
        <v>98325</v>
      </c>
      <c r="AE610" s="16">
        <v>24930</v>
      </c>
      <c r="AF610" s="16">
        <v>105648</v>
      </c>
      <c r="AG610" s="31">
        <v>130578</v>
      </c>
      <c r="AH610" s="32" t="s">
        <v>160</v>
      </c>
      <c r="AI610" s="16">
        <v>41558</v>
      </c>
      <c r="AJ610" s="31">
        <v>41558</v>
      </c>
      <c r="AK610" s="16">
        <v>24732</v>
      </c>
      <c r="AL610" s="16">
        <v>75204</v>
      </c>
      <c r="AM610" s="31">
        <v>99936</v>
      </c>
      <c r="AN610" s="16">
        <v>20185.416000000001</v>
      </c>
      <c r="AO610" s="16">
        <v>141960.89199999999</v>
      </c>
      <c r="AP610" s="31">
        <v>162146.30799999999</v>
      </c>
      <c r="AQ610" s="42"/>
      <c r="AR610" s="43"/>
      <c r="AS610" s="42"/>
      <c r="AT610" s="42"/>
    </row>
    <row r="611" spans="1:46" ht="12.9" customHeight="1" x14ac:dyDescent="0.25">
      <c r="A611" s="28" t="s">
        <v>1252</v>
      </c>
      <c r="B611" s="29" t="s">
        <v>1253</v>
      </c>
      <c r="C611" s="30" t="s">
        <v>29</v>
      </c>
      <c r="D611" s="40">
        <v>61818</v>
      </c>
      <c r="E611" s="26">
        <v>1049</v>
      </c>
      <c r="F611" s="26">
        <f t="shared" si="18"/>
        <v>62867</v>
      </c>
      <c r="G611" s="40">
        <v>72007</v>
      </c>
      <c r="H611" s="26">
        <v>717</v>
      </c>
      <c r="I611" s="27">
        <f t="shared" si="19"/>
        <v>72724</v>
      </c>
      <c r="J611" s="40">
        <v>67510</v>
      </c>
      <c r="K611" s="26">
        <v>731</v>
      </c>
      <c r="L611" s="27">
        <v>68241</v>
      </c>
      <c r="M611" s="26">
        <v>54825</v>
      </c>
      <c r="N611" s="26">
        <v>529</v>
      </c>
      <c r="O611" s="27">
        <v>55354</v>
      </c>
      <c r="P611" s="26">
        <v>63845</v>
      </c>
      <c r="Q611" s="26">
        <v>447</v>
      </c>
      <c r="R611" s="27">
        <v>64292</v>
      </c>
      <c r="S611" s="26">
        <v>60950</v>
      </c>
      <c r="T611" s="26">
        <v>512</v>
      </c>
      <c r="U611" s="27">
        <v>61462</v>
      </c>
      <c r="V611" s="26">
        <v>54352</v>
      </c>
      <c r="W611" s="26">
        <v>368</v>
      </c>
      <c r="X611" s="31">
        <v>54720</v>
      </c>
      <c r="Y611" s="16">
        <v>59540</v>
      </c>
      <c r="Z611" s="16">
        <v>440</v>
      </c>
      <c r="AA611" s="31">
        <v>59980</v>
      </c>
      <c r="AB611" s="32">
        <v>56565</v>
      </c>
      <c r="AC611" s="16">
        <v>267</v>
      </c>
      <c r="AD611" s="31">
        <v>56832</v>
      </c>
      <c r="AE611" s="16">
        <v>57110</v>
      </c>
      <c r="AF611" s="16">
        <v>304</v>
      </c>
      <c r="AG611" s="31">
        <v>57414</v>
      </c>
      <c r="AH611" s="16">
        <v>58835.32</v>
      </c>
      <c r="AI611" s="16">
        <v>303</v>
      </c>
      <c r="AJ611" s="31">
        <v>59138.32</v>
      </c>
      <c r="AK611" s="16">
        <v>55343.32</v>
      </c>
      <c r="AL611" s="16">
        <v>275</v>
      </c>
      <c r="AM611" s="31">
        <v>55618.32</v>
      </c>
      <c r="AN611" s="16">
        <v>63000.32</v>
      </c>
      <c r="AO611" s="16">
        <v>275</v>
      </c>
      <c r="AP611" s="31">
        <v>63275.32</v>
      </c>
      <c r="AQ611" s="42"/>
      <c r="AR611" s="43"/>
      <c r="AS611" s="42"/>
      <c r="AT611" s="42"/>
    </row>
    <row r="612" spans="1:46" ht="12.9" customHeight="1" x14ac:dyDescent="0.25">
      <c r="A612" s="28" t="s">
        <v>1254</v>
      </c>
      <c r="B612" s="29" t="s">
        <v>1255</v>
      </c>
      <c r="C612" s="30" t="s">
        <v>23</v>
      </c>
      <c r="D612" s="40">
        <v>7167</v>
      </c>
      <c r="E612" s="26">
        <v>2113</v>
      </c>
      <c r="F612" s="26">
        <f t="shared" si="18"/>
        <v>9280</v>
      </c>
      <c r="G612" s="40">
        <v>7305</v>
      </c>
      <c r="H612" s="26">
        <v>1943</v>
      </c>
      <c r="I612" s="27">
        <f t="shared" si="19"/>
        <v>9248</v>
      </c>
      <c r="J612" s="40">
        <v>8258</v>
      </c>
      <c r="K612" s="26">
        <v>2249</v>
      </c>
      <c r="L612" s="27">
        <v>10507</v>
      </c>
      <c r="M612" s="26">
        <v>9064</v>
      </c>
      <c r="N612" s="26">
        <v>2491</v>
      </c>
      <c r="O612" s="27">
        <v>11555</v>
      </c>
      <c r="P612" s="26">
        <v>9102</v>
      </c>
      <c r="Q612" s="26">
        <v>2024</v>
      </c>
      <c r="R612" s="27">
        <v>11126</v>
      </c>
      <c r="S612" s="26">
        <v>8561</v>
      </c>
      <c r="T612" s="26">
        <v>2180</v>
      </c>
      <c r="U612" s="27">
        <v>10741</v>
      </c>
      <c r="V612" s="26">
        <v>8196</v>
      </c>
      <c r="W612" s="26">
        <v>2218</v>
      </c>
      <c r="X612" s="31">
        <v>10414</v>
      </c>
      <c r="Y612" s="16">
        <v>8352</v>
      </c>
      <c r="Z612" s="16">
        <v>2180</v>
      </c>
      <c r="AA612" s="31">
        <v>10532</v>
      </c>
      <c r="AB612" s="32">
        <v>8344</v>
      </c>
      <c r="AC612" s="16">
        <v>2010</v>
      </c>
      <c r="AD612" s="31">
        <v>10354</v>
      </c>
      <c r="AE612" s="16">
        <v>8303</v>
      </c>
      <c r="AF612" s="16">
        <v>2386</v>
      </c>
      <c r="AG612" s="31">
        <v>10689</v>
      </c>
      <c r="AH612" s="16">
        <v>9293</v>
      </c>
      <c r="AI612" s="16">
        <v>2119</v>
      </c>
      <c r="AJ612" s="31">
        <v>11412</v>
      </c>
      <c r="AK612" s="16">
        <v>9663</v>
      </c>
      <c r="AL612" s="16">
        <v>1381</v>
      </c>
      <c r="AM612" s="31">
        <v>11044</v>
      </c>
      <c r="AN612" s="16">
        <v>9517</v>
      </c>
      <c r="AO612" s="16">
        <v>1467</v>
      </c>
      <c r="AP612" s="31">
        <v>10984</v>
      </c>
      <c r="AQ612" s="42"/>
      <c r="AR612" s="43"/>
      <c r="AS612" s="42"/>
      <c r="AT612" s="42"/>
    </row>
    <row r="613" spans="1:46" ht="12.9" customHeight="1" x14ac:dyDescent="0.25">
      <c r="A613" s="28" t="s">
        <v>1256</v>
      </c>
      <c r="B613" s="29" t="s">
        <v>1257</v>
      </c>
      <c r="C613" s="30" t="s">
        <v>20</v>
      </c>
      <c r="D613" s="40">
        <v>22357</v>
      </c>
      <c r="E613" s="26">
        <v>25950</v>
      </c>
      <c r="F613" s="26">
        <f t="shared" si="18"/>
        <v>48307</v>
      </c>
      <c r="G613" s="40">
        <v>24343</v>
      </c>
      <c r="H613" s="26">
        <v>22364</v>
      </c>
      <c r="I613" s="27">
        <f t="shared" si="19"/>
        <v>46707</v>
      </c>
      <c r="J613" s="40">
        <v>29222</v>
      </c>
      <c r="K613" s="26">
        <v>28163</v>
      </c>
      <c r="L613" s="27">
        <v>57385</v>
      </c>
      <c r="M613" s="26">
        <v>29947</v>
      </c>
      <c r="N613" s="26">
        <v>25494</v>
      </c>
      <c r="O613" s="27">
        <v>55441</v>
      </c>
      <c r="P613" s="26">
        <v>26173</v>
      </c>
      <c r="Q613" s="26">
        <v>20446</v>
      </c>
      <c r="R613" s="27">
        <v>46619</v>
      </c>
      <c r="S613" s="26">
        <v>26538</v>
      </c>
      <c r="T613" s="26">
        <v>22519</v>
      </c>
      <c r="U613" s="27">
        <v>49057</v>
      </c>
      <c r="V613" s="26">
        <v>21759</v>
      </c>
      <c r="W613" s="26">
        <v>22819</v>
      </c>
      <c r="X613" s="31">
        <v>44578</v>
      </c>
      <c r="Y613" s="16">
        <v>25835</v>
      </c>
      <c r="Z613" s="16">
        <v>26767</v>
      </c>
      <c r="AA613" s="31">
        <v>52602</v>
      </c>
      <c r="AB613" s="32">
        <v>23349</v>
      </c>
      <c r="AC613" s="16">
        <v>24156</v>
      </c>
      <c r="AD613" s="31">
        <v>47505</v>
      </c>
      <c r="AE613" s="16">
        <v>23193</v>
      </c>
      <c r="AF613" s="16">
        <v>23437</v>
      </c>
      <c r="AG613" s="31">
        <v>46630</v>
      </c>
      <c r="AH613" s="16">
        <v>21314</v>
      </c>
      <c r="AI613" s="16">
        <v>32215</v>
      </c>
      <c r="AJ613" s="31">
        <v>53529</v>
      </c>
      <c r="AK613" s="16">
        <v>22835</v>
      </c>
      <c r="AL613" s="16">
        <v>25014</v>
      </c>
      <c r="AM613" s="31">
        <v>47849</v>
      </c>
      <c r="AN613" s="16">
        <v>25167</v>
      </c>
      <c r="AO613" s="16">
        <v>20583</v>
      </c>
      <c r="AP613" s="31">
        <v>45750</v>
      </c>
      <c r="AQ613" s="42"/>
      <c r="AR613" s="43"/>
      <c r="AS613" s="42"/>
      <c r="AT613" s="42"/>
    </row>
    <row r="614" spans="1:46" ht="12.9" customHeight="1" x14ac:dyDescent="0.25">
      <c r="A614" s="28" t="s">
        <v>1258</v>
      </c>
      <c r="B614" s="29" t="s">
        <v>1259</v>
      </c>
      <c r="C614" s="30" t="s">
        <v>177</v>
      </c>
      <c r="D614" s="40">
        <v>24366</v>
      </c>
      <c r="E614" s="26">
        <v>6465</v>
      </c>
      <c r="F614" s="26">
        <f t="shared" si="18"/>
        <v>30831</v>
      </c>
      <c r="G614" s="40">
        <v>24432</v>
      </c>
      <c r="H614" s="26">
        <v>6841</v>
      </c>
      <c r="I614" s="27">
        <f t="shared" si="19"/>
        <v>31273</v>
      </c>
      <c r="J614" s="40">
        <v>25242</v>
      </c>
      <c r="K614" s="26">
        <v>7164</v>
      </c>
      <c r="L614" s="27">
        <v>32406</v>
      </c>
      <c r="M614" s="26">
        <v>25987</v>
      </c>
      <c r="N614" s="26">
        <v>6124</v>
      </c>
      <c r="O614" s="27">
        <v>32111</v>
      </c>
      <c r="P614" s="26">
        <v>27752</v>
      </c>
      <c r="Q614" s="26">
        <v>8114</v>
      </c>
      <c r="R614" s="27">
        <v>35866</v>
      </c>
      <c r="S614" s="26">
        <v>26157</v>
      </c>
      <c r="T614" s="26">
        <v>8905</v>
      </c>
      <c r="U614" s="27">
        <v>35062</v>
      </c>
      <c r="V614" s="26">
        <v>26896</v>
      </c>
      <c r="W614" s="26">
        <v>7220</v>
      </c>
      <c r="X614" s="31">
        <v>34116</v>
      </c>
      <c r="Y614" s="16">
        <v>26802</v>
      </c>
      <c r="Z614" s="16">
        <v>5349</v>
      </c>
      <c r="AA614" s="31">
        <v>32151</v>
      </c>
      <c r="AB614" s="32">
        <v>27556</v>
      </c>
      <c r="AC614" s="16">
        <v>6151</v>
      </c>
      <c r="AD614" s="31">
        <v>33707</v>
      </c>
      <c r="AE614" s="16">
        <v>26290</v>
      </c>
      <c r="AF614" s="16">
        <v>9641</v>
      </c>
      <c r="AG614" s="31">
        <v>35931</v>
      </c>
      <c r="AH614" s="16">
        <v>26090</v>
      </c>
      <c r="AI614" s="16">
        <v>6396</v>
      </c>
      <c r="AJ614" s="31">
        <v>32486</v>
      </c>
      <c r="AK614" s="16">
        <v>27533</v>
      </c>
      <c r="AL614" s="16">
        <v>6578</v>
      </c>
      <c r="AM614" s="31">
        <v>34111</v>
      </c>
      <c r="AN614" s="16">
        <v>30649</v>
      </c>
      <c r="AO614" s="16">
        <v>4583</v>
      </c>
      <c r="AP614" s="31">
        <v>35232</v>
      </c>
      <c r="AQ614" s="42"/>
      <c r="AR614" s="43"/>
      <c r="AS614" s="42"/>
      <c r="AT614" s="42"/>
    </row>
    <row r="615" spans="1:46" ht="12.9" customHeight="1" x14ac:dyDescent="0.25">
      <c r="A615" s="28" t="s">
        <v>1260</v>
      </c>
      <c r="B615" s="29" t="s">
        <v>1261</v>
      </c>
      <c r="C615" s="30" t="s">
        <v>59</v>
      </c>
      <c r="D615" s="40">
        <v>16287</v>
      </c>
      <c r="E615" s="26">
        <v>37956</v>
      </c>
      <c r="F615" s="26">
        <f t="shared" si="18"/>
        <v>54243</v>
      </c>
      <c r="G615" s="40">
        <v>15382</v>
      </c>
      <c r="H615" s="26">
        <v>37476</v>
      </c>
      <c r="I615" s="27">
        <f t="shared" si="19"/>
        <v>52858</v>
      </c>
      <c r="J615" s="40">
        <v>18969</v>
      </c>
      <c r="K615" s="26">
        <v>49918</v>
      </c>
      <c r="L615" s="27">
        <v>68887</v>
      </c>
      <c r="M615" s="26">
        <v>17112</v>
      </c>
      <c r="N615" s="26">
        <v>48607</v>
      </c>
      <c r="O615" s="27">
        <v>65719</v>
      </c>
      <c r="P615" s="26">
        <v>16420</v>
      </c>
      <c r="Q615" s="26">
        <v>51488</v>
      </c>
      <c r="R615" s="27">
        <v>67908</v>
      </c>
      <c r="S615" s="26">
        <v>16141</v>
      </c>
      <c r="T615" s="26">
        <v>43376</v>
      </c>
      <c r="U615" s="27">
        <v>59517</v>
      </c>
      <c r="V615" s="26">
        <v>22328</v>
      </c>
      <c r="W615" s="26">
        <v>37469</v>
      </c>
      <c r="X615" s="31">
        <v>59797</v>
      </c>
      <c r="Y615" s="16">
        <v>16358</v>
      </c>
      <c r="Z615" s="16">
        <v>35409</v>
      </c>
      <c r="AA615" s="31">
        <v>51767</v>
      </c>
      <c r="AB615" s="32">
        <v>18887</v>
      </c>
      <c r="AC615" s="16">
        <v>31225</v>
      </c>
      <c r="AD615" s="31">
        <v>50112</v>
      </c>
      <c r="AE615" s="16">
        <v>17052</v>
      </c>
      <c r="AF615" s="16">
        <v>33034</v>
      </c>
      <c r="AG615" s="31">
        <v>50086</v>
      </c>
      <c r="AH615" s="16">
        <v>15709</v>
      </c>
      <c r="AI615" s="16">
        <v>23467</v>
      </c>
      <c r="AJ615" s="31">
        <v>39176</v>
      </c>
      <c r="AK615" s="16">
        <v>17259</v>
      </c>
      <c r="AL615" s="16">
        <v>19481</v>
      </c>
      <c r="AM615" s="31">
        <v>36740</v>
      </c>
      <c r="AN615" s="16">
        <v>19114</v>
      </c>
      <c r="AO615" s="16">
        <v>9463</v>
      </c>
      <c r="AP615" s="31">
        <v>28577</v>
      </c>
      <c r="AQ615" s="42"/>
      <c r="AR615" s="43"/>
      <c r="AS615" s="42"/>
      <c r="AT615" s="42"/>
    </row>
    <row r="616" spans="1:46" ht="12.9" customHeight="1" x14ac:dyDescent="0.25">
      <c r="A616" s="28" t="s">
        <v>1262</v>
      </c>
      <c r="B616" s="29" t="s">
        <v>1263</v>
      </c>
      <c r="C616" s="30" t="s">
        <v>197</v>
      </c>
      <c r="D616" s="40">
        <v>34453</v>
      </c>
      <c r="E616" s="26">
        <v>2556</v>
      </c>
      <c r="F616" s="26">
        <f t="shared" si="18"/>
        <v>37009</v>
      </c>
      <c r="G616" s="40">
        <v>47657</v>
      </c>
      <c r="H616" s="26">
        <v>3025</v>
      </c>
      <c r="I616" s="27">
        <f t="shared" si="19"/>
        <v>50682</v>
      </c>
      <c r="J616" s="40">
        <v>58592</v>
      </c>
      <c r="K616" s="26">
        <v>3115</v>
      </c>
      <c r="L616" s="27">
        <v>61707</v>
      </c>
      <c r="M616" s="26">
        <v>63227</v>
      </c>
      <c r="N616" s="26">
        <v>3074</v>
      </c>
      <c r="O616" s="27">
        <v>66301</v>
      </c>
      <c r="P616" s="26">
        <v>56286</v>
      </c>
      <c r="Q616" s="26">
        <v>3136</v>
      </c>
      <c r="R616" s="27">
        <v>59422</v>
      </c>
      <c r="S616" s="26">
        <v>53164</v>
      </c>
      <c r="T616" s="26">
        <v>2748</v>
      </c>
      <c r="U616" s="27">
        <v>55912</v>
      </c>
      <c r="V616" s="26">
        <v>50871</v>
      </c>
      <c r="W616" s="26">
        <v>3012</v>
      </c>
      <c r="X616" s="31">
        <v>53883</v>
      </c>
      <c r="Y616" s="16">
        <v>58257</v>
      </c>
      <c r="Z616" s="16">
        <v>2500</v>
      </c>
      <c r="AA616" s="31">
        <v>60757</v>
      </c>
      <c r="AB616" s="32">
        <v>57413</v>
      </c>
      <c r="AC616" s="16">
        <v>2891</v>
      </c>
      <c r="AD616" s="31">
        <v>60304</v>
      </c>
      <c r="AE616" s="16">
        <v>55214</v>
      </c>
      <c r="AF616" s="16">
        <v>1883</v>
      </c>
      <c r="AG616" s="31">
        <v>57097</v>
      </c>
      <c r="AH616" s="16">
        <v>50042</v>
      </c>
      <c r="AI616" s="16">
        <v>3135</v>
      </c>
      <c r="AJ616" s="31">
        <v>53177</v>
      </c>
      <c r="AK616" s="16">
        <v>53298</v>
      </c>
      <c r="AL616" s="16">
        <v>2545</v>
      </c>
      <c r="AM616" s="31">
        <v>55843</v>
      </c>
      <c r="AN616" s="16">
        <v>60494</v>
      </c>
      <c r="AO616" s="16">
        <v>1923</v>
      </c>
      <c r="AP616" s="31">
        <v>62417</v>
      </c>
      <c r="AQ616" s="42"/>
      <c r="AR616" s="43"/>
      <c r="AS616" s="42"/>
      <c r="AT616" s="42"/>
    </row>
    <row r="617" spans="1:46" ht="12.9" customHeight="1" x14ac:dyDescent="0.25">
      <c r="A617" s="28" t="s">
        <v>1264</v>
      </c>
      <c r="B617" s="29" t="s">
        <v>1265</v>
      </c>
      <c r="C617" s="30" t="s">
        <v>120</v>
      </c>
      <c r="D617" s="40">
        <v>5746</v>
      </c>
      <c r="E617" s="26">
        <v>789</v>
      </c>
      <c r="F617" s="26">
        <f t="shared" si="18"/>
        <v>6535</v>
      </c>
      <c r="G617" s="40">
        <v>5699</v>
      </c>
      <c r="H617" s="26">
        <v>1483</v>
      </c>
      <c r="I617" s="27">
        <f t="shared" si="19"/>
        <v>7182</v>
      </c>
      <c r="J617" s="40">
        <v>5649</v>
      </c>
      <c r="K617" s="26">
        <v>2525</v>
      </c>
      <c r="L617" s="27">
        <v>8174</v>
      </c>
      <c r="M617" s="26">
        <v>6098</v>
      </c>
      <c r="N617" s="26">
        <v>1881</v>
      </c>
      <c r="O617" s="27">
        <v>7979</v>
      </c>
      <c r="P617" s="26">
        <v>6496</v>
      </c>
      <c r="Q617" s="26">
        <v>2117</v>
      </c>
      <c r="R617" s="27">
        <v>8613</v>
      </c>
      <c r="S617" s="26">
        <v>5770</v>
      </c>
      <c r="T617" s="26">
        <v>1712</v>
      </c>
      <c r="U617" s="27">
        <v>7482</v>
      </c>
      <c r="V617" s="26">
        <v>5959</v>
      </c>
      <c r="W617" s="26">
        <v>2129</v>
      </c>
      <c r="X617" s="31">
        <v>8088</v>
      </c>
      <c r="Y617" s="16">
        <v>5428</v>
      </c>
      <c r="Z617" s="16">
        <v>1551</v>
      </c>
      <c r="AA617" s="31">
        <v>6979</v>
      </c>
      <c r="AB617" s="32">
        <v>6141</v>
      </c>
      <c r="AC617" s="16">
        <v>579</v>
      </c>
      <c r="AD617" s="31">
        <v>6720</v>
      </c>
      <c r="AE617" s="16">
        <v>5683</v>
      </c>
      <c r="AF617" s="16">
        <v>311</v>
      </c>
      <c r="AG617" s="31">
        <v>5994</v>
      </c>
      <c r="AH617" s="16">
        <v>6378</v>
      </c>
      <c r="AI617" s="16">
        <v>182</v>
      </c>
      <c r="AJ617" s="31">
        <v>6560</v>
      </c>
      <c r="AK617" s="16">
        <v>8017</v>
      </c>
      <c r="AL617" s="16">
        <v>273</v>
      </c>
      <c r="AM617" s="31">
        <v>8290</v>
      </c>
      <c r="AN617" s="16">
        <v>8017</v>
      </c>
      <c r="AO617" s="16">
        <v>273</v>
      </c>
      <c r="AP617" s="31">
        <v>8290</v>
      </c>
      <c r="AQ617" s="42"/>
      <c r="AR617" s="43"/>
      <c r="AS617" s="42"/>
      <c r="AT617" s="42"/>
    </row>
    <row r="618" spans="1:46" ht="12.9" customHeight="1" x14ac:dyDescent="0.25">
      <c r="A618" s="28" t="s">
        <v>1266</v>
      </c>
      <c r="B618" s="29" t="s">
        <v>1267</v>
      </c>
      <c r="C618" s="30" t="s">
        <v>56</v>
      </c>
      <c r="D618" s="40">
        <v>3945005</v>
      </c>
      <c r="E618" s="26">
        <v>2329356</v>
      </c>
      <c r="F618" s="26">
        <f t="shared" si="18"/>
        <v>6274361</v>
      </c>
      <c r="G618" s="40">
        <v>3959633</v>
      </c>
      <c r="H618" s="26">
        <v>2623755</v>
      </c>
      <c r="I618" s="27">
        <f t="shared" si="19"/>
        <v>6583388</v>
      </c>
      <c r="J618" s="40">
        <v>4014795</v>
      </c>
      <c r="K618" s="26">
        <v>2430076</v>
      </c>
      <c r="L618" s="27">
        <v>6444871</v>
      </c>
      <c r="M618" s="26">
        <v>4013669</v>
      </c>
      <c r="N618" s="26">
        <v>2585032</v>
      </c>
      <c r="O618" s="27">
        <v>6598701</v>
      </c>
      <c r="P618" s="26">
        <v>4191745</v>
      </c>
      <c r="Q618" s="26">
        <v>2296202</v>
      </c>
      <c r="R618" s="27">
        <v>6487947</v>
      </c>
      <c r="S618" s="26">
        <v>3968087</v>
      </c>
      <c r="T618" s="26">
        <v>2488448</v>
      </c>
      <c r="U618" s="27">
        <v>6456535</v>
      </c>
      <c r="V618" s="26">
        <v>3906659</v>
      </c>
      <c r="W618" s="26">
        <v>2390108</v>
      </c>
      <c r="X618" s="31">
        <v>6296767</v>
      </c>
      <c r="Y618" s="16">
        <v>3881865</v>
      </c>
      <c r="Z618" s="16">
        <v>2424463</v>
      </c>
      <c r="AA618" s="31">
        <v>6306328</v>
      </c>
      <c r="AB618" s="32">
        <v>3825359</v>
      </c>
      <c r="AC618" s="16">
        <v>2328818</v>
      </c>
      <c r="AD618" s="31">
        <v>6154177</v>
      </c>
      <c r="AE618" s="16">
        <v>3858916</v>
      </c>
      <c r="AF618" s="16">
        <v>2250957</v>
      </c>
      <c r="AG618" s="31">
        <v>6109873</v>
      </c>
      <c r="AH618" s="16">
        <v>3851325</v>
      </c>
      <c r="AI618" s="16">
        <v>2053734</v>
      </c>
      <c r="AJ618" s="31">
        <v>5905059</v>
      </c>
      <c r="AK618" s="16">
        <v>4032279</v>
      </c>
      <c r="AL618" s="16">
        <v>1756721</v>
      </c>
      <c r="AM618" s="31">
        <v>5789000</v>
      </c>
      <c r="AN618" s="16">
        <v>4156998</v>
      </c>
      <c r="AO618" s="16">
        <v>1852501</v>
      </c>
      <c r="AP618" s="31">
        <v>6009499</v>
      </c>
      <c r="AQ618" s="42"/>
      <c r="AR618" s="43"/>
      <c r="AS618" s="42"/>
      <c r="AT618" s="42"/>
    </row>
    <row r="619" spans="1:46" ht="12.9" customHeight="1" x14ac:dyDescent="0.25">
      <c r="A619" s="28" t="s">
        <v>1268</v>
      </c>
      <c r="B619" s="29" t="s">
        <v>1269</v>
      </c>
      <c r="C619" s="30" t="s">
        <v>95</v>
      </c>
      <c r="D619" s="40">
        <v>20221</v>
      </c>
      <c r="E619" s="26">
        <v>207083</v>
      </c>
      <c r="F619" s="26">
        <f t="shared" si="18"/>
        <v>227304</v>
      </c>
      <c r="G619" s="40">
        <v>22075</v>
      </c>
      <c r="H619" s="26">
        <v>188349</v>
      </c>
      <c r="I619" s="27">
        <f t="shared" si="19"/>
        <v>210424</v>
      </c>
      <c r="J619" s="40">
        <v>24065</v>
      </c>
      <c r="K619" s="26">
        <v>144956</v>
      </c>
      <c r="L619" s="27">
        <v>169021</v>
      </c>
      <c r="M619" s="26">
        <v>22996</v>
      </c>
      <c r="N619" s="26">
        <v>217744</v>
      </c>
      <c r="O619" s="27">
        <v>240740</v>
      </c>
      <c r="P619" s="26">
        <v>21109</v>
      </c>
      <c r="Q619" s="26">
        <v>152009</v>
      </c>
      <c r="R619" s="27">
        <v>173118</v>
      </c>
      <c r="S619" s="26">
        <v>22257</v>
      </c>
      <c r="T619" s="26">
        <v>176691</v>
      </c>
      <c r="U619" s="27">
        <v>198948</v>
      </c>
      <c r="V619" s="26">
        <v>25529</v>
      </c>
      <c r="W619" s="26">
        <v>202816</v>
      </c>
      <c r="X619" s="31">
        <v>228345</v>
      </c>
      <c r="Y619" s="16">
        <v>25529</v>
      </c>
      <c r="Z619" s="16">
        <v>129470</v>
      </c>
      <c r="AA619" s="31">
        <v>154999</v>
      </c>
      <c r="AB619" s="32">
        <v>25529</v>
      </c>
      <c r="AC619" s="16">
        <v>178779</v>
      </c>
      <c r="AD619" s="31">
        <v>204308</v>
      </c>
      <c r="AE619" s="16">
        <v>22106</v>
      </c>
      <c r="AF619" s="16">
        <v>151600</v>
      </c>
      <c r="AG619" s="31">
        <v>173706</v>
      </c>
      <c r="AH619" s="16">
        <v>30843</v>
      </c>
      <c r="AI619" s="16">
        <v>203949</v>
      </c>
      <c r="AJ619" s="31">
        <v>234792</v>
      </c>
      <c r="AK619" s="16">
        <v>30155.417915145412</v>
      </c>
      <c r="AL619" s="16">
        <v>135944.43687088849</v>
      </c>
      <c r="AM619" s="31">
        <v>166099.85478603389</v>
      </c>
      <c r="AN619" s="16">
        <v>56071.427000000003</v>
      </c>
      <c r="AO619" s="16">
        <v>252763</v>
      </c>
      <c r="AP619" s="31">
        <v>308834.42700000003</v>
      </c>
      <c r="AQ619" s="42"/>
      <c r="AR619" s="43"/>
      <c r="AS619" s="42"/>
      <c r="AT619" s="42"/>
    </row>
    <row r="620" spans="1:46" ht="12.9" customHeight="1" x14ac:dyDescent="0.25">
      <c r="A620" s="28" t="s">
        <v>1270</v>
      </c>
      <c r="B620" s="29" t="s">
        <v>1271</v>
      </c>
      <c r="C620" s="30" t="s">
        <v>29</v>
      </c>
      <c r="D620" s="40">
        <v>23703</v>
      </c>
      <c r="E620" s="26">
        <v>346540</v>
      </c>
      <c r="F620" s="26">
        <f t="shared" si="18"/>
        <v>370243</v>
      </c>
      <c r="G620" s="40">
        <v>26476</v>
      </c>
      <c r="H620" s="26">
        <v>374877</v>
      </c>
      <c r="I620" s="27">
        <f t="shared" si="19"/>
        <v>401353</v>
      </c>
      <c r="J620" s="40">
        <v>25711</v>
      </c>
      <c r="K620" s="26">
        <v>459932</v>
      </c>
      <c r="L620" s="27">
        <v>485643</v>
      </c>
      <c r="M620" s="26">
        <v>25819</v>
      </c>
      <c r="N620" s="26">
        <v>422362</v>
      </c>
      <c r="O620" s="27">
        <v>448181</v>
      </c>
      <c r="P620" s="26">
        <v>25398</v>
      </c>
      <c r="Q620" s="26">
        <v>486405</v>
      </c>
      <c r="R620" s="27">
        <v>511803</v>
      </c>
      <c r="S620" s="26">
        <v>23344</v>
      </c>
      <c r="T620" s="26">
        <v>477362</v>
      </c>
      <c r="U620" s="27">
        <v>500706</v>
      </c>
      <c r="V620" s="26">
        <v>24511</v>
      </c>
      <c r="W620" s="26">
        <v>523993</v>
      </c>
      <c r="X620" s="31">
        <v>548504</v>
      </c>
      <c r="Y620" s="16">
        <v>26266</v>
      </c>
      <c r="Z620" s="16">
        <v>587876</v>
      </c>
      <c r="AA620" s="31">
        <v>614142</v>
      </c>
      <c r="AB620" s="32">
        <v>24004</v>
      </c>
      <c r="AC620" s="16">
        <v>527181</v>
      </c>
      <c r="AD620" s="31">
        <v>551185</v>
      </c>
      <c r="AE620" s="16">
        <v>28539</v>
      </c>
      <c r="AF620" s="16">
        <v>483297</v>
      </c>
      <c r="AG620" s="31">
        <v>511836</v>
      </c>
      <c r="AH620" s="16">
        <v>25290</v>
      </c>
      <c r="AI620" s="16">
        <v>612011</v>
      </c>
      <c r="AJ620" s="31">
        <v>637301</v>
      </c>
      <c r="AK620" s="16">
        <v>37038</v>
      </c>
      <c r="AL620" s="16">
        <v>562260</v>
      </c>
      <c r="AM620" s="31">
        <v>599298</v>
      </c>
      <c r="AN620" s="16">
        <v>37038</v>
      </c>
      <c r="AO620" s="16">
        <v>528450</v>
      </c>
      <c r="AP620" s="31">
        <v>565488</v>
      </c>
      <c r="AQ620" s="42"/>
      <c r="AR620" s="43"/>
      <c r="AS620" s="42"/>
      <c r="AT620" s="42"/>
    </row>
    <row r="621" spans="1:46" ht="12.9" customHeight="1" x14ac:dyDescent="0.25">
      <c r="A621" s="28" t="s">
        <v>1272</v>
      </c>
      <c r="B621" s="29" t="s">
        <v>1273</v>
      </c>
      <c r="C621" s="30" t="s">
        <v>177</v>
      </c>
      <c r="D621" s="40">
        <v>50630</v>
      </c>
      <c r="E621" s="26">
        <v>5438</v>
      </c>
      <c r="F621" s="26">
        <f t="shared" si="18"/>
        <v>56068</v>
      </c>
      <c r="G621" s="40">
        <v>49458</v>
      </c>
      <c r="H621" s="26">
        <v>5477</v>
      </c>
      <c r="I621" s="27">
        <f t="shared" si="19"/>
        <v>54935</v>
      </c>
      <c r="J621" s="40">
        <v>50445</v>
      </c>
      <c r="K621" s="26">
        <v>4960</v>
      </c>
      <c r="L621" s="27">
        <v>55405</v>
      </c>
      <c r="M621" s="26">
        <v>50191</v>
      </c>
      <c r="N621" s="26">
        <v>4099</v>
      </c>
      <c r="O621" s="27">
        <v>54290</v>
      </c>
      <c r="P621" s="26">
        <v>46694</v>
      </c>
      <c r="Q621" s="26">
        <v>4250</v>
      </c>
      <c r="R621" s="27">
        <v>50944</v>
      </c>
      <c r="S621" s="26">
        <v>51339</v>
      </c>
      <c r="T621" s="26">
        <v>3373</v>
      </c>
      <c r="U621" s="27">
        <v>54712</v>
      </c>
      <c r="V621" s="26">
        <v>50072</v>
      </c>
      <c r="W621" s="26">
        <v>4917</v>
      </c>
      <c r="X621" s="31">
        <v>54989</v>
      </c>
      <c r="Y621" s="16">
        <v>50151</v>
      </c>
      <c r="Z621" s="16">
        <v>4874</v>
      </c>
      <c r="AA621" s="31">
        <v>55025</v>
      </c>
      <c r="AB621" s="32">
        <v>56362</v>
      </c>
      <c r="AC621" s="16">
        <v>6259</v>
      </c>
      <c r="AD621" s="31">
        <v>62621</v>
      </c>
      <c r="AE621" s="16">
        <v>55568</v>
      </c>
      <c r="AF621" s="16">
        <v>5170</v>
      </c>
      <c r="AG621" s="31">
        <v>60738</v>
      </c>
      <c r="AH621" s="16">
        <v>53766</v>
      </c>
      <c r="AI621" s="16">
        <v>4341</v>
      </c>
      <c r="AJ621" s="31">
        <v>58107</v>
      </c>
      <c r="AK621" s="16">
        <v>63538</v>
      </c>
      <c r="AL621" s="16">
        <v>4560</v>
      </c>
      <c r="AM621" s="31">
        <v>68098</v>
      </c>
      <c r="AN621" s="16">
        <v>63538</v>
      </c>
      <c r="AO621" s="16">
        <v>5854</v>
      </c>
      <c r="AP621" s="31">
        <v>69392</v>
      </c>
      <c r="AQ621" s="42"/>
      <c r="AR621" s="43"/>
      <c r="AS621" s="42"/>
      <c r="AT621" s="42"/>
    </row>
    <row r="622" spans="1:46" ht="12.9" customHeight="1" x14ac:dyDescent="0.25">
      <c r="A622" s="28" t="s">
        <v>1274</v>
      </c>
      <c r="B622" s="29" t="s">
        <v>1275</v>
      </c>
      <c r="C622" s="30" t="s">
        <v>281</v>
      </c>
      <c r="D622" s="40">
        <v>16435</v>
      </c>
      <c r="E622" s="26">
        <v>16808</v>
      </c>
      <c r="F622" s="26">
        <f t="shared" si="18"/>
        <v>33243</v>
      </c>
      <c r="G622" s="40">
        <v>18374</v>
      </c>
      <c r="H622" s="26">
        <v>18278</v>
      </c>
      <c r="I622" s="27">
        <f t="shared" si="19"/>
        <v>36652</v>
      </c>
      <c r="J622" s="40">
        <v>18241</v>
      </c>
      <c r="K622" s="26">
        <v>25759</v>
      </c>
      <c r="L622" s="27">
        <v>44000</v>
      </c>
      <c r="M622" s="26">
        <v>16949</v>
      </c>
      <c r="N622" s="26">
        <v>25759</v>
      </c>
      <c r="O622" s="27">
        <v>42708</v>
      </c>
      <c r="P622" s="26">
        <v>15524</v>
      </c>
      <c r="Q622" s="26">
        <v>24988</v>
      </c>
      <c r="R622" s="27">
        <v>40512</v>
      </c>
      <c r="S622" s="26">
        <v>20824</v>
      </c>
      <c r="T622" s="26">
        <v>21389</v>
      </c>
      <c r="U622" s="27">
        <v>42213</v>
      </c>
      <c r="V622" s="26">
        <v>21600</v>
      </c>
      <c r="W622" s="26">
        <v>61417</v>
      </c>
      <c r="X622" s="31">
        <v>83017</v>
      </c>
      <c r="Y622" s="16">
        <v>17280</v>
      </c>
      <c r="Z622" s="16">
        <v>55622</v>
      </c>
      <c r="AA622" s="31">
        <v>72902</v>
      </c>
      <c r="AB622" s="32">
        <v>9144</v>
      </c>
      <c r="AC622" s="16">
        <v>30372</v>
      </c>
      <c r="AD622" s="31">
        <v>39516</v>
      </c>
      <c r="AE622" s="16">
        <v>9144</v>
      </c>
      <c r="AF622" s="16">
        <v>27030</v>
      </c>
      <c r="AG622" s="31">
        <v>36174</v>
      </c>
      <c r="AH622" s="16">
        <v>9144</v>
      </c>
      <c r="AI622" s="16">
        <v>53088</v>
      </c>
      <c r="AJ622" s="31">
        <v>62232</v>
      </c>
      <c r="AK622" s="16">
        <v>9144</v>
      </c>
      <c r="AL622" s="16">
        <v>75383</v>
      </c>
      <c r="AM622" s="31">
        <v>84527</v>
      </c>
      <c r="AN622" s="16">
        <v>9144</v>
      </c>
      <c r="AO622" s="16">
        <v>73659</v>
      </c>
      <c r="AP622" s="31">
        <v>82803</v>
      </c>
      <c r="AQ622" s="42"/>
      <c r="AR622" s="43"/>
      <c r="AS622" s="42"/>
      <c r="AT622" s="42"/>
    </row>
    <row r="623" spans="1:46" ht="12.9" customHeight="1" x14ac:dyDescent="0.25">
      <c r="A623" s="28" t="s">
        <v>1276</v>
      </c>
      <c r="B623" s="29" t="s">
        <v>1277</v>
      </c>
      <c r="C623" s="30" t="s">
        <v>39</v>
      </c>
      <c r="D623" s="40">
        <v>36270</v>
      </c>
      <c r="E623" s="26">
        <v>48607</v>
      </c>
      <c r="F623" s="26">
        <f t="shared" si="18"/>
        <v>84877</v>
      </c>
      <c r="G623" s="40">
        <v>36200</v>
      </c>
      <c r="H623" s="26">
        <v>52500</v>
      </c>
      <c r="I623" s="27">
        <f t="shared" si="19"/>
        <v>88700</v>
      </c>
      <c r="J623" s="40">
        <v>37327</v>
      </c>
      <c r="K623" s="26">
        <v>56015</v>
      </c>
      <c r="L623" s="27">
        <v>93342</v>
      </c>
      <c r="M623" s="26">
        <v>52598</v>
      </c>
      <c r="N623" s="26">
        <v>69123</v>
      </c>
      <c r="O623" s="27">
        <v>121721</v>
      </c>
      <c r="P623" s="26">
        <v>30485</v>
      </c>
      <c r="Q623" s="26">
        <v>45863</v>
      </c>
      <c r="R623" s="27">
        <v>76348</v>
      </c>
      <c r="S623" s="26">
        <v>29804</v>
      </c>
      <c r="T623" s="26">
        <v>54072</v>
      </c>
      <c r="U623" s="27">
        <v>83876</v>
      </c>
      <c r="V623" s="26">
        <v>33602</v>
      </c>
      <c r="W623" s="26">
        <v>73418</v>
      </c>
      <c r="X623" s="31">
        <v>107020</v>
      </c>
      <c r="Y623" s="16">
        <v>31489</v>
      </c>
      <c r="Z623" s="16">
        <v>63223</v>
      </c>
      <c r="AA623" s="31">
        <v>94712</v>
      </c>
      <c r="AB623" s="32">
        <v>34706</v>
      </c>
      <c r="AC623" s="16">
        <v>18017</v>
      </c>
      <c r="AD623" s="31">
        <v>52723</v>
      </c>
      <c r="AE623" s="16">
        <v>33103</v>
      </c>
      <c r="AF623" s="16">
        <v>19472</v>
      </c>
      <c r="AG623" s="31">
        <v>52575</v>
      </c>
      <c r="AH623" s="16">
        <v>31576</v>
      </c>
      <c r="AI623" s="16">
        <v>15136</v>
      </c>
      <c r="AJ623" s="31">
        <v>46712</v>
      </c>
      <c r="AK623" s="16">
        <v>35893</v>
      </c>
      <c r="AL623" s="16">
        <v>14060</v>
      </c>
      <c r="AM623" s="31">
        <v>49953</v>
      </c>
      <c r="AN623" s="16">
        <v>35893</v>
      </c>
      <c r="AO623" s="16">
        <v>23641</v>
      </c>
      <c r="AP623" s="31">
        <v>59534</v>
      </c>
      <c r="AQ623" s="42"/>
      <c r="AR623" s="43"/>
      <c r="AS623" s="42"/>
      <c r="AT623" s="42"/>
    </row>
    <row r="624" spans="1:46" ht="12.9" customHeight="1" x14ac:dyDescent="0.25">
      <c r="A624" s="28" t="s">
        <v>1278</v>
      </c>
      <c r="B624" s="29" t="s">
        <v>1279</v>
      </c>
      <c r="C624" s="30" t="s">
        <v>384</v>
      </c>
      <c r="D624" s="40">
        <v>76079</v>
      </c>
      <c r="E624" s="26">
        <v>118027</v>
      </c>
      <c r="F624" s="26">
        <f t="shared" si="18"/>
        <v>194106</v>
      </c>
      <c r="G624" s="40">
        <v>77685</v>
      </c>
      <c r="H624" s="26">
        <v>134700</v>
      </c>
      <c r="I624" s="27">
        <f t="shared" si="19"/>
        <v>212385</v>
      </c>
      <c r="J624" s="40">
        <v>73741</v>
      </c>
      <c r="K624" s="26">
        <v>146547</v>
      </c>
      <c r="L624" s="27">
        <v>220288</v>
      </c>
      <c r="M624" s="26">
        <v>79855</v>
      </c>
      <c r="N624" s="26">
        <v>181054</v>
      </c>
      <c r="O624" s="27">
        <v>260909</v>
      </c>
      <c r="P624" s="26">
        <v>79460</v>
      </c>
      <c r="Q624" s="26">
        <v>207322</v>
      </c>
      <c r="R624" s="27">
        <v>286782</v>
      </c>
      <c r="S624" s="26">
        <v>73886</v>
      </c>
      <c r="T624" s="26">
        <v>409520</v>
      </c>
      <c r="U624" s="27">
        <v>483406</v>
      </c>
      <c r="V624" s="26">
        <v>72745</v>
      </c>
      <c r="W624" s="26">
        <v>187542</v>
      </c>
      <c r="X624" s="31">
        <v>260287</v>
      </c>
      <c r="Y624" s="16">
        <v>75205</v>
      </c>
      <c r="Z624" s="16">
        <v>196027</v>
      </c>
      <c r="AA624" s="31">
        <v>271232</v>
      </c>
      <c r="AB624" s="32">
        <v>74368</v>
      </c>
      <c r="AC624" s="16">
        <v>190349</v>
      </c>
      <c r="AD624" s="31">
        <v>264717</v>
      </c>
      <c r="AE624" s="16">
        <v>72214</v>
      </c>
      <c r="AF624" s="16">
        <v>203486</v>
      </c>
      <c r="AG624" s="31">
        <v>275700</v>
      </c>
      <c r="AH624" s="16">
        <v>72732</v>
      </c>
      <c r="AI624" s="16">
        <v>312644</v>
      </c>
      <c r="AJ624" s="31">
        <v>385376</v>
      </c>
      <c r="AK624" s="16">
        <v>75559</v>
      </c>
      <c r="AL624" s="16">
        <v>276501</v>
      </c>
      <c r="AM624" s="31">
        <v>352060</v>
      </c>
      <c r="AN624" s="16">
        <v>83037</v>
      </c>
      <c r="AO624" s="16">
        <v>248949</v>
      </c>
      <c r="AP624" s="31">
        <v>331986</v>
      </c>
      <c r="AQ624" s="42"/>
      <c r="AR624" s="43"/>
      <c r="AS624" s="42"/>
      <c r="AT624" s="42"/>
    </row>
    <row r="625" spans="1:46" ht="12.9" customHeight="1" x14ac:dyDescent="0.25">
      <c r="A625" s="28" t="s">
        <v>1280</v>
      </c>
      <c r="B625" s="29" t="s">
        <v>1281</v>
      </c>
      <c r="C625" s="30" t="s">
        <v>123</v>
      </c>
      <c r="D625" s="40">
        <v>207063</v>
      </c>
      <c r="E625" s="26">
        <v>36738</v>
      </c>
      <c r="F625" s="26">
        <f t="shared" si="18"/>
        <v>243801</v>
      </c>
      <c r="G625" s="40">
        <v>233496</v>
      </c>
      <c r="H625" s="26">
        <v>45948</v>
      </c>
      <c r="I625" s="27">
        <f t="shared" si="19"/>
        <v>279444</v>
      </c>
      <c r="J625" s="40">
        <v>257549</v>
      </c>
      <c r="K625" s="26">
        <v>45071</v>
      </c>
      <c r="L625" s="27">
        <v>302620</v>
      </c>
      <c r="M625" s="26">
        <v>259395</v>
      </c>
      <c r="N625" s="26">
        <v>42283</v>
      </c>
      <c r="O625" s="27">
        <v>301678</v>
      </c>
      <c r="P625" s="26">
        <v>247203</v>
      </c>
      <c r="Q625" s="26">
        <v>42411</v>
      </c>
      <c r="R625" s="27">
        <v>289614</v>
      </c>
      <c r="S625" s="26">
        <v>236819</v>
      </c>
      <c r="T625" s="26">
        <v>41147</v>
      </c>
      <c r="U625" s="27">
        <v>277966</v>
      </c>
      <c r="V625" s="26">
        <v>216175</v>
      </c>
      <c r="W625" s="26">
        <v>48582</v>
      </c>
      <c r="X625" s="31">
        <v>264757</v>
      </c>
      <c r="Y625" s="16">
        <v>236256</v>
      </c>
      <c r="Z625" s="16">
        <v>46838</v>
      </c>
      <c r="AA625" s="31">
        <v>283094</v>
      </c>
      <c r="AB625" s="32">
        <v>229466</v>
      </c>
      <c r="AC625" s="16">
        <v>38636</v>
      </c>
      <c r="AD625" s="31">
        <v>268102</v>
      </c>
      <c r="AE625" s="16">
        <v>216464</v>
      </c>
      <c r="AF625" s="16">
        <v>32551</v>
      </c>
      <c r="AG625" s="31">
        <v>249015</v>
      </c>
      <c r="AH625" s="16">
        <v>211880</v>
      </c>
      <c r="AI625" s="16">
        <v>41876</v>
      </c>
      <c r="AJ625" s="31">
        <v>253756</v>
      </c>
      <c r="AK625" s="16">
        <v>182943</v>
      </c>
      <c r="AL625" s="16">
        <v>38929</v>
      </c>
      <c r="AM625" s="31">
        <v>221872</v>
      </c>
      <c r="AN625" s="16">
        <v>224727</v>
      </c>
      <c r="AO625" s="16">
        <v>37469</v>
      </c>
      <c r="AP625" s="31">
        <v>262196</v>
      </c>
      <c r="AQ625" s="42"/>
      <c r="AR625" s="43"/>
      <c r="AS625" s="42"/>
      <c r="AT625" s="42"/>
    </row>
    <row r="626" spans="1:46" ht="12.9" customHeight="1" x14ac:dyDescent="0.25">
      <c r="A626" s="28" t="s">
        <v>1282</v>
      </c>
      <c r="B626" s="29" t="s">
        <v>1283</v>
      </c>
      <c r="C626" s="30" t="s">
        <v>120</v>
      </c>
      <c r="D626" s="40">
        <v>65953</v>
      </c>
      <c r="E626" s="26">
        <v>23214</v>
      </c>
      <c r="F626" s="26">
        <f t="shared" si="18"/>
        <v>89167</v>
      </c>
      <c r="G626" s="40">
        <v>65953</v>
      </c>
      <c r="H626" s="26">
        <v>23312</v>
      </c>
      <c r="I626" s="27">
        <f t="shared" si="19"/>
        <v>89265</v>
      </c>
      <c r="J626" s="40">
        <v>67243</v>
      </c>
      <c r="K626" s="26">
        <v>29600</v>
      </c>
      <c r="L626" s="27">
        <v>96843</v>
      </c>
      <c r="M626" s="26">
        <v>67243</v>
      </c>
      <c r="N626" s="26">
        <v>28585</v>
      </c>
      <c r="O626" s="27">
        <v>95828</v>
      </c>
      <c r="P626" s="26">
        <v>67243</v>
      </c>
      <c r="Q626" s="26">
        <v>25419</v>
      </c>
      <c r="R626" s="27">
        <v>92662</v>
      </c>
      <c r="S626" s="26">
        <v>67243</v>
      </c>
      <c r="T626" s="26">
        <v>22853</v>
      </c>
      <c r="U626" s="27">
        <v>90096</v>
      </c>
      <c r="V626" s="26">
        <v>68443</v>
      </c>
      <c r="W626" s="26">
        <v>24250</v>
      </c>
      <c r="X626" s="31">
        <v>92693</v>
      </c>
      <c r="Y626" s="16">
        <v>72024</v>
      </c>
      <c r="Z626" s="16">
        <v>24735</v>
      </c>
      <c r="AA626" s="31">
        <v>96759</v>
      </c>
      <c r="AB626" s="32">
        <v>70499</v>
      </c>
      <c r="AC626" s="16">
        <v>24195</v>
      </c>
      <c r="AD626" s="31">
        <v>94694</v>
      </c>
      <c r="AE626" s="16">
        <v>73003</v>
      </c>
      <c r="AF626" s="16">
        <v>26470</v>
      </c>
      <c r="AG626" s="31">
        <v>99473</v>
      </c>
      <c r="AH626" s="16">
        <v>70367</v>
      </c>
      <c r="AI626" s="16">
        <v>29287</v>
      </c>
      <c r="AJ626" s="31">
        <v>99654</v>
      </c>
      <c r="AK626" s="16">
        <v>68877</v>
      </c>
      <c r="AL626" s="16">
        <v>21130</v>
      </c>
      <c r="AM626" s="31">
        <v>90007</v>
      </c>
      <c r="AN626" s="16">
        <v>73854</v>
      </c>
      <c r="AO626" s="16">
        <v>20236</v>
      </c>
      <c r="AP626" s="31">
        <v>94090</v>
      </c>
      <c r="AQ626" s="42"/>
      <c r="AR626" s="43"/>
      <c r="AS626" s="42"/>
      <c r="AT626" s="42"/>
    </row>
    <row r="627" spans="1:46" ht="12.9" customHeight="1" x14ac:dyDescent="0.25">
      <c r="A627" s="28" t="s">
        <v>1284</v>
      </c>
      <c r="B627" s="29" t="s">
        <v>1285</v>
      </c>
      <c r="C627" s="30" t="s">
        <v>438</v>
      </c>
      <c r="D627" s="40">
        <v>6156</v>
      </c>
      <c r="E627" s="26">
        <v>4782</v>
      </c>
      <c r="F627" s="26">
        <f t="shared" si="18"/>
        <v>10938</v>
      </c>
      <c r="G627" s="40">
        <v>6894</v>
      </c>
      <c r="H627" s="26">
        <v>4735</v>
      </c>
      <c r="I627" s="27">
        <f t="shared" si="19"/>
        <v>11629</v>
      </c>
      <c r="J627" s="40">
        <v>6894</v>
      </c>
      <c r="K627" s="26">
        <v>4735</v>
      </c>
      <c r="L627" s="27">
        <v>11629</v>
      </c>
      <c r="M627" s="26">
        <v>6743</v>
      </c>
      <c r="N627" s="26">
        <v>5010</v>
      </c>
      <c r="O627" s="27">
        <v>11753</v>
      </c>
      <c r="P627" s="26">
        <v>6743</v>
      </c>
      <c r="Q627" s="26">
        <v>5010</v>
      </c>
      <c r="R627" s="27">
        <v>11753</v>
      </c>
      <c r="S627" s="26">
        <v>6743</v>
      </c>
      <c r="T627" s="26">
        <v>5010</v>
      </c>
      <c r="U627" s="27">
        <v>11753</v>
      </c>
      <c r="V627" s="26">
        <v>6469</v>
      </c>
      <c r="W627" s="26">
        <v>4602</v>
      </c>
      <c r="X627" s="31">
        <v>11071</v>
      </c>
      <c r="Y627" s="16">
        <v>7319</v>
      </c>
      <c r="Z627" s="16">
        <v>5106</v>
      </c>
      <c r="AA627" s="31">
        <v>12425</v>
      </c>
      <c r="AB627" s="32">
        <v>5935</v>
      </c>
      <c r="AC627" s="16">
        <v>4038</v>
      </c>
      <c r="AD627" s="31">
        <v>9973</v>
      </c>
      <c r="AE627" s="16">
        <v>5935</v>
      </c>
      <c r="AF627" s="16">
        <v>4038</v>
      </c>
      <c r="AG627" s="31">
        <v>9973</v>
      </c>
      <c r="AH627" s="16">
        <v>6019</v>
      </c>
      <c r="AI627" s="16">
        <v>30633</v>
      </c>
      <c r="AJ627" s="31">
        <v>36652</v>
      </c>
      <c r="AK627" s="16">
        <v>6127</v>
      </c>
      <c r="AL627" s="16">
        <v>27924</v>
      </c>
      <c r="AM627" s="31">
        <v>34051</v>
      </c>
      <c r="AN627" s="16">
        <v>7685</v>
      </c>
      <c r="AO627" s="16">
        <v>5361</v>
      </c>
      <c r="AP627" s="31">
        <v>13046</v>
      </c>
      <c r="AQ627" s="42"/>
      <c r="AR627" s="43"/>
      <c r="AS627" s="42"/>
      <c r="AT627" s="42"/>
    </row>
    <row r="628" spans="1:46" ht="12.9" customHeight="1" x14ac:dyDescent="0.25">
      <c r="A628" s="28" t="s">
        <v>1286</v>
      </c>
      <c r="B628" s="29" t="s">
        <v>1287</v>
      </c>
      <c r="C628" s="30" t="s">
        <v>384</v>
      </c>
      <c r="D628" s="40">
        <v>382650</v>
      </c>
      <c r="E628" s="26">
        <v>246520</v>
      </c>
      <c r="F628" s="26">
        <f t="shared" si="18"/>
        <v>629170</v>
      </c>
      <c r="G628" s="40">
        <v>395105</v>
      </c>
      <c r="H628" s="26">
        <v>256807</v>
      </c>
      <c r="I628" s="27">
        <f t="shared" si="19"/>
        <v>651912</v>
      </c>
      <c r="J628" s="40">
        <v>393002</v>
      </c>
      <c r="K628" s="26">
        <v>269519</v>
      </c>
      <c r="L628" s="27">
        <v>662521</v>
      </c>
      <c r="M628" s="26">
        <v>411583</v>
      </c>
      <c r="N628" s="26">
        <v>274483</v>
      </c>
      <c r="O628" s="27">
        <v>686066</v>
      </c>
      <c r="P628" s="26">
        <v>417115</v>
      </c>
      <c r="Q628" s="26">
        <v>238884</v>
      </c>
      <c r="R628" s="27">
        <v>655999</v>
      </c>
      <c r="S628" s="26">
        <v>387927</v>
      </c>
      <c r="T628" s="26">
        <v>305701</v>
      </c>
      <c r="U628" s="27">
        <v>693628</v>
      </c>
      <c r="V628" s="26">
        <v>375793</v>
      </c>
      <c r="W628" s="26">
        <v>260524</v>
      </c>
      <c r="X628" s="31">
        <v>636317</v>
      </c>
      <c r="Y628" s="16">
        <v>382875</v>
      </c>
      <c r="Z628" s="16">
        <v>291750</v>
      </c>
      <c r="AA628" s="31">
        <v>674625</v>
      </c>
      <c r="AB628" s="32">
        <v>393735</v>
      </c>
      <c r="AC628" s="16">
        <v>271803</v>
      </c>
      <c r="AD628" s="31">
        <v>665538</v>
      </c>
      <c r="AE628" s="16">
        <v>374370</v>
      </c>
      <c r="AF628" s="16">
        <v>258277</v>
      </c>
      <c r="AG628" s="31">
        <v>632647</v>
      </c>
      <c r="AH628" s="16">
        <v>378654</v>
      </c>
      <c r="AI628" s="16">
        <v>254652</v>
      </c>
      <c r="AJ628" s="31">
        <v>633306</v>
      </c>
      <c r="AK628" s="16">
        <v>369541</v>
      </c>
      <c r="AL628" s="16">
        <v>255413</v>
      </c>
      <c r="AM628" s="31">
        <v>624954</v>
      </c>
      <c r="AN628" s="16">
        <v>389935</v>
      </c>
      <c r="AO628" s="16">
        <v>228246</v>
      </c>
      <c r="AP628" s="31">
        <v>618181</v>
      </c>
      <c r="AQ628" s="42"/>
      <c r="AR628" s="43"/>
      <c r="AS628" s="42"/>
      <c r="AT628" s="42"/>
    </row>
    <row r="629" spans="1:46" ht="12.9" customHeight="1" x14ac:dyDescent="0.25">
      <c r="A629" s="28" t="s">
        <v>1288</v>
      </c>
      <c r="B629" s="29" t="s">
        <v>1289</v>
      </c>
      <c r="C629" s="30" t="s">
        <v>197</v>
      </c>
      <c r="D629" s="40">
        <v>1393411</v>
      </c>
      <c r="E629" s="26">
        <v>364687</v>
      </c>
      <c r="F629" s="26">
        <f t="shared" si="18"/>
        <v>1758098</v>
      </c>
      <c r="G629" s="40">
        <v>1411136</v>
      </c>
      <c r="H629" s="26">
        <v>376237</v>
      </c>
      <c r="I629" s="27">
        <f t="shared" si="19"/>
        <v>1787373</v>
      </c>
      <c r="J629" s="40">
        <v>1433926</v>
      </c>
      <c r="K629" s="26">
        <v>431034</v>
      </c>
      <c r="L629" s="27">
        <v>1864960</v>
      </c>
      <c r="M629" s="26">
        <v>1494450</v>
      </c>
      <c r="N629" s="26">
        <v>423798</v>
      </c>
      <c r="O629" s="27">
        <v>1918248</v>
      </c>
      <c r="P629" s="26">
        <v>1575101</v>
      </c>
      <c r="Q629" s="26">
        <v>389462</v>
      </c>
      <c r="R629" s="27">
        <v>1964563</v>
      </c>
      <c r="S629" s="26">
        <v>1442251</v>
      </c>
      <c r="T629" s="26">
        <v>468658</v>
      </c>
      <c r="U629" s="27">
        <v>1910909</v>
      </c>
      <c r="V629" s="26">
        <v>1381038</v>
      </c>
      <c r="W629" s="26">
        <v>476389</v>
      </c>
      <c r="X629" s="31">
        <v>1857427</v>
      </c>
      <c r="Y629" s="16">
        <v>1415967</v>
      </c>
      <c r="Z629" s="16">
        <v>421096</v>
      </c>
      <c r="AA629" s="31">
        <v>1837063</v>
      </c>
      <c r="AB629" s="32">
        <v>1397575</v>
      </c>
      <c r="AC629" s="16">
        <v>385631</v>
      </c>
      <c r="AD629" s="31">
        <v>1783206</v>
      </c>
      <c r="AE629" s="16">
        <v>1380627</v>
      </c>
      <c r="AF629" s="16">
        <v>410517</v>
      </c>
      <c r="AG629" s="31">
        <v>1791144</v>
      </c>
      <c r="AH629" s="16">
        <v>1372734</v>
      </c>
      <c r="AI629" s="16">
        <v>421272</v>
      </c>
      <c r="AJ629" s="31">
        <v>1794006</v>
      </c>
      <c r="AK629" s="16">
        <v>1390833</v>
      </c>
      <c r="AL629" s="16">
        <v>451832</v>
      </c>
      <c r="AM629" s="31">
        <v>1842665</v>
      </c>
      <c r="AN629" s="16">
        <v>1424956</v>
      </c>
      <c r="AO629" s="16">
        <v>450504</v>
      </c>
      <c r="AP629" s="31">
        <v>1875460</v>
      </c>
      <c r="AQ629" s="42"/>
      <c r="AR629" s="43"/>
      <c r="AS629" s="42"/>
      <c r="AT629" s="42"/>
    </row>
    <row r="630" spans="1:46" ht="12.9" customHeight="1" x14ac:dyDescent="0.25">
      <c r="A630" s="28" t="s">
        <v>1290</v>
      </c>
      <c r="B630" s="29" t="s">
        <v>1291</v>
      </c>
      <c r="C630" s="30" t="s">
        <v>110</v>
      </c>
      <c r="D630" s="40">
        <v>7524</v>
      </c>
      <c r="E630" s="26">
        <v>2563</v>
      </c>
      <c r="F630" s="26">
        <f t="shared" si="18"/>
        <v>10087</v>
      </c>
      <c r="G630" s="40">
        <v>7524</v>
      </c>
      <c r="H630" s="26">
        <v>2883</v>
      </c>
      <c r="I630" s="27">
        <f t="shared" si="19"/>
        <v>10407</v>
      </c>
      <c r="J630" s="40">
        <v>7524</v>
      </c>
      <c r="K630" s="26">
        <v>2521</v>
      </c>
      <c r="L630" s="27">
        <v>10045</v>
      </c>
      <c r="M630" s="26">
        <v>6915</v>
      </c>
      <c r="N630" s="26">
        <v>1803</v>
      </c>
      <c r="O630" s="27">
        <v>8718</v>
      </c>
      <c r="P630" s="26">
        <v>6915</v>
      </c>
      <c r="Q630" s="26">
        <v>1891</v>
      </c>
      <c r="R630" s="27">
        <v>8806</v>
      </c>
      <c r="S630" s="26">
        <v>7450</v>
      </c>
      <c r="T630" s="26">
        <v>4253</v>
      </c>
      <c r="U630" s="27">
        <v>11703</v>
      </c>
      <c r="V630" s="26">
        <v>7450</v>
      </c>
      <c r="W630" s="26">
        <v>3076</v>
      </c>
      <c r="X630" s="31">
        <v>10526</v>
      </c>
      <c r="Y630" s="16">
        <v>8892</v>
      </c>
      <c r="Z630" s="16">
        <v>2345</v>
      </c>
      <c r="AA630" s="31">
        <v>11237</v>
      </c>
      <c r="AB630" s="32">
        <v>8892</v>
      </c>
      <c r="AC630" s="16">
        <v>2914</v>
      </c>
      <c r="AD630" s="31">
        <v>11806</v>
      </c>
      <c r="AE630" s="16">
        <v>8892</v>
      </c>
      <c r="AF630" s="16">
        <v>2758</v>
      </c>
      <c r="AG630" s="31">
        <v>11650</v>
      </c>
      <c r="AH630" s="16">
        <v>8892</v>
      </c>
      <c r="AI630" s="16">
        <v>2537</v>
      </c>
      <c r="AJ630" s="31">
        <v>11429</v>
      </c>
      <c r="AK630" s="16">
        <v>8892</v>
      </c>
      <c r="AL630" s="16">
        <v>4554</v>
      </c>
      <c r="AM630" s="31">
        <v>13446</v>
      </c>
      <c r="AN630" s="16">
        <v>8892</v>
      </c>
      <c r="AO630" s="16">
        <v>7528</v>
      </c>
      <c r="AP630" s="31">
        <v>16420</v>
      </c>
      <c r="AQ630" s="42"/>
      <c r="AR630" s="43"/>
      <c r="AS630" s="42"/>
      <c r="AT630" s="42"/>
    </row>
    <row r="631" spans="1:46" ht="12.9" customHeight="1" x14ac:dyDescent="0.25">
      <c r="A631" s="28" t="s">
        <v>1292</v>
      </c>
      <c r="B631" s="29" t="s">
        <v>1293</v>
      </c>
      <c r="C631" s="30" t="s">
        <v>123</v>
      </c>
      <c r="D631" s="40">
        <v>96504</v>
      </c>
      <c r="E631" s="26">
        <v>121703</v>
      </c>
      <c r="F631" s="26">
        <f t="shared" si="18"/>
        <v>218207</v>
      </c>
      <c r="G631" s="40">
        <v>102338</v>
      </c>
      <c r="H631" s="26">
        <v>124638</v>
      </c>
      <c r="I631" s="27">
        <f t="shared" si="19"/>
        <v>226976</v>
      </c>
      <c r="J631" s="40">
        <v>111530</v>
      </c>
      <c r="K631" s="26">
        <v>128200</v>
      </c>
      <c r="L631" s="27">
        <v>239730</v>
      </c>
      <c r="M631" s="26">
        <v>112947</v>
      </c>
      <c r="N631" s="26">
        <v>122558</v>
      </c>
      <c r="O631" s="27">
        <v>235505</v>
      </c>
      <c r="P631" s="26">
        <v>115737</v>
      </c>
      <c r="Q631" s="26">
        <v>158397</v>
      </c>
      <c r="R631" s="27">
        <v>274134</v>
      </c>
      <c r="S631" s="26">
        <v>109927</v>
      </c>
      <c r="T631" s="26">
        <v>169093</v>
      </c>
      <c r="U631" s="27">
        <v>279020</v>
      </c>
      <c r="V631" s="26">
        <v>113120</v>
      </c>
      <c r="W631" s="26">
        <v>115369</v>
      </c>
      <c r="X631" s="31">
        <v>228489</v>
      </c>
      <c r="Y631" s="16">
        <v>104425</v>
      </c>
      <c r="Z631" s="16">
        <v>141440</v>
      </c>
      <c r="AA631" s="31">
        <v>245865</v>
      </c>
      <c r="AB631" s="32">
        <v>101752</v>
      </c>
      <c r="AC631" s="16">
        <v>135316</v>
      </c>
      <c r="AD631" s="31">
        <v>237068</v>
      </c>
      <c r="AE631" s="16">
        <v>103680</v>
      </c>
      <c r="AF631" s="16">
        <v>120178</v>
      </c>
      <c r="AG631" s="31">
        <v>223858</v>
      </c>
      <c r="AH631" s="16">
        <v>97109</v>
      </c>
      <c r="AI631" s="16">
        <v>116753</v>
      </c>
      <c r="AJ631" s="31">
        <v>213862</v>
      </c>
      <c r="AK631" s="16">
        <v>102689</v>
      </c>
      <c r="AL631" s="16">
        <v>111039</v>
      </c>
      <c r="AM631" s="31">
        <v>213728</v>
      </c>
      <c r="AN631" s="16">
        <v>91703</v>
      </c>
      <c r="AO631" s="16">
        <v>107695</v>
      </c>
      <c r="AP631" s="31">
        <v>199398</v>
      </c>
      <c r="AQ631" s="42"/>
      <c r="AR631" s="43"/>
      <c r="AS631" s="42"/>
      <c r="AT631" s="42"/>
    </row>
    <row r="632" spans="1:46" ht="12.9" customHeight="1" x14ac:dyDescent="0.25">
      <c r="A632" s="28" t="s">
        <v>1294</v>
      </c>
      <c r="B632" s="29" t="s">
        <v>1295</v>
      </c>
      <c r="C632" s="30" t="s">
        <v>150</v>
      </c>
      <c r="D632" s="40">
        <v>18373</v>
      </c>
      <c r="E632" s="26">
        <v>2213</v>
      </c>
      <c r="F632" s="26">
        <f t="shared" si="18"/>
        <v>20586</v>
      </c>
      <c r="G632" s="40">
        <v>21429</v>
      </c>
      <c r="H632" s="26">
        <v>2411</v>
      </c>
      <c r="I632" s="27">
        <f t="shared" si="19"/>
        <v>23840</v>
      </c>
      <c r="J632" s="40">
        <v>19757</v>
      </c>
      <c r="K632" s="26">
        <v>3159</v>
      </c>
      <c r="L632" s="27">
        <v>22916</v>
      </c>
      <c r="M632" s="26">
        <v>21601</v>
      </c>
      <c r="N632" s="26">
        <v>3032</v>
      </c>
      <c r="O632" s="27">
        <v>24633</v>
      </c>
      <c r="P632" s="26">
        <v>20311</v>
      </c>
      <c r="Q632" s="26">
        <v>3308</v>
      </c>
      <c r="R632" s="27">
        <v>23619</v>
      </c>
      <c r="S632" s="26">
        <v>20644</v>
      </c>
      <c r="T632" s="26">
        <v>3973</v>
      </c>
      <c r="U632" s="27">
        <v>24617</v>
      </c>
      <c r="V632" s="26">
        <v>18377</v>
      </c>
      <c r="W632" s="26">
        <v>4141</v>
      </c>
      <c r="X632" s="31">
        <v>22518</v>
      </c>
      <c r="Y632" s="16">
        <v>20075</v>
      </c>
      <c r="Z632" s="16">
        <v>4297</v>
      </c>
      <c r="AA632" s="31">
        <v>24372</v>
      </c>
      <c r="AB632" s="32">
        <v>18756</v>
      </c>
      <c r="AC632" s="16">
        <v>3882</v>
      </c>
      <c r="AD632" s="31">
        <v>22638</v>
      </c>
      <c r="AE632" s="16">
        <v>18546</v>
      </c>
      <c r="AF632" s="16">
        <v>3994</v>
      </c>
      <c r="AG632" s="31">
        <v>22540</v>
      </c>
      <c r="AH632" s="16">
        <v>17423</v>
      </c>
      <c r="AI632" s="16">
        <v>3340</v>
      </c>
      <c r="AJ632" s="31">
        <v>20763</v>
      </c>
      <c r="AK632" s="16">
        <v>18637</v>
      </c>
      <c r="AL632" s="16">
        <v>4517</v>
      </c>
      <c r="AM632" s="31">
        <v>23154</v>
      </c>
      <c r="AN632" s="16">
        <v>18951</v>
      </c>
      <c r="AO632" s="16">
        <v>3514</v>
      </c>
      <c r="AP632" s="31">
        <v>22465</v>
      </c>
      <c r="AQ632" s="42"/>
      <c r="AR632" s="43"/>
      <c r="AS632" s="42"/>
      <c r="AT632" s="42"/>
    </row>
    <row r="633" spans="1:46" ht="12.9" customHeight="1" x14ac:dyDescent="0.25">
      <c r="A633" s="28" t="s">
        <v>1296</v>
      </c>
      <c r="B633" s="29" t="s">
        <v>1297</v>
      </c>
      <c r="C633" s="30" t="s">
        <v>56</v>
      </c>
      <c r="D633" s="40">
        <v>48735</v>
      </c>
      <c r="E633" s="26">
        <v>3449</v>
      </c>
      <c r="F633" s="26">
        <f t="shared" si="18"/>
        <v>52184</v>
      </c>
      <c r="G633" s="40">
        <v>55330</v>
      </c>
      <c r="H633" s="26">
        <v>4424</v>
      </c>
      <c r="I633" s="27">
        <f t="shared" si="19"/>
        <v>59754</v>
      </c>
      <c r="J633" s="40">
        <v>56577</v>
      </c>
      <c r="K633" s="26">
        <v>5057</v>
      </c>
      <c r="L633" s="27">
        <v>61634</v>
      </c>
      <c r="M633" s="26">
        <v>44859</v>
      </c>
      <c r="N633" s="26">
        <v>5017</v>
      </c>
      <c r="O633" s="27">
        <v>49876</v>
      </c>
      <c r="P633" s="26">
        <v>65502</v>
      </c>
      <c r="Q633" s="26">
        <v>6148</v>
      </c>
      <c r="R633" s="27">
        <v>71650</v>
      </c>
      <c r="S633" s="26">
        <v>53259</v>
      </c>
      <c r="T633" s="26">
        <v>5574</v>
      </c>
      <c r="U633" s="27">
        <v>58833</v>
      </c>
      <c r="V633" s="26">
        <v>47755</v>
      </c>
      <c r="W633" s="26">
        <v>6934</v>
      </c>
      <c r="X633" s="31">
        <v>54689</v>
      </c>
      <c r="Y633" s="16">
        <v>54709</v>
      </c>
      <c r="Z633" s="16">
        <v>1682</v>
      </c>
      <c r="AA633" s="31">
        <v>56391</v>
      </c>
      <c r="AB633" s="32">
        <v>59308</v>
      </c>
      <c r="AC633" s="16">
        <v>2119</v>
      </c>
      <c r="AD633" s="31">
        <v>61427</v>
      </c>
      <c r="AE633" s="16">
        <v>62540</v>
      </c>
      <c r="AF633" s="16">
        <v>2220</v>
      </c>
      <c r="AG633" s="31">
        <v>64760</v>
      </c>
      <c r="AH633" s="16">
        <v>60760</v>
      </c>
      <c r="AI633" s="16">
        <v>2024</v>
      </c>
      <c r="AJ633" s="31">
        <v>62784</v>
      </c>
      <c r="AK633" s="16">
        <v>70759</v>
      </c>
      <c r="AL633" s="16">
        <v>2789</v>
      </c>
      <c r="AM633" s="31">
        <v>73548</v>
      </c>
      <c r="AN633" s="16">
        <v>70759</v>
      </c>
      <c r="AO633" s="16">
        <v>2789</v>
      </c>
      <c r="AP633" s="31">
        <v>73548</v>
      </c>
      <c r="AQ633" s="42"/>
      <c r="AR633" s="43"/>
      <c r="AS633" s="42"/>
      <c r="AT633" s="42"/>
    </row>
    <row r="634" spans="1:46" ht="12.9" customHeight="1" x14ac:dyDescent="0.25">
      <c r="A634" s="28" t="s">
        <v>1298</v>
      </c>
      <c r="B634" s="29" t="s">
        <v>1299</v>
      </c>
      <c r="C634" s="30" t="s">
        <v>56</v>
      </c>
      <c r="D634" s="40">
        <v>39153</v>
      </c>
      <c r="E634" s="26">
        <v>10926</v>
      </c>
      <c r="F634" s="26">
        <f t="shared" si="18"/>
        <v>50079</v>
      </c>
      <c r="G634" s="40">
        <v>40534</v>
      </c>
      <c r="H634" s="26">
        <v>16758</v>
      </c>
      <c r="I634" s="27">
        <f t="shared" si="19"/>
        <v>57292</v>
      </c>
      <c r="J634" s="40">
        <v>43770</v>
      </c>
      <c r="K634" s="26">
        <v>24947</v>
      </c>
      <c r="L634" s="27">
        <v>68717</v>
      </c>
      <c r="M634" s="26">
        <v>42837</v>
      </c>
      <c r="N634" s="26">
        <v>16687</v>
      </c>
      <c r="O634" s="27">
        <v>59524</v>
      </c>
      <c r="P634" s="26">
        <v>34781</v>
      </c>
      <c r="Q634" s="26">
        <v>12574</v>
      </c>
      <c r="R634" s="27">
        <v>47355</v>
      </c>
      <c r="S634" s="26">
        <v>41155</v>
      </c>
      <c r="T634" s="26">
        <v>19487</v>
      </c>
      <c r="U634" s="27">
        <v>60642</v>
      </c>
      <c r="V634" s="26">
        <v>41543</v>
      </c>
      <c r="W634" s="26">
        <v>16496</v>
      </c>
      <c r="X634" s="31">
        <v>58039</v>
      </c>
      <c r="Y634" s="16">
        <v>41510</v>
      </c>
      <c r="Z634" s="16">
        <v>17287</v>
      </c>
      <c r="AA634" s="31">
        <v>58797</v>
      </c>
      <c r="AB634" s="32">
        <v>44230</v>
      </c>
      <c r="AC634" s="16">
        <v>18572</v>
      </c>
      <c r="AD634" s="31">
        <v>62802</v>
      </c>
      <c r="AE634" s="16">
        <v>44896</v>
      </c>
      <c r="AF634" s="16">
        <v>21294</v>
      </c>
      <c r="AG634" s="31">
        <v>66190</v>
      </c>
      <c r="AH634" s="16">
        <v>43887</v>
      </c>
      <c r="AI634" s="16">
        <v>23393</v>
      </c>
      <c r="AJ634" s="31">
        <v>67280</v>
      </c>
      <c r="AK634" s="16">
        <v>51903</v>
      </c>
      <c r="AL634" s="16">
        <v>20930</v>
      </c>
      <c r="AM634" s="31">
        <v>72833</v>
      </c>
      <c r="AN634" s="16">
        <v>51903</v>
      </c>
      <c r="AO634" s="16">
        <v>24222</v>
      </c>
      <c r="AP634" s="31">
        <v>76125</v>
      </c>
      <c r="AQ634" s="42"/>
      <c r="AR634" s="43"/>
      <c r="AS634" s="42"/>
      <c r="AT634" s="42"/>
    </row>
    <row r="635" spans="1:46" ht="12.9" customHeight="1" x14ac:dyDescent="0.25">
      <c r="A635" s="28" t="s">
        <v>1300</v>
      </c>
      <c r="B635" s="29" t="s">
        <v>1301</v>
      </c>
      <c r="C635" s="30" t="s">
        <v>123</v>
      </c>
      <c r="D635" s="40">
        <v>66813</v>
      </c>
      <c r="E635" s="26">
        <v>930710</v>
      </c>
      <c r="F635" s="26">
        <f t="shared" si="18"/>
        <v>997523</v>
      </c>
      <c r="G635" s="40">
        <v>71860</v>
      </c>
      <c r="H635" s="26">
        <v>991078</v>
      </c>
      <c r="I635" s="27">
        <f t="shared" si="19"/>
        <v>1062938</v>
      </c>
      <c r="J635" s="40">
        <v>79933</v>
      </c>
      <c r="K635" s="26">
        <v>1027009</v>
      </c>
      <c r="L635" s="27">
        <v>1106942</v>
      </c>
      <c r="M635" s="26">
        <v>78711</v>
      </c>
      <c r="N635" s="26">
        <v>1055892</v>
      </c>
      <c r="O635" s="27">
        <v>1134603</v>
      </c>
      <c r="P635" s="26">
        <v>78711</v>
      </c>
      <c r="Q635" s="26">
        <v>913280</v>
      </c>
      <c r="R635" s="27">
        <v>991991</v>
      </c>
      <c r="S635" s="26">
        <v>79554</v>
      </c>
      <c r="T635" s="26">
        <v>1021241</v>
      </c>
      <c r="U635" s="27">
        <v>1100795</v>
      </c>
      <c r="V635" s="26">
        <v>70669</v>
      </c>
      <c r="W635" s="26">
        <v>977473</v>
      </c>
      <c r="X635" s="31">
        <v>1048142</v>
      </c>
      <c r="Y635" s="16">
        <v>77620</v>
      </c>
      <c r="Z635" s="16">
        <v>968331</v>
      </c>
      <c r="AA635" s="31">
        <v>1045951</v>
      </c>
      <c r="AB635" s="32">
        <v>75276</v>
      </c>
      <c r="AC635" s="16">
        <v>955905</v>
      </c>
      <c r="AD635" s="31">
        <v>1031181</v>
      </c>
      <c r="AE635" s="16">
        <v>59726</v>
      </c>
      <c r="AF635" s="16">
        <v>930164</v>
      </c>
      <c r="AG635" s="31">
        <v>989890</v>
      </c>
      <c r="AH635" s="16">
        <v>88545</v>
      </c>
      <c r="AI635" s="16">
        <v>982000</v>
      </c>
      <c r="AJ635" s="31">
        <v>1070545</v>
      </c>
      <c r="AK635" s="16">
        <v>69818</v>
      </c>
      <c r="AL635" s="16">
        <v>975577</v>
      </c>
      <c r="AM635" s="31">
        <v>1045395</v>
      </c>
      <c r="AN635" s="16">
        <v>62879</v>
      </c>
      <c r="AO635" s="16">
        <v>969450</v>
      </c>
      <c r="AP635" s="31">
        <v>1032329</v>
      </c>
      <c r="AQ635" s="42"/>
      <c r="AR635" s="43"/>
      <c r="AS635" s="42"/>
      <c r="AT635" s="42"/>
    </row>
    <row r="636" spans="1:46" ht="12.9" customHeight="1" x14ac:dyDescent="0.25">
      <c r="A636" s="28" t="s">
        <v>1302</v>
      </c>
      <c r="B636" s="29" t="s">
        <v>1303</v>
      </c>
      <c r="C636" s="30" t="s">
        <v>56</v>
      </c>
      <c r="D636" s="40">
        <v>168547</v>
      </c>
      <c r="E636" s="26">
        <v>256935</v>
      </c>
      <c r="F636" s="26">
        <f t="shared" si="18"/>
        <v>425482</v>
      </c>
      <c r="G636" s="40">
        <v>163442</v>
      </c>
      <c r="H636" s="26">
        <v>242093</v>
      </c>
      <c r="I636" s="27">
        <f t="shared" si="19"/>
        <v>405535</v>
      </c>
      <c r="J636" s="40">
        <v>175804</v>
      </c>
      <c r="K636" s="26">
        <v>200734</v>
      </c>
      <c r="L636" s="27">
        <v>376538</v>
      </c>
      <c r="M636" s="26">
        <v>179017</v>
      </c>
      <c r="N636" s="26">
        <v>82178</v>
      </c>
      <c r="O636" s="27">
        <v>261195</v>
      </c>
      <c r="P636" s="26">
        <v>179360</v>
      </c>
      <c r="Q636" s="26">
        <v>79189</v>
      </c>
      <c r="R636" s="27">
        <v>258549</v>
      </c>
      <c r="S636" s="26">
        <v>167297</v>
      </c>
      <c r="T636" s="26">
        <v>80412</v>
      </c>
      <c r="U636" s="27">
        <v>247709</v>
      </c>
      <c r="V636" s="26">
        <v>164728</v>
      </c>
      <c r="W636" s="26">
        <v>94432</v>
      </c>
      <c r="X636" s="31">
        <v>259160</v>
      </c>
      <c r="Y636" s="16">
        <v>172449</v>
      </c>
      <c r="Z636" s="16">
        <v>91235</v>
      </c>
      <c r="AA636" s="31">
        <v>263684</v>
      </c>
      <c r="AB636" s="32">
        <v>173692</v>
      </c>
      <c r="AC636" s="16">
        <v>80527</v>
      </c>
      <c r="AD636" s="31">
        <v>254219</v>
      </c>
      <c r="AE636" s="16">
        <v>182318</v>
      </c>
      <c r="AF636" s="16">
        <v>73039</v>
      </c>
      <c r="AG636" s="31">
        <v>255357</v>
      </c>
      <c r="AH636" s="16">
        <v>179168</v>
      </c>
      <c r="AI636" s="16">
        <v>72661</v>
      </c>
      <c r="AJ636" s="31">
        <v>251829</v>
      </c>
      <c r="AK636" s="16">
        <v>186160</v>
      </c>
      <c r="AL636" s="16">
        <v>69782</v>
      </c>
      <c r="AM636" s="31">
        <v>255942</v>
      </c>
      <c r="AN636" s="16">
        <v>186160</v>
      </c>
      <c r="AO636" s="16">
        <v>53696</v>
      </c>
      <c r="AP636" s="31">
        <v>239856</v>
      </c>
      <c r="AQ636" s="42"/>
      <c r="AR636" s="43"/>
      <c r="AS636" s="42"/>
      <c r="AT636" s="42"/>
    </row>
    <row r="637" spans="1:46" ht="12.9" customHeight="1" x14ac:dyDescent="0.25">
      <c r="A637" s="28" t="s">
        <v>1304</v>
      </c>
      <c r="B637" s="29" t="s">
        <v>1305</v>
      </c>
      <c r="C637" s="30" t="s">
        <v>23</v>
      </c>
      <c r="D637" s="40">
        <v>8581</v>
      </c>
      <c r="E637" s="26">
        <v>1065</v>
      </c>
      <c r="F637" s="26">
        <f t="shared" si="18"/>
        <v>9646</v>
      </c>
      <c r="G637" s="40">
        <v>9366</v>
      </c>
      <c r="H637" s="26">
        <v>1426</v>
      </c>
      <c r="I637" s="27">
        <f t="shared" si="19"/>
        <v>10792</v>
      </c>
      <c r="J637" s="40">
        <v>13007</v>
      </c>
      <c r="K637" s="26">
        <v>1612</v>
      </c>
      <c r="L637" s="27">
        <v>14619</v>
      </c>
      <c r="M637" s="26">
        <v>9923</v>
      </c>
      <c r="N637" s="26">
        <v>1600</v>
      </c>
      <c r="O637" s="27">
        <v>11523</v>
      </c>
      <c r="P637" s="26">
        <v>11145</v>
      </c>
      <c r="Q637" s="26">
        <v>1460</v>
      </c>
      <c r="R637" s="27">
        <v>12605</v>
      </c>
      <c r="S637" s="26">
        <v>9805</v>
      </c>
      <c r="T637" s="26">
        <v>1398</v>
      </c>
      <c r="U637" s="27">
        <v>11203</v>
      </c>
      <c r="V637" s="26">
        <v>9144</v>
      </c>
      <c r="W637" s="26">
        <v>1309</v>
      </c>
      <c r="X637" s="31">
        <v>10453</v>
      </c>
      <c r="Y637" s="16">
        <v>10705</v>
      </c>
      <c r="Z637" s="16">
        <v>868</v>
      </c>
      <c r="AA637" s="31">
        <v>11573</v>
      </c>
      <c r="AB637" s="32">
        <v>11343</v>
      </c>
      <c r="AC637" s="16">
        <v>1219</v>
      </c>
      <c r="AD637" s="31">
        <v>12562</v>
      </c>
      <c r="AE637" s="16">
        <v>9960</v>
      </c>
      <c r="AF637" s="16">
        <v>1430</v>
      </c>
      <c r="AG637" s="31">
        <v>11390</v>
      </c>
      <c r="AH637" s="16">
        <v>9009</v>
      </c>
      <c r="AI637" s="16">
        <v>1509</v>
      </c>
      <c r="AJ637" s="31">
        <v>10518</v>
      </c>
      <c r="AK637" s="16">
        <v>11930</v>
      </c>
      <c r="AL637" s="16">
        <v>1933</v>
      </c>
      <c r="AM637" s="31">
        <v>13863</v>
      </c>
      <c r="AN637" s="16">
        <v>16128</v>
      </c>
      <c r="AO637" s="16">
        <v>2368</v>
      </c>
      <c r="AP637" s="31">
        <v>18496</v>
      </c>
      <c r="AQ637" s="42"/>
      <c r="AR637" s="43"/>
      <c r="AS637" s="42"/>
      <c r="AT637" s="42"/>
    </row>
    <row r="638" spans="1:46" ht="12.9" customHeight="1" x14ac:dyDescent="0.25">
      <c r="A638" s="28" t="s">
        <v>1306</v>
      </c>
      <c r="B638" s="29" t="s">
        <v>1307</v>
      </c>
      <c r="C638" s="30" t="s">
        <v>26</v>
      </c>
      <c r="D638" s="40">
        <v>469363</v>
      </c>
      <c r="E638" s="26">
        <v>556653</v>
      </c>
      <c r="F638" s="26">
        <f t="shared" si="18"/>
        <v>1026016</v>
      </c>
      <c r="G638" s="40">
        <v>489216</v>
      </c>
      <c r="H638" s="26">
        <v>585951</v>
      </c>
      <c r="I638" s="27">
        <f t="shared" si="19"/>
        <v>1075167</v>
      </c>
      <c r="J638" s="40">
        <v>526003</v>
      </c>
      <c r="K638" s="26">
        <v>638683</v>
      </c>
      <c r="L638" s="27">
        <v>1164686</v>
      </c>
      <c r="M638" s="26">
        <v>555760</v>
      </c>
      <c r="N638" s="26">
        <v>567520</v>
      </c>
      <c r="O638" s="27">
        <v>1123280</v>
      </c>
      <c r="P638" s="26">
        <v>542470</v>
      </c>
      <c r="Q638" s="26">
        <v>525465</v>
      </c>
      <c r="R638" s="27">
        <v>1067935</v>
      </c>
      <c r="S638" s="26">
        <v>507433</v>
      </c>
      <c r="T638" s="26">
        <v>568348</v>
      </c>
      <c r="U638" s="27">
        <v>1075781</v>
      </c>
      <c r="V638" s="26">
        <v>499657</v>
      </c>
      <c r="W638" s="26">
        <v>610085</v>
      </c>
      <c r="X638" s="31">
        <v>1109742</v>
      </c>
      <c r="Y638" s="16">
        <v>505820</v>
      </c>
      <c r="Z638" s="16">
        <v>665028</v>
      </c>
      <c r="AA638" s="31">
        <v>1170848</v>
      </c>
      <c r="AB638" s="32">
        <v>511827</v>
      </c>
      <c r="AC638" s="16">
        <v>609214</v>
      </c>
      <c r="AD638" s="31">
        <v>1121041</v>
      </c>
      <c r="AE638" s="16">
        <v>510965</v>
      </c>
      <c r="AF638" s="16">
        <v>480192</v>
      </c>
      <c r="AG638" s="31">
        <v>991157</v>
      </c>
      <c r="AH638" s="16">
        <v>494295</v>
      </c>
      <c r="AI638" s="16">
        <v>549422</v>
      </c>
      <c r="AJ638" s="31">
        <v>1043717</v>
      </c>
      <c r="AK638" s="16">
        <v>494289</v>
      </c>
      <c r="AL638" s="16">
        <v>559656</v>
      </c>
      <c r="AM638" s="31">
        <v>1053945</v>
      </c>
      <c r="AN638" s="16">
        <v>544980</v>
      </c>
      <c r="AO638" s="16">
        <v>517269</v>
      </c>
      <c r="AP638" s="31">
        <v>1062249</v>
      </c>
      <c r="AQ638" s="42"/>
      <c r="AR638" s="43"/>
      <c r="AS638" s="42"/>
      <c r="AT638" s="42"/>
    </row>
    <row r="639" spans="1:46" ht="12.9" customHeight="1" x14ac:dyDescent="0.25">
      <c r="A639" s="28" t="s">
        <v>1308</v>
      </c>
      <c r="B639" s="29" t="s">
        <v>1309</v>
      </c>
      <c r="C639" s="30" t="s">
        <v>218</v>
      </c>
      <c r="D639" s="40">
        <v>7843</v>
      </c>
      <c r="E639" s="26">
        <v>282</v>
      </c>
      <c r="F639" s="26">
        <f t="shared" si="18"/>
        <v>8125</v>
      </c>
      <c r="G639" s="40">
        <v>6447</v>
      </c>
      <c r="H639" s="26">
        <v>341</v>
      </c>
      <c r="I639" s="27">
        <f t="shared" si="19"/>
        <v>6788</v>
      </c>
      <c r="J639" s="40">
        <v>9700</v>
      </c>
      <c r="K639" s="26">
        <v>3761</v>
      </c>
      <c r="L639" s="27">
        <v>13461</v>
      </c>
      <c r="M639" s="26">
        <v>7417</v>
      </c>
      <c r="N639" s="26">
        <v>368</v>
      </c>
      <c r="O639" s="27">
        <v>7785</v>
      </c>
      <c r="P639" s="26">
        <v>6766</v>
      </c>
      <c r="Q639" s="26">
        <v>906</v>
      </c>
      <c r="R639" s="27">
        <v>7672</v>
      </c>
      <c r="S639" s="26">
        <v>5481</v>
      </c>
      <c r="T639" s="26">
        <v>1099</v>
      </c>
      <c r="U639" s="27">
        <v>6580</v>
      </c>
      <c r="V639" s="26">
        <v>6478</v>
      </c>
      <c r="W639" s="26">
        <v>646</v>
      </c>
      <c r="X639" s="31">
        <v>7124</v>
      </c>
      <c r="Y639" s="16">
        <v>6339</v>
      </c>
      <c r="Z639" s="16">
        <v>528</v>
      </c>
      <c r="AA639" s="31">
        <v>6867</v>
      </c>
      <c r="AB639" s="32">
        <v>7538</v>
      </c>
      <c r="AC639" s="16">
        <v>229</v>
      </c>
      <c r="AD639" s="31">
        <v>7767</v>
      </c>
      <c r="AE639" s="16">
        <v>9490</v>
      </c>
      <c r="AF639" s="16">
        <v>675</v>
      </c>
      <c r="AG639" s="31">
        <v>10165</v>
      </c>
      <c r="AH639" s="16">
        <v>9811</v>
      </c>
      <c r="AI639" s="16">
        <v>286</v>
      </c>
      <c r="AJ639" s="31">
        <v>10097</v>
      </c>
      <c r="AK639" s="16">
        <v>8306</v>
      </c>
      <c r="AL639" s="16">
        <v>336</v>
      </c>
      <c r="AM639" s="31">
        <v>8642</v>
      </c>
      <c r="AN639" s="16">
        <v>8306</v>
      </c>
      <c r="AO639" s="16">
        <v>336</v>
      </c>
      <c r="AP639" s="31">
        <v>8642</v>
      </c>
      <c r="AQ639" s="42"/>
      <c r="AR639" s="43"/>
      <c r="AS639" s="42"/>
      <c r="AT639" s="42"/>
    </row>
    <row r="640" spans="1:46" ht="12.9" customHeight="1" x14ac:dyDescent="0.25">
      <c r="A640" s="28" t="s">
        <v>1310</v>
      </c>
      <c r="B640" s="29" t="s">
        <v>1311</v>
      </c>
      <c r="C640" s="30" t="s">
        <v>120</v>
      </c>
      <c r="D640" s="40">
        <v>704022</v>
      </c>
      <c r="E640" s="26">
        <v>237410</v>
      </c>
      <c r="F640" s="26">
        <f t="shared" si="18"/>
        <v>941432</v>
      </c>
      <c r="G640" s="40">
        <v>610827</v>
      </c>
      <c r="H640" s="26">
        <v>266233</v>
      </c>
      <c r="I640" s="27">
        <f t="shared" si="19"/>
        <v>877060</v>
      </c>
      <c r="J640" s="40">
        <v>759537</v>
      </c>
      <c r="K640" s="26">
        <v>267392</v>
      </c>
      <c r="L640" s="27">
        <v>1026929</v>
      </c>
      <c r="M640" s="26">
        <v>690850</v>
      </c>
      <c r="N640" s="26">
        <v>213620</v>
      </c>
      <c r="O640" s="27">
        <v>904470</v>
      </c>
      <c r="P640" s="26">
        <v>667940</v>
      </c>
      <c r="Q640" s="26">
        <v>209817</v>
      </c>
      <c r="R640" s="27">
        <v>877757</v>
      </c>
      <c r="S640" s="26">
        <v>661305</v>
      </c>
      <c r="T640" s="26">
        <v>266626</v>
      </c>
      <c r="U640" s="27">
        <v>927931</v>
      </c>
      <c r="V640" s="26">
        <v>642060</v>
      </c>
      <c r="W640" s="26">
        <v>257892</v>
      </c>
      <c r="X640" s="31">
        <v>899952</v>
      </c>
      <c r="Y640" s="16">
        <v>682473</v>
      </c>
      <c r="Z640" s="16">
        <v>213309</v>
      </c>
      <c r="AA640" s="31">
        <v>895782</v>
      </c>
      <c r="AB640" s="32">
        <v>646202</v>
      </c>
      <c r="AC640" s="16">
        <v>270323</v>
      </c>
      <c r="AD640" s="31">
        <v>916525</v>
      </c>
      <c r="AE640" s="16">
        <v>665668</v>
      </c>
      <c r="AF640" s="16">
        <v>194064</v>
      </c>
      <c r="AG640" s="31">
        <v>859732</v>
      </c>
      <c r="AH640" s="16">
        <v>646322</v>
      </c>
      <c r="AI640" s="16">
        <v>215303</v>
      </c>
      <c r="AJ640" s="31">
        <v>861625</v>
      </c>
      <c r="AK640" s="16">
        <v>644226</v>
      </c>
      <c r="AL640" s="16">
        <v>195282</v>
      </c>
      <c r="AM640" s="31">
        <v>839508</v>
      </c>
      <c r="AN640" s="16">
        <v>742697</v>
      </c>
      <c r="AO640" s="16">
        <v>171427</v>
      </c>
      <c r="AP640" s="31">
        <v>914124</v>
      </c>
      <c r="AQ640" s="42"/>
      <c r="AR640" s="43"/>
      <c r="AS640" s="42"/>
      <c r="AT640" s="42"/>
    </row>
    <row r="641" spans="1:46" ht="12.9" customHeight="1" x14ac:dyDescent="0.25">
      <c r="A641" s="28" t="s">
        <v>1312</v>
      </c>
      <c r="B641" s="29" t="s">
        <v>1313</v>
      </c>
      <c r="C641" s="30" t="s">
        <v>113</v>
      </c>
      <c r="D641" s="40">
        <v>231958</v>
      </c>
      <c r="E641" s="26">
        <v>33706</v>
      </c>
      <c r="F641" s="26">
        <f t="shared" si="18"/>
        <v>265664</v>
      </c>
      <c r="G641" s="40">
        <v>236916</v>
      </c>
      <c r="H641" s="26">
        <v>38966</v>
      </c>
      <c r="I641" s="27">
        <f t="shared" si="19"/>
        <v>275882</v>
      </c>
      <c r="J641" s="40">
        <v>240486</v>
      </c>
      <c r="K641" s="26">
        <v>39690</v>
      </c>
      <c r="L641" s="27">
        <v>280176</v>
      </c>
      <c r="M641" s="26">
        <v>250764</v>
      </c>
      <c r="N641" s="26">
        <v>38896</v>
      </c>
      <c r="O641" s="27">
        <v>289660</v>
      </c>
      <c r="P641" s="26">
        <v>251885</v>
      </c>
      <c r="Q641" s="26">
        <v>36852</v>
      </c>
      <c r="R641" s="27">
        <v>288737</v>
      </c>
      <c r="S641" s="26">
        <v>234081</v>
      </c>
      <c r="T641" s="26">
        <v>42989</v>
      </c>
      <c r="U641" s="27">
        <v>277070</v>
      </c>
      <c r="V641" s="26">
        <v>222532</v>
      </c>
      <c r="W641" s="26">
        <v>34541</v>
      </c>
      <c r="X641" s="31">
        <v>257073</v>
      </c>
      <c r="Y641" s="16">
        <v>224126</v>
      </c>
      <c r="Z641" s="16">
        <v>34762</v>
      </c>
      <c r="AA641" s="31">
        <v>258888</v>
      </c>
      <c r="AB641" s="32">
        <v>223910</v>
      </c>
      <c r="AC641" s="16">
        <v>34076</v>
      </c>
      <c r="AD641" s="31">
        <v>257986</v>
      </c>
      <c r="AE641" s="16">
        <v>217121</v>
      </c>
      <c r="AF641" s="16">
        <v>39837</v>
      </c>
      <c r="AG641" s="31">
        <v>256958</v>
      </c>
      <c r="AH641" s="16">
        <v>193346.76923076922</v>
      </c>
      <c r="AI641" s="16">
        <v>35184</v>
      </c>
      <c r="AJ641" s="31">
        <v>228530.76923076922</v>
      </c>
      <c r="AK641" s="16">
        <v>202959</v>
      </c>
      <c r="AL641" s="16">
        <v>36536</v>
      </c>
      <c r="AM641" s="31">
        <v>239495</v>
      </c>
      <c r="AN641" s="16">
        <v>217702</v>
      </c>
      <c r="AO641" s="16">
        <v>41317</v>
      </c>
      <c r="AP641" s="31">
        <v>259019</v>
      </c>
      <c r="AQ641" s="42"/>
      <c r="AR641" s="43"/>
      <c r="AS641" s="42"/>
      <c r="AT641" s="42"/>
    </row>
    <row r="642" spans="1:46" ht="12.9" customHeight="1" x14ac:dyDescent="0.25">
      <c r="A642" s="28" t="s">
        <v>1314</v>
      </c>
      <c r="B642" s="29" t="s">
        <v>1315</v>
      </c>
      <c r="C642" s="30" t="s">
        <v>29</v>
      </c>
      <c r="D642" s="40">
        <v>28985</v>
      </c>
      <c r="E642" s="26">
        <v>6359</v>
      </c>
      <c r="F642" s="26">
        <f t="shared" si="18"/>
        <v>35344</v>
      </c>
      <c r="G642" s="40">
        <v>27055</v>
      </c>
      <c r="H642" s="26">
        <v>5236</v>
      </c>
      <c r="I642" s="27">
        <f t="shared" si="19"/>
        <v>32291</v>
      </c>
      <c r="J642" s="40">
        <v>28509</v>
      </c>
      <c r="K642" s="26">
        <v>5650</v>
      </c>
      <c r="L642" s="27">
        <v>34159</v>
      </c>
      <c r="M642" s="26">
        <v>32907</v>
      </c>
      <c r="N642" s="26">
        <v>5595</v>
      </c>
      <c r="O642" s="27">
        <v>38502</v>
      </c>
      <c r="P642" s="26">
        <v>28967</v>
      </c>
      <c r="Q642" s="26">
        <v>6079</v>
      </c>
      <c r="R642" s="27">
        <v>35046</v>
      </c>
      <c r="S642" s="26">
        <v>28382</v>
      </c>
      <c r="T642" s="26">
        <v>9884</v>
      </c>
      <c r="U642" s="27">
        <v>38266</v>
      </c>
      <c r="V642" s="26">
        <v>43510</v>
      </c>
      <c r="W642" s="26">
        <v>12399</v>
      </c>
      <c r="X642" s="31">
        <v>55909</v>
      </c>
      <c r="Y642" s="16">
        <v>56717</v>
      </c>
      <c r="Z642" s="16">
        <v>8564</v>
      </c>
      <c r="AA642" s="31">
        <v>65281</v>
      </c>
      <c r="AB642" s="32">
        <v>56717</v>
      </c>
      <c r="AC642" s="16">
        <v>8209</v>
      </c>
      <c r="AD642" s="31">
        <v>64926</v>
      </c>
      <c r="AE642" s="16">
        <v>56717</v>
      </c>
      <c r="AF642" s="16">
        <v>7198</v>
      </c>
      <c r="AG642" s="31">
        <v>63915</v>
      </c>
      <c r="AH642" s="16">
        <v>56717</v>
      </c>
      <c r="AI642" s="16">
        <v>7846</v>
      </c>
      <c r="AJ642" s="31">
        <v>64563</v>
      </c>
      <c r="AK642" s="16">
        <v>44775</v>
      </c>
      <c r="AL642" s="16">
        <v>9153</v>
      </c>
      <c r="AM642" s="31">
        <v>53928</v>
      </c>
      <c r="AN642" s="16">
        <v>44775</v>
      </c>
      <c r="AO642" s="16">
        <v>9012</v>
      </c>
      <c r="AP642" s="31">
        <v>53787</v>
      </c>
      <c r="AQ642" s="42"/>
      <c r="AR642" s="43"/>
      <c r="AS642" s="42"/>
      <c r="AT642" s="42"/>
    </row>
    <row r="643" spans="1:46" ht="12.9" customHeight="1" x14ac:dyDescent="0.25">
      <c r="A643" s="28" t="s">
        <v>1316</v>
      </c>
      <c r="B643" s="29" t="s">
        <v>1317</v>
      </c>
      <c r="C643" s="30" t="s">
        <v>73</v>
      </c>
      <c r="D643" s="40">
        <v>268340</v>
      </c>
      <c r="E643" s="26">
        <v>595627</v>
      </c>
      <c r="F643" s="26">
        <f t="shared" si="18"/>
        <v>863967</v>
      </c>
      <c r="G643" s="40">
        <v>261451</v>
      </c>
      <c r="H643" s="26">
        <v>621806</v>
      </c>
      <c r="I643" s="27">
        <f t="shared" si="19"/>
        <v>883257</v>
      </c>
      <c r="J643" s="40">
        <v>265088</v>
      </c>
      <c r="K643" s="26">
        <v>630395</v>
      </c>
      <c r="L643" s="27">
        <v>895483</v>
      </c>
      <c r="M643" s="26">
        <v>278129</v>
      </c>
      <c r="N643" s="26">
        <v>587239</v>
      </c>
      <c r="O643" s="27">
        <v>865368</v>
      </c>
      <c r="P643" s="26">
        <v>294974</v>
      </c>
      <c r="Q643" s="26">
        <v>548850</v>
      </c>
      <c r="R643" s="27">
        <v>843824</v>
      </c>
      <c r="S643" s="26">
        <v>273637</v>
      </c>
      <c r="T643" s="26">
        <v>452113</v>
      </c>
      <c r="U643" s="27">
        <v>725750</v>
      </c>
      <c r="V643" s="26">
        <v>270117</v>
      </c>
      <c r="W643" s="26">
        <v>461537</v>
      </c>
      <c r="X643" s="31">
        <v>731654</v>
      </c>
      <c r="Y643" s="16">
        <v>276894</v>
      </c>
      <c r="Z643" s="16">
        <v>499146</v>
      </c>
      <c r="AA643" s="31">
        <v>776040</v>
      </c>
      <c r="AB643" s="32">
        <v>278915</v>
      </c>
      <c r="AC643" s="16">
        <v>567347</v>
      </c>
      <c r="AD643" s="31">
        <v>846262</v>
      </c>
      <c r="AE643" s="16">
        <v>280833</v>
      </c>
      <c r="AF643" s="16">
        <v>518075</v>
      </c>
      <c r="AG643" s="31">
        <v>798908</v>
      </c>
      <c r="AH643" s="16">
        <v>275710</v>
      </c>
      <c r="AI643" s="16">
        <v>497867</v>
      </c>
      <c r="AJ643" s="31">
        <v>773577</v>
      </c>
      <c r="AK643" s="16">
        <v>275833</v>
      </c>
      <c r="AL643" s="16">
        <v>473848</v>
      </c>
      <c r="AM643" s="31">
        <v>749681</v>
      </c>
      <c r="AN643" s="16">
        <v>282251</v>
      </c>
      <c r="AO643" s="16">
        <v>490044</v>
      </c>
      <c r="AP643" s="31">
        <v>772295</v>
      </c>
      <c r="AQ643" s="42"/>
      <c r="AR643" s="43"/>
      <c r="AS643" s="42"/>
      <c r="AT643" s="42"/>
    </row>
    <row r="644" spans="1:46" ht="12.9" customHeight="1" x14ac:dyDescent="0.25">
      <c r="A644" s="28" t="s">
        <v>1318</v>
      </c>
      <c r="B644" s="29" t="s">
        <v>1319</v>
      </c>
      <c r="C644" s="30" t="s">
        <v>23</v>
      </c>
      <c r="D644" s="40">
        <v>1296556</v>
      </c>
      <c r="E644" s="26">
        <v>545398</v>
      </c>
      <c r="F644" s="26">
        <f t="shared" si="18"/>
        <v>1841954</v>
      </c>
      <c r="G644" s="40">
        <v>1385392</v>
      </c>
      <c r="H644" s="26">
        <v>594537</v>
      </c>
      <c r="I644" s="27">
        <f t="shared" si="19"/>
        <v>1979929</v>
      </c>
      <c r="J644" s="40">
        <v>1458007</v>
      </c>
      <c r="K644" s="26">
        <v>635035</v>
      </c>
      <c r="L644" s="27">
        <v>2093042</v>
      </c>
      <c r="M644" s="26">
        <v>1425076</v>
      </c>
      <c r="N644" s="26">
        <v>490360</v>
      </c>
      <c r="O644" s="27">
        <v>1915436</v>
      </c>
      <c r="P644" s="26">
        <v>1335595</v>
      </c>
      <c r="Q644" s="26">
        <v>395354</v>
      </c>
      <c r="R644" s="27">
        <v>1730949</v>
      </c>
      <c r="S644" s="26">
        <v>1477459</v>
      </c>
      <c r="T644" s="26">
        <v>665734</v>
      </c>
      <c r="U644" s="27">
        <v>2143193</v>
      </c>
      <c r="V644" s="26">
        <v>1446935</v>
      </c>
      <c r="W644" s="26">
        <v>660578</v>
      </c>
      <c r="X644" s="31">
        <v>2107513</v>
      </c>
      <c r="Y644" s="16">
        <v>1449497</v>
      </c>
      <c r="Z644" s="16">
        <v>705010</v>
      </c>
      <c r="AA644" s="31">
        <v>2154507</v>
      </c>
      <c r="AB644" s="32">
        <v>1431691</v>
      </c>
      <c r="AC644" s="16">
        <v>677840</v>
      </c>
      <c r="AD644" s="31">
        <v>2109531</v>
      </c>
      <c r="AE644" s="16">
        <v>1295787</v>
      </c>
      <c r="AF644" s="16">
        <v>685748</v>
      </c>
      <c r="AG644" s="31">
        <v>1981535</v>
      </c>
      <c r="AH644" s="16">
        <v>1375856</v>
      </c>
      <c r="AI644" s="16">
        <v>659569</v>
      </c>
      <c r="AJ644" s="31">
        <v>2035425</v>
      </c>
      <c r="AK644" s="16">
        <v>1481589</v>
      </c>
      <c r="AL644" s="16">
        <v>669932</v>
      </c>
      <c r="AM644" s="31">
        <v>2151521</v>
      </c>
      <c r="AN644" s="16">
        <v>1472399.4539999999</v>
      </c>
      <c r="AO644" s="16">
        <v>610977</v>
      </c>
      <c r="AP644" s="31">
        <v>2083376.4539999999</v>
      </c>
      <c r="AQ644" s="42"/>
      <c r="AR644" s="43"/>
      <c r="AS644" s="42"/>
      <c r="AT644" s="42"/>
    </row>
    <row r="645" spans="1:46" ht="12.9" customHeight="1" x14ac:dyDescent="0.25">
      <c r="A645" s="28" t="s">
        <v>1320</v>
      </c>
      <c r="B645" s="29" t="s">
        <v>1321</v>
      </c>
      <c r="C645" s="30" t="s">
        <v>34</v>
      </c>
      <c r="D645" s="40">
        <v>124223</v>
      </c>
      <c r="E645" s="26">
        <v>1695137</v>
      </c>
      <c r="F645" s="26">
        <f t="shared" si="18"/>
        <v>1819360</v>
      </c>
      <c r="G645" s="40">
        <v>123140</v>
      </c>
      <c r="H645" s="26">
        <v>2117873</v>
      </c>
      <c r="I645" s="27">
        <f t="shared" si="19"/>
        <v>2241013</v>
      </c>
      <c r="J645" s="40">
        <v>123830</v>
      </c>
      <c r="K645" s="26">
        <v>2687906</v>
      </c>
      <c r="L645" s="27">
        <v>2811736</v>
      </c>
      <c r="M645" s="26">
        <v>134847</v>
      </c>
      <c r="N645" s="26">
        <v>2044088</v>
      </c>
      <c r="O645" s="27">
        <v>2178935</v>
      </c>
      <c r="P645" s="26">
        <v>128815</v>
      </c>
      <c r="Q645" s="26">
        <v>1798336</v>
      </c>
      <c r="R645" s="27">
        <v>1927151</v>
      </c>
      <c r="S645" s="26">
        <v>116678</v>
      </c>
      <c r="T645" s="26">
        <v>1987539</v>
      </c>
      <c r="U645" s="27">
        <v>2104217</v>
      </c>
      <c r="V645" s="26">
        <v>111608</v>
      </c>
      <c r="W645" s="26">
        <v>1822687</v>
      </c>
      <c r="X645" s="31">
        <v>1934295</v>
      </c>
      <c r="Y645" s="16">
        <v>108521</v>
      </c>
      <c r="Z645" s="16">
        <v>1728489</v>
      </c>
      <c r="AA645" s="31">
        <v>1837010</v>
      </c>
      <c r="AB645" s="32">
        <v>104328</v>
      </c>
      <c r="AC645" s="16">
        <v>1589031</v>
      </c>
      <c r="AD645" s="31">
        <v>1693359</v>
      </c>
      <c r="AE645" s="16">
        <v>102199</v>
      </c>
      <c r="AF645" s="16">
        <v>1426379</v>
      </c>
      <c r="AG645" s="31">
        <v>1528578</v>
      </c>
      <c r="AH645" s="16">
        <v>100363</v>
      </c>
      <c r="AI645" s="16">
        <v>1306870</v>
      </c>
      <c r="AJ645" s="31">
        <v>1407233</v>
      </c>
      <c r="AK645" s="16">
        <v>101957</v>
      </c>
      <c r="AL645" s="16">
        <v>1623680</v>
      </c>
      <c r="AM645" s="31">
        <v>1725637</v>
      </c>
      <c r="AN645" s="16">
        <v>110823</v>
      </c>
      <c r="AO645" s="16">
        <v>1554273</v>
      </c>
      <c r="AP645" s="31">
        <v>1665096</v>
      </c>
      <c r="AQ645" s="42"/>
      <c r="AR645" s="43"/>
      <c r="AS645" s="42"/>
      <c r="AT645" s="42"/>
    </row>
    <row r="646" spans="1:46" ht="12.9" customHeight="1" x14ac:dyDescent="0.25">
      <c r="A646" s="28" t="s">
        <v>1322</v>
      </c>
      <c r="B646" s="29" t="s">
        <v>1323</v>
      </c>
      <c r="C646" s="30" t="s">
        <v>29</v>
      </c>
      <c r="D646" s="40">
        <v>14320</v>
      </c>
      <c r="E646" s="26">
        <v>1</v>
      </c>
      <c r="F646" s="26">
        <f t="shared" si="18"/>
        <v>14321</v>
      </c>
      <c r="G646" s="40">
        <v>14744</v>
      </c>
      <c r="H646" s="26">
        <v>1</v>
      </c>
      <c r="I646" s="27">
        <f t="shared" si="19"/>
        <v>14745</v>
      </c>
      <c r="J646" s="40">
        <v>15251</v>
      </c>
      <c r="K646" s="26">
        <v>1</v>
      </c>
      <c r="L646" s="27">
        <v>15252</v>
      </c>
      <c r="M646" s="26">
        <v>16041</v>
      </c>
      <c r="N646" s="26">
        <v>1</v>
      </c>
      <c r="O646" s="27">
        <v>16042</v>
      </c>
      <c r="P646" s="26">
        <v>14747</v>
      </c>
      <c r="Q646" s="26">
        <v>1</v>
      </c>
      <c r="R646" s="27">
        <v>14748</v>
      </c>
      <c r="S646" s="26">
        <v>14360</v>
      </c>
      <c r="T646" s="26">
        <v>1</v>
      </c>
      <c r="U646" s="27">
        <v>14361</v>
      </c>
      <c r="V646" s="26">
        <v>16006</v>
      </c>
      <c r="W646" s="26">
        <v>1</v>
      </c>
      <c r="X646" s="31">
        <v>16007</v>
      </c>
      <c r="Y646" s="16">
        <v>13601</v>
      </c>
      <c r="Z646" s="16">
        <v>1</v>
      </c>
      <c r="AA646" s="31">
        <v>13602</v>
      </c>
      <c r="AB646" s="32">
        <v>14820</v>
      </c>
      <c r="AC646" s="16">
        <v>1</v>
      </c>
      <c r="AD646" s="31">
        <v>14821</v>
      </c>
      <c r="AE646" s="16">
        <v>16656</v>
      </c>
      <c r="AF646" s="16">
        <v>2</v>
      </c>
      <c r="AG646" s="31">
        <v>16658</v>
      </c>
      <c r="AH646" s="16">
        <v>16852</v>
      </c>
      <c r="AI646" s="16">
        <v>1</v>
      </c>
      <c r="AJ646" s="31">
        <v>16853</v>
      </c>
      <c r="AK646" s="16">
        <v>15358</v>
      </c>
      <c r="AL646" s="16">
        <v>72</v>
      </c>
      <c r="AM646" s="31">
        <v>15430</v>
      </c>
      <c r="AN646" s="16">
        <v>15358</v>
      </c>
      <c r="AO646" s="16">
        <v>72</v>
      </c>
      <c r="AP646" s="31">
        <v>15430</v>
      </c>
      <c r="AQ646" s="42"/>
      <c r="AR646" s="43"/>
      <c r="AS646" s="42"/>
      <c r="AT646" s="42"/>
    </row>
    <row r="647" spans="1:46" ht="12.9" customHeight="1" x14ac:dyDescent="0.25">
      <c r="A647" s="28" t="s">
        <v>1324</v>
      </c>
      <c r="B647" s="29" t="s">
        <v>1325</v>
      </c>
      <c r="C647" s="30" t="s">
        <v>197</v>
      </c>
      <c r="D647" s="40">
        <v>2872655</v>
      </c>
      <c r="E647" s="26">
        <v>1741083</v>
      </c>
      <c r="F647" s="26">
        <f t="shared" si="18"/>
        <v>4613738</v>
      </c>
      <c r="G647" s="40">
        <v>2920409</v>
      </c>
      <c r="H647" s="26">
        <v>1891591</v>
      </c>
      <c r="I647" s="27">
        <f t="shared" si="19"/>
        <v>4812000</v>
      </c>
      <c r="J647" s="40">
        <v>2971418</v>
      </c>
      <c r="K647" s="26">
        <v>2005359</v>
      </c>
      <c r="L647" s="27">
        <v>4976777</v>
      </c>
      <c r="M647" s="26">
        <v>3063691</v>
      </c>
      <c r="N647" s="26">
        <v>1892231</v>
      </c>
      <c r="O647" s="27">
        <v>4955922</v>
      </c>
      <c r="P647" s="26">
        <v>3063099</v>
      </c>
      <c r="Q647" s="26">
        <v>1856267</v>
      </c>
      <c r="R647" s="27">
        <v>4919366</v>
      </c>
      <c r="S647" s="26">
        <v>2887244</v>
      </c>
      <c r="T647" s="26">
        <v>2045726</v>
      </c>
      <c r="U647" s="27">
        <v>4932970</v>
      </c>
      <c r="V647" s="26">
        <v>2820585</v>
      </c>
      <c r="W647" s="26">
        <v>2279393</v>
      </c>
      <c r="X647" s="31">
        <v>5099978</v>
      </c>
      <c r="Y647" s="16">
        <v>2860625</v>
      </c>
      <c r="Z647" s="16">
        <v>2347204</v>
      </c>
      <c r="AA647" s="31">
        <v>5207829</v>
      </c>
      <c r="AB647" s="32">
        <v>2816024</v>
      </c>
      <c r="AC647" s="16">
        <v>2491364</v>
      </c>
      <c r="AD647" s="31">
        <v>5307388</v>
      </c>
      <c r="AE647" s="16">
        <v>2804772</v>
      </c>
      <c r="AF647" s="16">
        <v>2055811</v>
      </c>
      <c r="AG647" s="31">
        <v>4860583</v>
      </c>
      <c r="AH647" s="16">
        <v>2768507</v>
      </c>
      <c r="AI647" s="16">
        <v>2109060</v>
      </c>
      <c r="AJ647" s="31">
        <v>4877567</v>
      </c>
      <c r="AK647" s="16">
        <v>2786223</v>
      </c>
      <c r="AL647" s="16">
        <v>2196563</v>
      </c>
      <c r="AM647" s="31">
        <v>4982786</v>
      </c>
      <c r="AN647" s="16">
        <v>2903598</v>
      </c>
      <c r="AO647" s="16">
        <v>2418744</v>
      </c>
      <c r="AP647" s="31">
        <v>5322342</v>
      </c>
      <c r="AQ647" s="42"/>
      <c r="AR647" s="43"/>
      <c r="AS647" s="42"/>
      <c r="AT647" s="42"/>
    </row>
    <row r="648" spans="1:46" ht="12.9" customHeight="1" x14ac:dyDescent="0.25">
      <c r="A648" s="28" t="s">
        <v>1326</v>
      </c>
      <c r="B648" s="29" t="s">
        <v>1327</v>
      </c>
      <c r="C648" s="30" t="s">
        <v>153</v>
      </c>
      <c r="D648" s="40">
        <v>14178</v>
      </c>
      <c r="E648" s="26">
        <v>10327</v>
      </c>
      <c r="F648" s="26">
        <f t="shared" si="18"/>
        <v>24505</v>
      </c>
      <c r="G648" s="40">
        <v>13361</v>
      </c>
      <c r="H648" s="26">
        <v>11611</v>
      </c>
      <c r="I648" s="27">
        <f t="shared" si="19"/>
        <v>24972</v>
      </c>
      <c r="J648" s="40">
        <v>11242</v>
      </c>
      <c r="K648" s="26">
        <v>0</v>
      </c>
      <c r="L648" s="27">
        <v>11242</v>
      </c>
      <c r="M648" s="26">
        <v>11252</v>
      </c>
      <c r="N648" s="26">
        <v>0</v>
      </c>
      <c r="O648" s="27">
        <v>11252</v>
      </c>
      <c r="P648" s="26">
        <v>9396</v>
      </c>
      <c r="Q648" s="26">
        <v>0</v>
      </c>
      <c r="R648" s="27">
        <v>9396</v>
      </c>
      <c r="S648" s="26">
        <v>9453</v>
      </c>
      <c r="T648" s="26">
        <v>0</v>
      </c>
      <c r="U648" s="27">
        <v>9453</v>
      </c>
      <c r="V648" s="26">
        <v>7521</v>
      </c>
      <c r="W648" s="26">
        <v>0</v>
      </c>
      <c r="X648" s="31">
        <v>7521</v>
      </c>
      <c r="Y648" s="16">
        <v>14614</v>
      </c>
      <c r="Z648" s="16">
        <v>0</v>
      </c>
      <c r="AA648" s="31">
        <v>14614</v>
      </c>
      <c r="AB648" s="32">
        <v>9738</v>
      </c>
      <c r="AC648" s="16">
        <v>0</v>
      </c>
      <c r="AD648" s="31">
        <v>9738</v>
      </c>
      <c r="AE648" s="16">
        <v>9557</v>
      </c>
      <c r="AF648" s="16">
        <v>0</v>
      </c>
      <c r="AG648" s="31">
        <v>9557</v>
      </c>
      <c r="AH648" s="16">
        <v>9778</v>
      </c>
      <c r="AI648" s="16">
        <v>886</v>
      </c>
      <c r="AJ648" s="31">
        <v>10664</v>
      </c>
      <c r="AK648" s="16">
        <v>11607</v>
      </c>
      <c r="AL648" s="16">
        <v>0</v>
      </c>
      <c r="AM648" s="31">
        <v>11607</v>
      </c>
      <c r="AN648" s="16">
        <v>14274</v>
      </c>
      <c r="AO648" s="16">
        <v>7683</v>
      </c>
      <c r="AP648" s="31">
        <v>21957</v>
      </c>
      <c r="AQ648" s="42"/>
      <c r="AR648" s="43"/>
      <c r="AS648" s="42"/>
      <c r="AT648" s="42"/>
    </row>
    <row r="649" spans="1:46" ht="12.9" customHeight="1" x14ac:dyDescent="0.25">
      <c r="A649" s="28" t="s">
        <v>1328</v>
      </c>
      <c r="B649" s="29" t="s">
        <v>1329</v>
      </c>
      <c r="C649" s="30" t="s">
        <v>59</v>
      </c>
      <c r="D649" s="40">
        <v>24208</v>
      </c>
      <c r="E649" s="26">
        <v>7151</v>
      </c>
      <c r="F649" s="26">
        <f t="shared" ref="F649:F712" si="20">+D649+E649</f>
        <v>31359</v>
      </c>
      <c r="G649" s="40">
        <v>25390</v>
      </c>
      <c r="H649" s="26">
        <v>7330</v>
      </c>
      <c r="I649" s="27">
        <f t="shared" si="19"/>
        <v>32720</v>
      </c>
      <c r="J649" s="40">
        <v>28447</v>
      </c>
      <c r="K649" s="26">
        <v>10842</v>
      </c>
      <c r="L649" s="27">
        <v>39289</v>
      </c>
      <c r="M649" s="26">
        <v>29902</v>
      </c>
      <c r="N649" s="26">
        <v>5002</v>
      </c>
      <c r="O649" s="27">
        <v>34904</v>
      </c>
      <c r="P649" s="26">
        <v>27723</v>
      </c>
      <c r="Q649" s="26">
        <v>4245</v>
      </c>
      <c r="R649" s="27">
        <v>31968</v>
      </c>
      <c r="S649" s="26">
        <v>25323</v>
      </c>
      <c r="T649" s="26">
        <v>3131</v>
      </c>
      <c r="U649" s="27">
        <v>28454</v>
      </c>
      <c r="V649" s="26">
        <v>24926</v>
      </c>
      <c r="W649" s="26">
        <v>3483</v>
      </c>
      <c r="X649" s="31">
        <v>28409</v>
      </c>
      <c r="Y649" s="16">
        <v>26348</v>
      </c>
      <c r="Z649" s="16">
        <v>2210</v>
      </c>
      <c r="AA649" s="31">
        <v>28558</v>
      </c>
      <c r="AB649" s="32">
        <v>24410</v>
      </c>
      <c r="AC649" s="16">
        <v>3209</v>
      </c>
      <c r="AD649" s="31">
        <v>27619</v>
      </c>
      <c r="AE649" s="16">
        <v>21450</v>
      </c>
      <c r="AF649" s="16">
        <v>4338</v>
      </c>
      <c r="AG649" s="31">
        <v>25788</v>
      </c>
      <c r="AH649" s="16">
        <v>20313</v>
      </c>
      <c r="AI649" s="16">
        <v>481</v>
      </c>
      <c r="AJ649" s="31">
        <v>20794</v>
      </c>
      <c r="AK649" s="16">
        <v>22199</v>
      </c>
      <c r="AL649" s="16">
        <v>464</v>
      </c>
      <c r="AM649" s="31">
        <v>22663</v>
      </c>
      <c r="AN649" s="16">
        <v>35384</v>
      </c>
      <c r="AO649" s="16">
        <v>491</v>
      </c>
      <c r="AP649" s="31">
        <v>35875</v>
      </c>
      <c r="AQ649" s="42"/>
      <c r="AR649" s="43"/>
      <c r="AS649" s="42"/>
      <c r="AT649" s="42"/>
    </row>
    <row r="650" spans="1:46" ht="12.9" customHeight="1" x14ac:dyDescent="0.25">
      <c r="A650" s="28" t="s">
        <v>1330</v>
      </c>
      <c r="B650" s="29" t="s">
        <v>1331</v>
      </c>
      <c r="C650" s="30" t="s">
        <v>113</v>
      </c>
      <c r="D650" s="40">
        <v>12143</v>
      </c>
      <c r="E650" s="26">
        <v>24147</v>
      </c>
      <c r="F650" s="26">
        <f t="shared" si="20"/>
        <v>36290</v>
      </c>
      <c r="G650" s="40">
        <v>12012</v>
      </c>
      <c r="H650" s="26">
        <v>24902</v>
      </c>
      <c r="I650" s="27">
        <f t="shared" ref="I650:I713" si="21">+G650+H650</f>
        <v>36914</v>
      </c>
      <c r="J650" s="40">
        <v>14699</v>
      </c>
      <c r="K650" s="26">
        <v>14010</v>
      </c>
      <c r="L650" s="27">
        <v>28709</v>
      </c>
      <c r="M650" s="26">
        <v>11853</v>
      </c>
      <c r="N650" s="26">
        <v>13543</v>
      </c>
      <c r="O650" s="27">
        <v>25396</v>
      </c>
      <c r="P650" s="26">
        <v>11421</v>
      </c>
      <c r="Q650" s="26">
        <v>13444</v>
      </c>
      <c r="R650" s="27">
        <v>24865</v>
      </c>
      <c r="S650" s="26">
        <v>13300</v>
      </c>
      <c r="T650" s="26">
        <v>16292</v>
      </c>
      <c r="U650" s="27">
        <v>29592</v>
      </c>
      <c r="V650" s="26">
        <v>12726</v>
      </c>
      <c r="W650" s="26">
        <v>15658</v>
      </c>
      <c r="X650" s="31">
        <v>28384</v>
      </c>
      <c r="Y650" s="16">
        <v>11721</v>
      </c>
      <c r="Z650" s="16">
        <v>14232</v>
      </c>
      <c r="AA650" s="31">
        <v>25953</v>
      </c>
      <c r="AB650" s="32">
        <v>12013</v>
      </c>
      <c r="AC650" s="16">
        <v>12521</v>
      </c>
      <c r="AD650" s="31">
        <v>24534</v>
      </c>
      <c r="AE650" s="16">
        <v>11091</v>
      </c>
      <c r="AF650" s="16">
        <v>13074</v>
      </c>
      <c r="AG650" s="31">
        <v>24165</v>
      </c>
      <c r="AH650" s="16">
        <v>10915</v>
      </c>
      <c r="AI650" s="16">
        <v>11084</v>
      </c>
      <c r="AJ650" s="31">
        <v>21999</v>
      </c>
      <c r="AK650" s="16">
        <v>12910</v>
      </c>
      <c r="AL650" s="16">
        <v>10828</v>
      </c>
      <c r="AM650" s="31">
        <v>23738</v>
      </c>
      <c r="AN650" s="16">
        <v>13464</v>
      </c>
      <c r="AO650" s="16">
        <v>10319</v>
      </c>
      <c r="AP650" s="31">
        <v>23783</v>
      </c>
      <c r="AQ650" s="42"/>
      <c r="AR650" s="43"/>
      <c r="AS650" s="42"/>
      <c r="AT650" s="42"/>
    </row>
    <row r="651" spans="1:46" ht="12.9" customHeight="1" x14ac:dyDescent="0.25">
      <c r="A651" s="28" t="s">
        <v>1332</v>
      </c>
      <c r="B651" s="29" t="s">
        <v>1333</v>
      </c>
      <c r="C651" s="30" t="s">
        <v>197</v>
      </c>
      <c r="D651" s="40">
        <v>7629994</v>
      </c>
      <c r="E651" s="26">
        <v>2117502</v>
      </c>
      <c r="F651" s="26">
        <f t="shared" si="20"/>
        <v>9747496</v>
      </c>
      <c r="G651" s="40">
        <v>7796196</v>
      </c>
      <c r="H651" s="26">
        <v>2278524</v>
      </c>
      <c r="I651" s="27">
        <f t="shared" si="21"/>
        <v>10074720</v>
      </c>
      <c r="J651" s="40">
        <v>7924064</v>
      </c>
      <c r="K651" s="26">
        <v>2401924</v>
      </c>
      <c r="L651" s="27">
        <v>10325988</v>
      </c>
      <c r="M651" s="26">
        <v>8190246</v>
      </c>
      <c r="N651" s="26">
        <v>2270552</v>
      </c>
      <c r="O651" s="27">
        <v>10460798</v>
      </c>
      <c r="P651" s="26">
        <v>8212507</v>
      </c>
      <c r="Q651" s="26">
        <v>2035192</v>
      </c>
      <c r="R651" s="27">
        <v>10247699</v>
      </c>
      <c r="S651" s="26">
        <v>7705601</v>
      </c>
      <c r="T651" s="26">
        <v>2587648</v>
      </c>
      <c r="U651" s="27">
        <v>10293249</v>
      </c>
      <c r="V651" s="26">
        <v>7645322</v>
      </c>
      <c r="W651" s="26">
        <v>2436075</v>
      </c>
      <c r="X651" s="31">
        <v>10081397</v>
      </c>
      <c r="Y651" s="16">
        <v>7529426</v>
      </c>
      <c r="Z651" s="16">
        <v>2440511</v>
      </c>
      <c r="AA651" s="31">
        <v>9969937</v>
      </c>
      <c r="AB651" s="32">
        <v>7419570</v>
      </c>
      <c r="AC651" s="16">
        <v>2588733</v>
      </c>
      <c r="AD651" s="31">
        <v>10008303</v>
      </c>
      <c r="AE651" s="16">
        <v>7379229</v>
      </c>
      <c r="AF651" s="16">
        <v>2534172</v>
      </c>
      <c r="AG651" s="31">
        <v>9913401</v>
      </c>
      <c r="AH651" s="16">
        <v>7346297</v>
      </c>
      <c r="AI651" s="16">
        <v>2489464</v>
      </c>
      <c r="AJ651" s="31">
        <v>9835761</v>
      </c>
      <c r="AK651" s="16">
        <v>7443516</v>
      </c>
      <c r="AL651" s="16">
        <v>2557242</v>
      </c>
      <c r="AM651" s="31">
        <v>10000758</v>
      </c>
      <c r="AN651" s="16">
        <v>7674183</v>
      </c>
      <c r="AO651" s="16">
        <v>2543392</v>
      </c>
      <c r="AP651" s="31">
        <v>10217575</v>
      </c>
      <c r="AQ651" s="42"/>
      <c r="AR651" s="43"/>
      <c r="AS651" s="42"/>
      <c r="AT651" s="42"/>
    </row>
    <row r="652" spans="1:46" ht="12.9" customHeight="1" x14ac:dyDescent="0.25">
      <c r="A652" s="28" t="s">
        <v>1334</v>
      </c>
      <c r="B652" s="29" t="s">
        <v>1335</v>
      </c>
      <c r="C652" s="30" t="s">
        <v>184</v>
      </c>
      <c r="D652" s="40">
        <v>3419</v>
      </c>
      <c r="E652" s="26">
        <v>27899</v>
      </c>
      <c r="F652" s="26">
        <f t="shared" si="20"/>
        <v>31318</v>
      </c>
      <c r="G652" s="40">
        <v>4581</v>
      </c>
      <c r="H652" s="26">
        <v>26579</v>
      </c>
      <c r="I652" s="27">
        <f t="shared" si="21"/>
        <v>31160</v>
      </c>
      <c r="J652" s="40">
        <v>3841</v>
      </c>
      <c r="K652" s="26">
        <v>26045</v>
      </c>
      <c r="L652" s="27">
        <v>29886</v>
      </c>
      <c r="M652" s="26">
        <v>3516</v>
      </c>
      <c r="N652" s="26">
        <v>24144</v>
      </c>
      <c r="O652" s="27">
        <v>27660</v>
      </c>
      <c r="P652" s="26">
        <v>3674</v>
      </c>
      <c r="Q652" s="26">
        <v>19181</v>
      </c>
      <c r="R652" s="27">
        <v>22855</v>
      </c>
      <c r="S652" s="26">
        <v>3545</v>
      </c>
      <c r="T652" s="26">
        <v>30034</v>
      </c>
      <c r="U652" s="27">
        <v>33579</v>
      </c>
      <c r="V652" s="26">
        <v>2660</v>
      </c>
      <c r="W652" s="26">
        <v>19926</v>
      </c>
      <c r="X652" s="31">
        <v>22586</v>
      </c>
      <c r="Y652" s="16">
        <v>3814</v>
      </c>
      <c r="Z652" s="16">
        <v>28402</v>
      </c>
      <c r="AA652" s="31">
        <v>32216</v>
      </c>
      <c r="AB652" s="32">
        <v>3741</v>
      </c>
      <c r="AC652" s="16">
        <v>33563</v>
      </c>
      <c r="AD652" s="31">
        <v>37304</v>
      </c>
      <c r="AE652" s="16">
        <v>3584</v>
      </c>
      <c r="AF652" s="16">
        <v>34756</v>
      </c>
      <c r="AG652" s="31">
        <v>38340</v>
      </c>
      <c r="AH652" s="16">
        <v>3665</v>
      </c>
      <c r="AI652" s="16">
        <v>34101</v>
      </c>
      <c r="AJ652" s="31">
        <v>37766</v>
      </c>
      <c r="AK652" s="16">
        <v>3283</v>
      </c>
      <c r="AL652" s="16">
        <v>7643</v>
      </c>
      <c r="AM652" s="31">
        <v>10926</v>
      </c>
      <c r="AN652" s="16">
        <v>3594</v>
      </c>
      <c r="AO652" s="16">
        <v>30402</v>
      </c>
      <c r="AP652" s="31">
        <v>33996</v>
      </c>
      <c r="AQ652" s="42"/>
      <c r="AR652" s="43"/>
      <c r="AS652" s="42"/>
      <c r="AT652" s="42"/>
    </row>
    <row r="653" spans="1:46" ht="12.9" customHeight="1" x14ac:dyDescent="0.25">
      <c r="A653" s="28" t="s">
        <v>1336</v>
      </c>
      <c r="B653" s="29" t="s">
        <v>1337</v>
      </c>
      <c r="C653" s="30" t="s">
        <v>8</v>
      </c>
      <c r="D653" s="40">
        <v>15421</v>
      </c>
      <c r="E653" s="26">
        <v>7057</v>
      </c>
      <c r="F653" s="26">
        <f t="shared" si="20"/>
        <v>22478</v>
      </c>
      <c r="G653" s="40">
        <v>15790</v>
      </c>
      <c r="H653" s="26">
        <v>8802</v>
      </c>
      <c r="I653" s="27">
        <f t="shared" si="21"/>
        <v>24592</v>
      </c>
      <c r="J653" s="40">
        <v>17495</v>
      </c>
      <c r="K653" s="26">
        <v>9252</v>
      </c>
      <c r="L653" s="27">
        <v>26747</v>
      </c>
      <c r="M653" s="26">
        <v>18785</v>
      </c>
      <c r="N653" s="26">
        <v>7973</v>
      </c>
      <c r="O653" s="27">
        <v>26758</v>
      </c>
      <c r="P653" s="26">
        <v>17305</v>
      </c>
      <c r="Q653" s="26">
        <v>5905</v>
      </c>
      <c r="R653" s="27">
        <v>23210</v>
      </c>
      <c r="S653" s="26">
        <v>16876</v>
      </c>
      <c r="T653" s="26">
        <v>8141</v>
      </c>
      <c r="U653" s="27">
        <v>25017</v>
      </c>
      <c r="V653" s="26">
        <v>16627</v>
      </c>
      <c r="W653" s="26">
        <v>9767</v>
      </c>
      <c r="X653" s="31">
        <v>26394</v>
      </c>
      <c r="Y653" s="16">
        <v>17762</v>
      </c>
      <c r="Z653" s="16">
        <v>8580</v>
      </c>
      <c r="AA653" s="31">
        <v>26342</v>
      </c>
      <c r="AB653" s="32">
        <v>19172</v>
      </c>
      <c r="AC653" s="16">
        <v>8099</v>
      </c>
      <c r="AD653" s="31">
        <v>27271</v>
      </c>
      <c r="AE653" s="16">
        <v>17969</v>
      </c>
      <c r="AF653" s="16">
        <v>10803</v>
      </c>
      <c r="AG653" s="31">
        <v>28772</v>
      </c>
      <c r="AH653" s="16">
        <v>17044</v>
      </c>
      <c r="AI653" s="16">
        <v>8042</v>
      </c>
      <c r="AJ653" s="31">
        <v>25086</v>
      </c>
      <c r="AK653" s="16">
        <v>17590</v>
      </c>
      <c r="AL653" s="16">
        <v>13333</v>
      </c>
      <c r="AM653" s="31">
        <v>30923</v>
      </c>
      <c r="AN653" s="16">
        <v>19244</v>
      </c>
      <c r="AO653" s="16">
        <v>12458</v>
      </c>
      <c r="AP653" s="31">
        <v>31702</v>
      </c>
      <c r="AQ653" s="42"/>
      <c r="AR653" s="43"/>
      <c r="AS653" s="42"/>
      <c r="AT653" s="42"/>
    </row>
    <row r="654" spans="1:46" ht="12.9" customHeight="1" x14ac:dyDescent="0.25">
      <c r="A654" s="28" t="s">
        <v>1338</v>
      </c>
      <c r="B654" s="29" t="s">
        <v>1339</v>
      </c>
      <c r="C654" s="30" t="s">
        <v>184</v>
      </c>
      <c r="D654" s="40">
        <v>16095</v>
      </c>
      <c r="E654" s="26">
        <v>20646</v>
      </c>
      <c r="F654" s="26">
        <f t="shared" si="20"/>
        <v>36741</v>
      </c>
      <c r="G654" s="40">
        <v>15208</v>
      </c>
      <c r="H654" s="26">
        <v>27875</v>
      </c>
      <c r="I654" s="27">
        <f t="shared" si="21"/>
        <v>43083</v>
      </c>
      <c r="J654" s="40">
        <v>15547</v>
      </c>
      <c r="K654" s="26">
        <v>28115</v>
      </c>
      <c r="L654" s="27">
        <v>43662</v>
      </c>
      <c r="M654" s="26">
        <v>15741</v>
      </c>
      <c r="N654" s="26">
        <v>28541</v>
      </c>
      <c r="O654" s="27">
        <v>44282</v>
      </c>
      <c r="P654" s="26">
        <v>17921</v>
      </c>
      <c r="Q654" s="26">
        <v>29201</v>
      </c>
      <c r="R654" s="27">
        <v>47122</v>
      </c>
      <c r="S654" s="26">
        <v>14500</v>
      </c>
      <c r="T654" s="26">
        <v>24226</v>
      </c>
      <c r="U654" s="27">
        <v>38726</v>
      </c>
      <c r="V654" s="26">
        <v>13450</v>
      </c>
      <c r="W654" s="26">
        <v>22480</v>
      </c>
      <c r="X654" s="31">
        <v>35930</v>
      </c>
      <c r="Y654" s="16">
        <v>16067</v>
      </c>
      <c r="Z654" s="16">
        <v>23956</v>
      </c>
      <c r="AA654" s="31">
        <v>40023</v>
      </c>
      <c r="AB654" s="32">
        <v>13300</v>
      </c>
      <c r="AC654" s="16">
        <v>22753</v>
      </c>
      <c r="AD654" s="31">
        <v>36053</v>
      </c>
      <c r="AE654" s="16">
        <v>20972</v>
      </c>
      <c r="AF654" s="16">
        <v>20501</v>
      </c>
      <c r="AG654" s="31">
        <v>41473</v>
      </c>
      <c r="AH654" s="16">
        <v>24773</v>
      </c>
      <c r="AI654" s="16">
        <v>16459</v>
      </c>
      <c r="AJ654" s="31">
        <v>41232</v>
      </c>
      <c r="AK654" s="16">
        <v>14503</v>
      </c>
      <c r="AL654" s="16">
        <v>17390</v>
      </c>
      <c r="AM654" s="31">
        <v>31893</v>
      </c>
      <c r="AN654" s="16">
        <v>18326</v>
      </c>
      <c r="AO654" s="16">
        <v>18454</v>
      </c>
      <c r="AP654" s="31">
        <v>36780</v>
      </c>
      <c r="AQ654" s="42"/>
      <c r="AR654" s="43"/>
      <c r="AS654" s="42"/>
      <c r="AT654" s="42"/>
    </row>
    <row r="655" spans="1:46" ht="12.9" customHeight="1" x14ac:dyDescent="0.25">
      <c r="A655" s="28" t="s">
        <v>1340</v>
      </c>
      <c r="B655" s="29" t="s">
        <v>1341</v>
      </c>
      <c r="C655" s="30" t="s">
        <v>150</v>
      </c>
      <c r="D655" s="40">
        <v>7369</v>
      </c>
      <c r="E655" s="26">
        <v>1254</v>
      </c>
      <c r="F655" s="26">
        <f t="shared" si="20"/>
        <v>8623</v>
      </c>
      <c r="G655" s="40">
        <v>6338</v>
      </c>
      <c r="H655" s="26">
        <v>808</v>
      </c>
      <c r="I655" s="27">
        <f t="shared" si="21"/>
        <v>7146</v>
      </c>
      <c r="J655" s="40">
        <v>7645</v>
      </c>
      <c r="K655" s="26">
        <v>1879</v>
      </c>
      <c r="L655" s="27">
        <v>9524</v>
      </c>
      <c r="M655" s="26">
        <v>5958</v>
      </c>
      <c r="N655" s="26">
        <v>1364</v>
      </c>
      <c r="O655" s="27">
        <v>7322</v>
      </c>
      <c r="P655" s="26">
        <v>6058</v>
      </c>
      <c r="Q655" s="26">
        <v>1030</v>
      </c>
      <c r="R655" s="27">
        <v>7088</v>
      </c>
      <c r="S655" s="26">
        <v>6831</v>
      </c>
      <c r="T655" s="26">
        <v>1999</v>
      </c>
      <c r="U655" s="27">
        <v>8830</v>
      </c>
      <c r="V655" s="26">
        <v>4894</v>
      </c>
      <c r="W655" s="26">
        <v>1024</v>
      </c>
      <c r="X655" s="31">
        <v>5918</v>
      </c>
      <c r="Y655" s="16">
        <v>6463</v>
      </c>
      <c r="Z655" s="16">
        <v>1758</v>
      </c>
      <c r="AA655" s="31">
        <v>8221</v>
      </c>
      <c r="AB655" s="32">
        <v>6194</v>
      </c>
      <c r="AC655" s="16">
        <v>856</v>
      </c>
      <c r="AD655" s="31">
        <v>7050</v>
      </c>
      <c r="AE655" s="16">
        <v>5891</v>
      </c>
      <c r="AF655" s="16">
        <v>822</v>
      </c>
      <c r="AG655" s="31">
        <v>6713</v>
      </c>
      <c r="AH655" s="16">
        <v>5272</v>
      </c>
      <c r="AI655" s="16">
        <v>692</v>
      </c>
      <c r="AJ655" s="31">
        <v>5964</v>
      </c>
      <c r="AK655" s="16">
        <v>4978</v>
      </c>
      <c r="AL655" s="16">
        <v>999</v>
      </c>
      <c r="AM655" s="31">
        <v>5977</v>
      </c>
      <c r="AN655" s="16">
        <v>6965</v>
      </c>
      <c r="AO655" s="16">
        <v>1389</v>
      </c>
      <c r="AP655" s="31">
        <v>8354</v>
      </c>
      <c r="AQ655" s="42"/>
      <c r="AR655" s="43"/>
      <c r="AS655" s="42"/>
      <c r="AT655" s="42"/>
    </row>
    <row r="656" spans="1:46" ht="12.9" customHeight="1" x14ac:dyDescent="0.25">
      <c r="A656" s="28" t="s">
        <v>1342</v>
      </c>
      <c r="B656" s="29" t="s">
        <v>1343</v>
      </c>
      <c r="C656" s="30" t="s">
        <v>20</v>
      </c>
      <c r="D656" s="40">
        <v>236581</v>
      </c>
      <c r="E656" s="26">
        <v>559868</v>
      </c>
      <c r="F656" s="26">
        <f t="shared" si="20"/>
        <v>796449</v>
      </c>
      <c r="G656" s="40">
        <v>237259</v>
      </c>
      <c r="H656" s="26">
        <v>800334</v>
      </c>
      <c r="I656" s="27">
        <f t="shared" si="21"/>
        <v>1037593</v>
      </c>
      <c r="J656" s="40">
        <v>244077</v>
      </c>
      <c r="K656" s="26">
        <v>793559</v>
      </c>
      <c r="L656" s="27">
        <v>1037636</v>
      </c>
      <c r="M656" s="26">
        <v>253436</v>
      </c>
      <c r="N656" s="26">
        <v>555368</v>
      </c>
      <c r="O656" s="27">
        <v>808804</v>
      </c>
      <c r="P656" s="26">
        <v>259887</v>
      </c>
      <c r="Q656" s="26">
        <v>562819</v>
      </c>
      <c r="R656" s="27">
        <v>822706</v>
      </c>
      <c r="S656" s="26">
        <v>239108</v>
      </c>
      <c r="T656" s="26">
        <v>1044523</v>
      </c>
      <c r="U656" s="27">
        <v>1283631</v>
      </c>
      <c r="V656" s="26">
        <v>240461</v>
      </c>
      <c r="W656" s="26">
        <v>1069930</v>
      </c>
      <c r="X656" s="31">
        <v>1310391</v>
      </c>
      <c r="Y656" s="16">
        <v>244108</v>
      </c>
      <c r="Z656" s="16">
        <v>1042136</v>
      </c>
      <c r="AA656" s="31">
        <v>1286244</v>
      </c>
      <c r="AB656" s="32">
        <v>252584</v>
      </c>
      <c r="AC656" s="16">
        <v>1221105</v>
      </c>
      <c r="AD656" s="31">
        <v>1473689</v>
      </c>
      <c r="AE656" s="16">
        <v>252231</v>
      </c>
      <c r="AF656" s="16">
        <v>1125991</v>
      </c>
      <c r="AG656" s="31">
        <v>1378222</v>
      </c>
      <c r="AH656" s="16">
        <v>239119</v>
      </c>
      <c r="AI656" s="16">
        <v>1133804</v>
      </c>
      <c r="AJ656" s="31">
        <v>1372923</v>
      </c>
      <c r="AK656" s="16">
        <v>257905</v>
      </c>
      <c r="AL656" s="16">
        <v>1397172</v>
      </c>
      <c r="AM656" s="31">
        <v>1655077</v>
      </c>
      <c r="AN656" s="16">
        <v>267022</v>
      </c>
      <c r="AO656" s="16">
        <v>1455562</v>
      </c>
      <c r="AP656" s="31">
        <v>1722584</v>
      </c>
      <c r="AQ656" s="42"/>
      <c r="AR656" s="43"/>
      <c r="AS656" s="42"/>
      <c r="AT656" s="42"/>
    </row>
    <row r="657" spans="1:46" ht="12.9" customHeight="1" x14ac:dyDescent="0.25">
      <c r="A657" s="28" t="s">
        <v>1344</v>
      </c>
      <c r="B657" s="29" t="s">
        <v>1345</v>
      </c>
      <c r="C657" s="30" t="s">
        <v>120</v>
      </c>
      <c r="D657" s="40">
        <v>26597</v>
      </c>
      <c r="E657" s="26">
        <v>8278</v>
      </c>
      <c r="F657" s="26">
        <f t="shared" si="20"/>
        <v>34875</v>
      </c>
      <c r="G657" s="40">
        <v>27988</v>
      </c>
      <c r="H657" s="26">
        <v>13654</v>
      </c>
      <c r="I657" s="27">
        <f t="shared" si="21"/>
        <v>41642</v>
      </c>
      <c r="J657" s="40">
        <v>30511</v>
      </c>
      <c r="K657" s="26">
        <v>3943</v>
      </c>
      <c r="L657" s="27">
        <v>34454</v>
      </c>
      <c r="M657" s="26">
        <v>30193</v>
      </c>
      <c r="N657" s="26">
        <v>6738</v>
      </c>
      <c r="O657" s="27">
        <v>36931</v>
      </c>
      <c r="P657" s="26">
        <v>34746</v>
      </c>
      <c r="Q657" s="26">
        <v>7995</v>
      </c>
      <c r="R657" s="27">
        <v>42741</v>
      </c>
      <c r="S657" s="26">
        <v>32565</v>
      </c>
      <c r="T657" s="26">
        <v>4729</v>
      </c>
      <c r="U657" s="27">
        <v>37294</v>
      </c>
      <c r="V657" s="26">
        <v>29087</v>
      </c>
      <c r="W657" s="26">
        <v>4332</v>
      </c>
      <c r="X657" s="31">
        <v>33419</v>
      </c>
      <c r="Y657" s="16">
        <v>32012</v>
      </c>
      <c r="Z657" s="16">
        <v>4476</v>
      </c>
      <c r="AA657" s="31">
        <v>36488</v>
      </c>
      <c r="AB657" s="32">
        <v>29945</v>
      </c>
      <c r="AC657" s="16">
        <v>7869</v>
      </c>
      <c r="AD657" s="31">
        <v>37814</v>
      </c>
      <c r="AE657" s="16">
        <v>31384</v>
      </c>
      <c r="AF657" s="16">
        <v>8836</v>
      </c>
      <c r="AG657" s="31">
        <v>40220</v>
      </c>
      <c r="AH657" s="16">
        <v>34353</v>
      </c>
      <c r="AI657" s="16">
        <v>8017</v>
      </c>
      <c r="AJ657" s="31">
        <v>42370</v>
      </c>
      <c r="AK657" s="16">
        <v>34803</v>
      </c>
      <c r="AL657" s="16">
        <v>6963</v>
      </c>
      <c r="AM657" s="31">
        <v>41766</v>
      </c>
      <c r="AN657" s="16">
        <v>34803</v>
      </c>
      <c r="AO657" s="16">
        <v>6963</v>
      </c>
      <c r="AP657" s="31">
        <v>41766</v>
      </c>
      <c r="AQ657" s="42"/>
      <c r="AR657" s="43"/>
      <c r="AS657" s="42"/>
      <c r="AT657" s="42"/>
    </row>
    <row r="658" spans="1:46" ht="12.9" customHeight="1" x14ac:dyDescent="0.25">
      <c r="A658" s="28" t="s">
        <v>1346</v>
      </c>
      <c r="B658" s="29" t="s">
        <v>1347</v>
      </c>
      <c r="C658" s="30" t="s">
        <v>120</v>
      </c>
      <c r="D658" s="40">
        <v>2223958</v>
      </c>
      <c r="E658" s="26">
        <v>3316499</v>
      </c>
      <c r="F658" s="26">
        <f t="shared" si="20"/>
        <v>5540457</v>
      </c>
      <c r="G658" s="40">
        <v>2262958</v>
      </c>
      <c r="H658" s="26">
        <v>3324531</v>
      </c>
      <c r="I658" s="27">
        <f t="shared" si="21"/>
        <v>5587489</v>
      </c>
      <c r="J658" s="40">
        <v>2171988</v>
      </c>
      <c r="K658" s="26">
        <v>2876099</v>
      </c>
      <c r="L658" s="27">
        <v>5048087</v>
      </c>
      <c r="M658" s="26">
        <v>2062369</v>
      </c>
      <c r="N658" s="26">
        <v>2170534</v>
      </c>
      <c r="O658" s="27">
        <v>4232903</v>
      </c>
      <c r="P658" s="26">
        <v>2004272</v>
      </c>
      <c r="Q658" s="26">
        <v>1636332</v>
      </c>
      <c r="R658" s="27">
        <v>3640604</v>
      </c>
      <c r="S658" s="26">
        <v>2108513</v>
      </c>
      <c r="T658" s="26">
        <v>3039297</v>
      </c>
      <c r="U658" s="27">
        <v>5147810</v>
      </c>
      <c r="V658" s="26">
        <v>2060709</v>
      </c>
      <c r="W658" s="26">
        <v>2684808</v>
      </c>
      <c r="X658" s="31">
        <v>4745517</v>
      </c>
      <c r="Y658" s="16">
        <v>2109329</v>
      </c>
      <c r="Z658" s="16">
        <v>2899724</v>
      </c>
      <c r="AA658" s="31">
        <v>5009053</v>
      </c>
      <c r="AB658" s="32">
        <v>2152643</v>
      </c>
      <c r="AC658" s="16">
        <v>2661469</v>
      </c>
      <c r="AD658" s="31">
        <v>4814112</v>
      </c>
      <c r="AE658" s="16">
        <v>2023591</v>
      </c>
      <c r="AF658" s="16">
        <v>2544046</v>
      </c>
      <c r="AG658" s="31">
        <v>4567637</v>
      </c>
      <c r="AH658" s="16">
        <v>2024536</v>
      </c>
      <c r="AI658" s="16">
        <v>2693284</v>
      </c>
      <c r="AJ658" s="31">
        <v>4717820</v>
      </c>
      <c r="AK658" s="16">
        <v>2026660</v>
      </c>
      <c r="AL658" s="16">
        <v>2007550</v>
      </c>
      <c r="AM658" s="31">
        <v>4034210</v>
      </c>
      <c r="AN658" s="16">
        <v>2276122</v>
      </c>
      <c r="AO658" s="16">
        <v>1974291</v>
      </c>
      <c r="AP658" s="31">
        <v>4250413</v>
      </c>
      <c r="AQ658" s="42"/>
      <c r="AR658" s="43"/>
      <c r="AS658" s="42"/>
      <c r="AT658" s="42"/>
    </row>
    <row r="659" spans="1:46" ht="12.9" customHeight="1" x14ac:dyDescent="0.25">
      <c r="A659" s="28" t="s">
        <v>1348</v>
      </c>
      <c r="B659" s="29" t="s">
        <v>1349</v>
      </c>
      <c r="C659" s="30" t="s">
        <v>274</v>
      </c>
      <c r="D659" s="40">
        <v>1004819</v>
      </c>
      <c r="E659" s="26">
        <v>262553</v>
      </c>
      <c r="F659" s="26">
        <f t="shared" si="20"/>
        <v>1267372</v>
      </c>
      <c r="G659" s="40">
        <v>911418</v>
      </c>
      <c r="H659" s="26">
        <v>274325</v>
      </c>
      <c r="I659" s="27">
        <f t="shared" si="21"/>
        <v>1185743</v>
      </c>
      <c r="J659" s="40">
        <v>1035861</v>
      </c>
      <c r="K659" s="26">
        <v>313823</v>
      </c>
      <c r="L659" s="27">
        <v>1349684</v>
      </c>
      <c r="M659" s="26">
        <v>1056671</v>
      </c>
      <c r="N659" s="26">
        <v>260812</v>
      </c>
      <c r="O659" s="27">
        <v>1317483</v>
      </c>
      <c r="P659" s="26">
        <v>1047062</v>
      </c>
      <c r="Q659" s="26">
        <v>273167</v>
      </c>
      <c r="R659" s="27">
        <v>1320229</v>
      </c>
      <c r="S659" s="26">
        <v>963508</v>
      </c>
      <c r="T659" s="26">
        <v>312456</v>
      </c>
      <c r="U659" s="27">
        <v>1275964</v>
      </c>
      <c r="V659" s="26">
        <v>944393</v>
      </c>
      <c r="W659" s="26">
        <v>319489</v>
      </c>
      <c r="X659" s="31">
        <v>1263882</v>
      </c>
      <c r="Y659" s="16">
        <v>926479</v>
      </c>
      <c r="Z659" s="16">
        <v>316041</v>
      </c>
      <c r="AA659" s="31">
        <v>1242520</v>
      </c>
      <c r="AB659" s="32">
        <v>875077</v>
      </c>
      <c r="AC659" s="16">
        <v>292700</v>
      </c>
      <c r="AD659" s="31">
        <v>1167777</v>
      </c>
      <c r="AE659" s="16">
        <v>871940</v>
      </c>
      <c r="AF659" s="16">
        <v>292068</v>
      </c>
      <c r="AG659" s="31">
        <v>1164008</v>
      </c>
      <c r="AH659" s="16">
        <v>854555</v>
      </c>
      <c r="AI659" s="16">
        <v>315440</v>
      </c>
      <c r="AJ659" s="31">
        <v>1169995</v>
      </c>
      <c r="AK659" s="16">
        <v>873154</v>
      </c>
      <c r="AL659" s="16">
        <v>317089</v>
      </c>
      <c r="AM659" s="31">
        <v>1190243</v>
      </c>
      <c r="AN659" s="16">
        <v>903396</v>
      </c>
      <c r="AO659" s="16">
        <v>332658</v>
      </c>
      <c r="AP659" s="31">
        <v>1236054</v>
      </c>
      <c r="AQ659" s="42"/>
      <c r="AR659" s="43"/>
      <c r="AS659" s="42"/>
      <c r="AT659" s="42"/>
    </row>
    <row r="660" spans="1:46" ht="12.9" customHeight="1" x14ac:dyDescent="0.25">
      <c r="A660" s="28" t="s">
        <v>1350</v>
      </c>
      <c r="B660" s="29" t="s">
        <v>1351</v>
      </c>
      <c r="C660" s="30" t="s">
        <v>281</v>
      </c>
      <c r="D660" s="40">
        <v>15601</v>
      </c>
      <c r="E660" s="26">
        <v>13965</v>
      </c>
      <c r="F660" s="26">
        <f t="shared" si="20"/>
        <v>29566</v>
      </c>
      <c r="G660" s="40">
        <v>18539</v>
      </c>
      <c r="H660" s="26">
        <v>13838</v>
      </c>
      <c r="I660" s="27">
        <f t="shared" si="21"/>
        <v>32377</v>
      </c>
      <c r="J660" s="40">
        <v>18158</v>
      </c>
      <c r="K660" s="26">
        <v>14282</v>
      </c>
      <c r="L660" s="27">
        <v>32440</v>
      </c>
      <c r="M660" s="26">
        <v>18671</v>
      </c>
      <c r="N660" s="26">
        <v>14263</v>
      </c>
      <c r="O660" s="27">
        <v>32934</v>
      </c>
      <c r="P660" s="26">
        <v>17821</v>
      </c>
      <c r="Q660" s="26">
        <v>11557</v>
      </c>
      <c r="R660" s="27">
        <v>29378</v>
      </c>
      <c r="S660" s="26">
        <v>17346</v>
      </c>
      <c r="T660" s="26">
        <v>15901</v>
      </c>
      <c r="U660" s="27">
        <v>33247</v>
      </c>
      <c r="V660" s="26">
        <v>17108</v>
      </c>
      <c r="W660" s="26">
        <v>13890</v>
      </c>
      <c r="X660" s="31">
        <v>30998</v>
      </c>
      <c r="Y660" s="16">
        <v>19086</v>
      </c>
      <c r="Z660" s="16">
        <v>16186</v>
      </c>
      <c r="AA660" s="31">
        <v>35272</v>
      </c>
      <c r="AB660" s="32">
        <v>21351</v>
      </c>
      <c r="AC660" s="16">
        <v>16610</v>
      </c>
      <c r="AD660" s="31">
        <v>37961</v>
      </c>
      <c r="AE660" s="16">
        <v>17812</v>
      </c>
      <c r="AF660" s="16">
        <v>16977</v>
      </c>
      <c r="AG660" s="31">
        <v>34789</v>
      </c>
      <c r="AH660" s="16">
        <v>18261</v>
      </c>
      <c r="AI660" s="16">
        <v>10256</v>
      </c>
      <c r="AJ660" s="31">
        <v>28517</v>
      </c>
      <c r="AK660" s="16">
        <v>15967</v>
      </c>
      <c r="AL660" s="16">
        <v>12651</v>
      </c>
      <c r="AM660" s="31">
        <v>28618</v>
      </c>
      <c r="AN660" s="16">
        <v>18667</v>
      </c>
      <c r="AO660" s="16">
        <v>13955</v>
      </c>
      <c r="AP660" s="31">
        <v>32622</v>
      </c>
      <c r="AQ660" s="42"/>
      <c r="AR660" s="43"/>
      <c r="AS660" s="42"/>
      <c r="AT660" s="42"/>
    </row>
    <row r="661" spans="1:46" ht="12.9" customHeight="1" x14ac:dyDescent="0.25">
      <c r="A661" s="28" t="s">
        <v>1352</v>
      </c>
      <c r="B661" s="29" t="s">
        <v>1353</v>
      </c>
      <c r="C661" s="30" t="s">
        <v>194</v>
      </c>
      <c r="D661" s="40">
        <v>1346984</v>
      </c>
      <c r="E661" s="26">
        <v>539678</v>
      </c>
      <c r="F661" s="26">
        <f t="shared" si="20"/>
        <v>1886662</v>
      </c>
      <c r="G661" s="40">
        <v>1359760</v>
      </c>
      <c r="H661" s="26">
        <v>540689</v>
      </c>
      <c r="I661" s="27">
        <f t="shared" si="21"/>
        <v>1900449</v>
      </c>
      <c r="J661" s="40">
        <v>1325200</v>
      </c>
      <c r="K661" s="26">
        <v>595487</v>
      </c>
      <c r="L661" s="27">
        <v>1920687</v>
      </c>
      <c r="M661" s="26">
        <v>1374846</v>
      </c>
      <c r="N661" s="26">
        <v>652943</v>
      </c>
      <c r="O661" s="27">
        <v>2027789</v>
      </c>
      <c r="P661" s="26">
        <v>1417844</v>
      </c>
      <c r="Q661" s="26">
        <v>1473651</v>
      </c>
      <c r="R661" s="27">
        <v>2891495</v>
      </c>
      <c r="S661" s="26">
        <v>1306870</v>
      </c>
      <c r="T661" s="26">
        <v>663163</v>
      </c>
      <c r="U661" s="27">
        <v>1970033</v>
      </c>
      <c r="V661" s="26">
        <v>1307049</v>
      </c>
      <c r="W661" s="26">
        <v>675695</v>
      </c>
      <c r="X661" s="31">
        <v>1982744</v>
      </c>
      <c r="Y661" s="16">
        <v>1276337</v>
      </c>
      <c r="Z661" s="16">
        <v>638341</v>
      </c>
      <c r="AA661" s="31">
        <v>1914678</v>
      </c>
      <c r="AB661" s="32">
        <v>1249699</v>
      </c>
      <c r="AC661" s="16">
        <v>741273</v>
      </c>
      <c r="AD661" s="31">
        <v>1990972</v>
      </c>
      <c r="AE661" s="16">
        <v>1208920</v>
      </c>
      <c r="AF661" s="16">
        <v>688977</v>
      </c>
      <c r="AG661" s="31">
        <v>1897897</v>
      </c>
      <c r="AH661" s="16">
        <v>1200990</v>
      </c>
      <c r="AI661" s="16">
        <v>718318</v>
      </c>
      <c r="AJ661" s="31">
        <v>1919308</v>
      </c>
      <c r="AK661" s="16">
        <v>1220097</v>
      </c>
      <c r="AL661" s="16">
        <v>758702</v>
      </c>
      <c r="AM661" s="31">
        <v>1978799</v>
      </c>
      <c r="AN661" s="16">
        <v>1225700</v>
      </c>
      <c r="AO661" s="16">
        <v>639435</v>
      </c>
      <c r="AP661" s="31">
        <v>1865135</v>
      </c>
      <c r="AQ661" s="42"/>
      <c r="AR661" s="43"/>
      <c r="AS661" s="42"/>
      <c r="AT661" s="42"/>
    </row>
    <row r="662" spans="1:46" ht="12.9" customHeight="1" x14ac:dyDescent="0.25">
      <c r="A662" s="28" t="s">
        <v>1354</v>
      </c>
      <c r="B662" s="29" t="s">
        <v>1355</v>
      </c>
      <c r="C662" s="30" t="s">
        <v>113</v>
      </c>
      <c r="D662" s="40">
        <v>5965</v>
      </c>
      <c r="E662" s="26">
        <v>19181</v>
      </c>
      <c r="F662" s="26">
        <f t="shared" si="20"/>
        <v>25146</v>
      </c>
      <c r="G662" s="40">
        <v>6847</v>
      </c>
      <c r="H662" s="26">
        <v>27700</v>
      </c>
      <c r="I662" s="27">
        <f t="shared" si="21"/>
        <v>34547</v>
      </c>
      <c r="J662" s="40">
        <v>6877</v>
      </c>
      <c r="K662" s="26">
        <v>27061</v>
      </c>
      <c r="L662" s="27">
        <v>33938</v>
      </c>
      <c r="M662" s="26">
        <v>6246</v>
      </c>
      <c r="N662" s="26">
        <v>26521</v>
      </c>
      <c r="O662" s="27">
        <v>32767</v>
      </c>
      <c r="P662" s="26">
        <v>5395</v>
      </c>
      <c r="Q662" s="26">
        <v>22386</v>
      </c>
      <c r="R662" s="27">
        <v>27781</v>
      </c>
      <c r="S662" s="26">
        <v>6116</v>
      </c>
      <c r="T662" s="26">
        <v>3156</v>
      </c>
      <c r="U662" s="27">
        <v>9272</v>
      </c>
      <c r="V662" s="26">
        <v>5194</v>
      </c>
      <c r="W662" s="26">
        <v>2635</v>
      </c>
      <c r="X662" s="31">
        <v>7829</v>
      </c>
      <c r="Y662" s="16">
        <v>6224</v>
      </c>
      <c r="Z662" s="16">
        <v>3053</v>
      </c>
      <c r="AA662" s="31">
        <v>9277</v>
      </c>
      <c r="AB662" s="32">
        <v>6056</v>
      </c>
      <c r="AC662" s="16">
        <v>2447</v>
      </c>
      <c r="AD662" s="31">
        <v>8503</v>
      </c>
      <c r="AE662" s="16">
        <v>5199</v>
      </c>
      <c r="AF662" s="16">
        <v>3792</v>
      </c>
      <c r="AG662" s="31">
        <v>8991</v>
      </c>
      <c r="AH662" s="16">
        <v>4986</v>
      </c>
      <c r="AI662" s="16">
        <v>2632</v>
      </c>
      <c r="AJ662" s="31">
        <v>7618</v>
      </c>
      <c r="AK662" s="16">
        <v>5834</v>
      </c>
      <c r="AL662" s="16">
        <v>1487</v>
      </c>
      <c r="AM662" s="31">
        <v>7321</v>
      </c>
      <c r="AN662" s="16">
        <v>8161</v>
      </c>
      <c r="AO662" s="16">
        <v>22353</v>
      </c>
      <c r="AP662" s="31">
        <v>30514</v>
      </c>
      <c r="AQ662" s="42"/>
      <c r="AR662" s="43"/>
      <c r="AS662" s="42"/>
      <c r="AT662" s="42"/>
    </row>
    <row r="663" spans="1:46" ht="12.9" customHeight="1" x14ac:dyDescent="0.25">
      <c r="A663" s="28" t="s">
        <v>1356</v>
      </c>
      <c r="B663" s="29" t="s">
        <v>1357</v>
      </c>
      <c r="C663" s="30" t="s">
        <v>11</v>
      </c>
      <c r="D663" s="40">
        <v>992422</v>
      </c>
      <c r="E663" s="26">
        <v>432104</v>
      </c>
      <c r="F663" s="26">
        <f t="shared" si="20"/>
        <v>1424526</v>
      </c>
      <c r="G663" s="40">
        <v>1013145</v>
      </c>
      <c r="H663" s="26">
        <v>472392</v>
      </c>
      <c r="I663" s="27">
        <f t="shared" si="21"/>
        <v>1485537</v>
      </c>
      <c r="J663" s="40">
        <v>1056722</v>
      </c>
      <c r="K663" s="26">
        <v>577651</v>
      </c>
      <c r="L663" s="27">
        <v>1634373</v>
      </c>
      <c r="M663" s="26">
        <v>1106891</v>
      </c>
      <c r="N663" s="26">
        <v>554018</v>
      </c>
      <c r="O663" s="27">
        <v>1660909</v>
      </c>
      <c r="P663" s="26">
        <v>1113524</v>
      </c>
      <c r="Q663" s="26">
        <v>513274</v>
      </c>
      <c r="R663" s="27">
        <v>1626798</v>
      </c>
      <c r="S663" s="26">
        <v>1077089</v>
      </c>
      <c r="T663" s="26">
        <v>581863</v>
      </c>
      <c r="U663" s="27">
        <v>1658952</v>
      </c>
      <c r="V663" s="26">
        <v>1040445</v>
      </c>
      <c r="W663" s="26">
        <v>572396</v>
      </c>
      <c r="X663" s="31">
        <v>1612841</v>
      </c>
      <c r="Y663" s="16">
        <v>1042874</v>
      </c>
      <c r="Z663" s="16">
        <v>556326</v>
      </c>
      <c r="AA663" s="31">
        <v>1599200</v>
      </c>
      <c r="AB663" s="32">
        <v>1029891</v>
      </c>
      <c r="AC663" s="16">
        <v>611135</v>
      </c>
      <c r="AD663" s="31">
        <v>1641026</v>
      </c>
      <c r="AE663" s="16">
        <v>1008830</v>
      </c>
      <c r="AF663" s="16">
        <v>617969</v>
      </c>
      <c r="AG663" s="31">
        <v>1626799</v>
      </c>
      <c r="AH663" s="16">
        <v>1001121</v>
      </c>
      <c r="AI663" s="16">
        <v>692450</v>
      </c>
      <c r="AJ663" s="31">
        <v>1693571</v>
      </c>
      <c r="AK663" s="16">
        <v>1011008</v>
      </c>
      <c r="AL663" s="16">
        <v>656895</v>
      </c>
      <c r="AM663" s="31">
        <v>1667903</v>
      </c>
      <c r="AN663" s="16">
        <v>1061432</v>
      </c>
      <c r="AO663" s="16">
        <v>640857</v>
      </c>
      <c r="AP663" s="31">
        <v>1702289</v>
      </c>
      <c r="AQ663" s="42"/>
      <c r="AR663" s="43"/>
      <c r="AS663" s="42"/>
      <c r="AT663" s="42"/>
    </row>
    <row r="664" spans="1:46" ht="12.9" customHeight="1" x14ac:dyDescent="0.25">
      <c r="A664" s="28" t="s">
        <v>1358</v>
      </c>
      <c r="B664" s="29" t="s">
        <v>1359</v>
      </c>
      <c r="C664" s="30" t="s">
        <v>80</v>
      </c>
      <c r="D664" s="40">
        <v>650331</v>
      </c>
      <c r="E664" s="26">
        <v>222500</v>
      </c>
      <c r="F664" s="26">
        <f t="shared" si="20"/>
        <v>872831</v>
      </c>
      <c r="G664" s="40">
        <v>768850</v>
      </c>
      <c r="H664" s="26">
        <v>307728</v>
      </c>
      <c r="I664" s="27">
        <f t="shared" si="21"/>
        <v>1076578</v>
      </c>
      <c r="J664" s="40">
        <v>807373</v>
      </c>
      <c r="K664" s="26">
        <v>206659</v>
      </c>
      <c r="L664" s="27">
        <v>1014032</v>
      </c>
      <c r="M664" s="26">
        <v>837874</v>
      </c>
      <c r="N664" s="26">
        <v>319470</v>
      </c>
      <c r="O664" s="27">
        <v>1157344</v>
      </c>
      <c r="P664" s="26">
        <v>797760</v>
      </c>
      <c r="Q664" s="26">
        <v>288970</v>
      </c>
      <c r="R664" s="27">
        <v>1086730</v>
      </c>
      <c r="S664" s="26">
        <v>765411</v>
      </c>
      <c r="T664" s="26">
        <v>323661</v>
      </c>
      <c r="U664" s="27">
        <v>1089072</v>
      </c>
      <c r="V664" s="26">
        <v>753130</v>
      </c>
      <c r="W664" s="26">
        <v>313984</v>
      </c>
      <c r="X664" s="31">
        <v>1067114</v>
      </c>
      <c r="Y664" s="16">
        <v>801999</v>
      </c>
      <c r="Z664" s="16">
        <v>335493</v>
      </c>
      <c r="AA664" s="31">
        <v>1137492</v>
      </c>
      <c r="AB664" s="32">
        <v>743846</v>
      </c>
      <c r="AC664" s="16">
        <v>326002</v>
      </c>
      <c r="AD664" s="31">
        <v>1069848</v>
      </c>
      <c r="AE664" s="16">
        <v>827959</v>
      </c>
      <c r="AF664" s="16">
        <v>274881</v>
      </c>
      <c r="AG664" s="31">
        <v>1102840</v>
      </c>
      <c r="AH664" s="16">
        <v>761364</v>
      </c>
      <c r="AI664" s="16">
        <v>269655</v>
      </c>
      <c r="AJ664" s="31">
        <v>1031019</v>
      </c>
      <c r="AK664" s="16">
        <v>769193</v>
      </c>
      <c r="AL664" s="16">
        <v>255131</v>
      </c>
      <c r="AM664" s="31">
        <v>1024324</v>
      </c>
      <c r="AN664" s="16">
        <v>910446</v>
      </c>
      <c r="AO664" s="16">
        <v>237983</v>
      </c>
      <c r="AP664" s="31">
        <v>1148429</v>
      </c>
      <c r="AQ664" s="42"/>
      <c r="AR664" s="43"/>
      <c r="AS664" s="42"/>
      <c r="AT664" s="42"/>
    </row>
    <row r="665" spans="1:46" ht="12.9" customHeight="1" x14ac:dyDescent="0.25">
      <c r="A665" s="28" t="s">
        <v>1360</v>
      </c>
      <c r="B665" s="29" t="s">
        <v>1361</v>
      </c>
      <c r="C665" s="30" t="s">
        <v>274</v>
      </c>
      <c r="D665" s="40">
        <v>0</v>
      </c>
      <c r="E665" s="26">
        <v>2564</v>
      </c>
      <c r="F665" s="26">
        <f t="shared" si="20"/>
        <v>2564</v>
      </c>
      <c r="G665" s="40">
        <v>0</v>
      </c>
      <c r="H665" s="26">
        <v>3025</v>
      </c>
      <c r="I665" s="27">
        <f t="shared" si="21"/>
        <v>3025</v>
      </c>
      <c r="J665" s="40">
        <v>0</v>
      </c>
      <c r="K665" s="26">
        <v>2580</v>
      </c>
      <c r="L665" s="27">
        <v>2580</v>
      </c>
      <c r="M665" s="26">
        <v>0</v>
      </c>
      <c r="N665" s="26">
        <v>2914</v>
      </c>
      <c r="O665" s="27">
        <v>2914</v>
      </c>
      <c r="P665" s="26">
        <v>0</v>
      </c>
      <c r="Q665" s="26">
        <v>3189</v>
      </c>
      <c r="R665" s="27">
        <v>3189</v>
      </c>
      <c r="S665" s="26"/>
      <c r="T665" s="26">
        <v>2964</v>
      </c>
      <c r="U665" s="27">
        <v>2964</v>
      </c>
      <c r="V665" s="26" t="s">
        <v>1362</v>
      </c>
      <c r="W665" s="26">
        <v>2156</v>
      </c>
      <c r="X665" s="31">
        <v>2156</v>
      </c>
      <c r="Y665" s="32" t="s">
        <v>1362</v>
      </c>
      <c r="Z665" s="16">
        <v>2840</v>
      </c>
      <c r="AA665" s="31">
        <v>2840</v>
      </c>
      <c r="AB665" s="32" t="s">
        <v>1362</v>
      </c>
      <c r="AC665" s="16">
        <v>2374</v>
      </c>
      <c r="AD665" s="31">
        <v>2374</v>
      </c>
      <c r="AE665" s="16">
        <v>0</v>
      </c>
      <c r="AF665" s="16">
        <v>2909</v>
      </c>
      <c r="AG665" s="31">
        <v>2909</v>
      </c>
      <c r="AH665" s="32" t="s">
        <v>160</v>
      </c>
      <c r="AI665" s="16">
        <v>1626</v>
      </c>
      <c r="AJ665" s="31">
        <v>1626</v>
      </c>
      <c r="AK665" s="32" t="s">
        <v>160</v>
      </c>
      <c r="AL665" s="16">
        <v>2276</v>
      </c>
      <c r="AM665" s="31">
        <v>2276</v>
      </c>
      <c r="AN665" s="32" t="s">
        <v>160</v>
      </c>
      <c r="AO665" s="16">
        <v>3219</v>
      </c>
      <c r="AP665" s="31">
        <v>3219</v>
      </c>
      <c r="AQ665" s="42"/>
      <c r="AR665" s="43"/>
      <c r="AS665" s="42"/>
      <c r="AT665" s="42"/>
    </row>
    <row r="666" spans="1:46" ht="12.9" customHeight="1" x14ac:dyDescent="0.25">
      <c r="A666" s="28" t="s">
        <v>1363</v>
      </c>
      <c r="B666" s="29" t="s">
        <v>1364</v>
      </c>
      <c r="C666" s="30" t="s">
        <v>150</v>
      </c>
      <c r="D666" s="40">
        <v>9996</v>
      </c>
      <c r="E666" s="26">
        <v>108803</v>
      </c>
      <c r="F666" s="26">
        <f t="shared" si="20"/>
        <v>118799</v>
      </c>
      <c r="G666" s="40">
        <v>11150</v>
      </c>
      <c r="H666" s="26">
        <v>120738</v>
      </c>
      <c r="I666" s="27">
        <f t="shared" si="21"/>
        <v>131888</v>
      </c>
      <c r="J666" s="40">
        <v>12114</v>
      </c>
      <c r="K666" s="26">
        <v>167072</v>
      </c>
      <c r="L666" s="27">
        <v>179186</v>
      </c>
      <c r="M666" s="26">
        <v>12114</v>
      </c>
      <c r="N666" s="26">
        <v>130319</v>
      </c>
      <c r="O666" s="27">
        <v>142433</v>
      </c>
      <c r="P666" s="26">
        <v>11186</v>
      </c>
      <c r="Q666" s="26">
        <v>110863</v>
      </c>
      <c r="R666" s="27">
        <v>122049</v>
      </c>
      <c r="S666" s="26">
        <v>10471</v>
      </c>
      <c r="T666" s="26">
        <v>134393</v>
      </c>
      <c r="U666" s="27">
        <v>144864</v>
      </c>
      <c r="V666" s="26">
        <v>9208</v>
      </c>
      <c r="W666" s="26">
        <v>121519</v>
      </c>
      <c r="X666" s="31">
        <v>130727</v>
      </c>
      <c r="Y666" s="16">
        <v>10864</v>
      </c>
      <c r="Z666" s="16">
        <v>103436</v>
      </c>
      <c r="AA666" s="31">
        <v>114300</v>
      </c>
      <c r="AB666" s="32">
        <v>9846</v>
      </c>
      <c r="AC666" s="16">
        <v>89272</v>
      </c>
      <c r="AD666" s="31">
        <v>99118</v>
      </c>
      <c r="AE666" s="16">
        <v>10274</v>
      </c>
      <c r="AF666" s="16">
        <v>84599</v>
      </c>
      <c r="AG666" s="31">
        <v>94873</v>
      </c>
      <c r="AH666" s="16">
        <v>9304</v>
      </c>
      <c r="AI666" s="16">
        <v>79094</v>
      </c>
      <c r="AJ666" s="31">
        <v>88398</v>
      </c>
      <c r="AK666" s="16">
        <v>9418</v>
      </c>
      <c r="AL666" s="16">
        <v>77419</v>
      </c>
      <c r="AM666" s="31">
        <v>86837</v>
      </c>
      <c r="AN666" s="16">
        <v>12161</v>
      </c>
      <c r="AO666" s="16">
        <v>72896</v>
      </c>
      <c r="AP666" s="31">
        <v>85057</v>
      </c>
      <c r="AQ666" s="42"/>
      <c r="AR666" s="43"/>
      <c r="AS666" s="42"/>
      <c r="AT666" s="42"/>
    </row>
    <row r="667" spans="1:46" ht="12.9" customHeight="1" x14ac:dyDescent="0.25">
      <c r="A667" s="28" t="s">
        <v>1365</v>
      </c>
      <c r="B667" s="29" t="s">
        <v>1366</v>
      </c>
      <c r="C667" s="30" t="s">
        <v>26</v>
      </c>
      <c r="D667" s="40">
        <v>281401</v>
      </c>
      <c r="E667" s="26">
        <v>41344</v>
      </c>
      <c r="F667" s="26">
        <f t="shared" si="20"/>
        <v>322745</v>
      </c>
      <c r="G667" s="40">
        <v>312879</v>
      </c>
      <c r="H667" s="26">
        <v>53239</v>
      </c>
      <c r="I667" s="27">
        <f t="shared" si="21"/>
        <v>366118</v>
      </c>
      <c r="J667" s="40">
        <v>337668</v>
      </c>
      <c r="K667" s="26">
        <v>71404</v>
      </c>
      <c r="L667" s="27">
        <v>409072</v>
      </c>
      <c r="M667" s="26">
        <v>332782</v>
      </c>
      <c r="N667" s="26">
        <v>59245</v>
      </c>
      <c r="O667" s="27">
        <v>392027</v>
      </c>
      <c r="P667" s="26">
        <v>322618</v>
      </c>
      <c r="Q667" s="26">
        <v>56805</v>
      </c>
      <c r="R667" s="27">
        <v>379423</v>
      </c>
      <c r="S667" s="26">
        <v>317285</v>
      </c>
      <c r="T667" s="26">
        <v>78057</v>
      </c>
      <c r="U667" s="27">
        <v>395342</v>
      </c>
      <c r="V667" s="26">
        <v>297314</v>
      </c>
      <c r="W667" s="26">
        <v>69237</v>
      </c>
      <c r="X667" s="31">
        <v>366551</v>
      </c>
      <c r="Y667" s="16">
        <v>320209</v>
      </c>
      <c r="Z667" s="16">
        <v>67473</v>
      </c>
      <c r="AA667" s="31">
        <v>387682</v>
      </c>
      <c r="AB667" s="32">
        <v>309696</v>
      </c>
      <c r="AC667" s="16">
        <v>53857</v>
      </c>
      <c r="AD667" s="31">
        <v>363553</v>
      </c>
      <c r="AE667" s="16">
        <v>299880</v>
      </c>
      <c r="AF667" s="16">
        <v>74583</v>
      </c>
      <c r="AG667" s="31">
        <v>374463</v>
      </c>
      <c r="AH667" s="16">
        <v>293856</v>
      </c>
      <c r="AI667" s="16">
        <v>58442</v>
      </c>
      <c r="AJ667" s="31">
        <v>352298</v>
      </c>
      <c r="AK667" s="16">
        <v>289904</v>
      </c>
      <c r="AL667" s="16">
        <v>66613</v>
      </c>
      <c r="AM667" s="31">
        <v>356517</v>
      </c>
      <c r="AN667" s="16">
        <v>322621</v>
      </c>
      <c r="AO667" s="16">
        <v>64214</v>
      </c>
      <c r="AP667" s="31">
        <v>386835</v>
      </c>
      <c r="AQ667" s="42"/>
      <c r="AR667" s="43"/>
      <c r="AS667" s="42"/>
      <c r="AT667" s="42"/>
    </row>
    <row r="668" spans="1:46" ht="12.9" customHeight="1" x14ac:dyDescent="0.25">
      <c r="A668" s="28" t="s">
        <v>1367</v>
      </c>
      <c r="B668" s="29" t="s">
        <v>1368</v>
      </c>
      <c r="C668" s="30" t="s">
        <v>113</v>
      </c>
      <c r="D668" s="40">
        <v>26859</v>
      </c>
      <c r="E668" s="26">
        <v>36081</v>
      </c>
      <c r="F668" s="26">
        <f t="shared" si="20"/>
        <v>62940</v>
      </c>
      <c r="G668" s="40">
        <v>29785</v>
      </c>
      <c r="H668" s="26">
        <v>39516</v>
      </c>
      <c r="I668" s="27">
        <f t="shared" si="21"/>
        <v>69301</v>
      </c>
      <c r="J668" s="40">
        <v>29427</v>
      </c>
      <c r="K668" s="26">
        <v>34198</v>
      </c>
      <c r="L668" s="27">
        <v>63625</v>
      </c>
      <c r="M668" s="26">
        <v>24331</v>
      </c>
      <c r="N668" s="26">
        <v>24505</v>
      </c>
      <c r="O668" s="27">
        <v>48836</v>
      </c>
      <c r="P668" s="26">
        <v>31286</v>
      </c>
      <c r="Q668" s="26">
        <v>30038</v>
      </c>
      <c r="R668" s="27">
        <v>61324</v>
      </c>
      <c r="S668" s="26">
        <v>27366</v>
      </c>
      <c r="T668" s="26">
        <v>32630</v>
      </c>
      <c r="U668" s="27">
        <v>59996</v>
      </c>
      <c r="V668" s="26">
        <v>27982</v>
      </c>
      <c r="W668" s="26">
        <v>28954</v>
      </c>
      <c r="X668" s="31">
        <v>56936</v>
      </c>
      <c r="Y668" s="16">
        <v>27571</v>
      </c>
      <c r="Z668" s="16">
        <v>32208</v>
      </c>
      <c r="AA668" s="31">
        <v>59779</v>
      </c>
      <c r="AB668" s="32">
        <v>28252</v>
      </c>
      <c r="AC668" s="16">
        <v>28734</v>
      </c>
      <c r="AD668" s="31">
        <v>56986</v>
      </c>
      <c r="AE668" s="16">
        <v>25731</v>
      </c>
      <c r="AF668" s="16">
        <v>28962</v>
      </c>
      <c r="AG668" s="31">
        <v>54693</v>
      </c>
      <c r="AH668" s="16">
        <v>25250</v>
      </c>
      <c r="AI668" s="16">
        <v>28132</v>
      </c>
      <c r="AJ668" s="31">
        <v>53382</v>
      </c>
      <c r="AK668" s="16">
        <v>25534</v>
      </c>
      <c r="AL668" s="16">
        <v>25948</v>
      </c>
      <c r="AM668" s="31">
        <v>51482</v>
      </c>
      <c r="AN668" s="16">
        <v>28720</v>
      </c>
      <c r="AO668" s="16">
        <v>18647</v>
      </c>
      <c r="AP668" s="31">
        <v>47367</v>
      </c>
      <c r="AQ668" s="42"/>
      <c r="AR668" s="43"/>
      <c r="AS668" s="42"/>
      <c r="AT668" s="42"/>
    </row>
    <row r="669" spans="1:46" ht="12.9" customHeight="1" x14ac:dyDescent="0.25">
      <c r="A669" s="28" t="s">
        <v>1369</v>
      </c>
      <c r="B669" s="29" t="s">
        <v>1370</v>
      </c>
      <c r="C669" s="30" t="s">
        <v>11</v>
      </c>
      <c r="D669" s="40">
        <v>2854465</v>
      </c>
      <c r="E669" s="26">
        <v>1133551</v>
      </c>
      <c r="F669" s="26">
        <f t="shared" si="20"/>
        <v>3988016</v>
      </c>
      <c r="G669" s="40">
        <v>2940892</v>
      </c>
      <c r="H669" s="26">
        <v>1302485</v>
      </c>
      <c r="I669" s="27">
        <f t="shared" si="21"/>
        <v>4243377</v>
      </c>
      <c r="J669" s="40">
        <v>2977120</v>
      </c>
      <c r="K669" s="26">
        <v>1361113</v>
      </c>
      <c r="L669" s="27">
        <v>4338233</v>
      </c>
      <c r="M669" s="26">
        <v>3162103</v>
      </c>
      <c r="N669" s="26">
        <v>1173086</v>
      </c>
      <c r="O669" s="27">
        <v>4335189</v>
      </c>
      <c r="P669" s="26">
        <v>3245549</v>
      </c>
      <c r="Q669" s="26">
        <v>1029556</v>
      </c>
      <c r="R669" s="27">
        <v>4275105</v>
      </c>
      <c r="S669" s="26">
        <v>2969915</v>
      </c>
      <c r="T669" s="26">
        <v>1286532</v>
      </c>
      <c r="U669" s="27">
        <v>4256447</v>
      </c>
      <c r="V669" s="26">
        <v>3009668</v>
      </c>
      <c r="W669" s="26">
        <v>1249612</v>
      </c>
      <c r="X669" s="31">
        <v>4259280</v>
      </c>
      <c r="Y669" s="16">
        <v>2944743</v>
      </c>
      <c r="Z669" s="16">
        <v>1301344</v>
      </c>
      <c r="AA669" s="31">
        <v>4246087</v>
      </c>
      <c r="AB669" s="32">
        <v>2922875</v>
      </c>
      <c r="AC669" s="16">
        <v>1249596</v>
      </c>
      <c r="AD669" s="31">
        <v>4172471</v>
      </c>
      <c r="AE669" s="16">
        <v>2881221</v>
      </c>
      <c r="AF669" s="16">
        <v>1226835</v>
      </c>
      <c r="AG669" s="31">
        <v>4108056</v>
      </c>
      <c r="AH669" s="16">
        <v>2862860</v>
      </c>
      <c r="AI669" s="16">
        <v>1217671</v>
      </c>
      <c r="AJ669" s="31">
        <v>4080531</v>
      </c>
      <c r="AK669" s="16">
        <v>2965257</v>
      </c>
      <c r="AL669" s="16">
        <v>1250119</v>
      </c>
      <c r="AM669" s="31">
        <v>4215376</v>
      </c>
      <c r="AN669" s="16">
        <v>3033253</v>
      </c>
      <c r="AO669" s="16">
        <v>1172218</v>
      </c>
      <c r="AP669" s="31">
        <v>4205471</v>
      </c>
      <c r="AQ669" s="42"/>
      <c r="AR669" s="43"/>
      <c r="AS669" s="42"/>
      <c r="AT669" s="42"/>
    </row>
    <row r="670" spans="1:46" ht="12.9" customHeight="1" x14ac:dyDescent="0.25">
      <c r="A670" s="28" t="s">
        <v>1371</v>
      </c>
      <c r="B670" s="29" t="s">
        <v>1372</v>
      </c>
      <c r="C670" s="30" t="s">
        <v>113</v>
      </c>
      <c r="D670" s="40">
        <v>17702</v>
      </c>
      <c r="E670" s="26">
        <v>39110</v>
      </c>
      <c r="F670" s="26">
        <f t="shared" si="20"/>
        <v>56812</v>
      </c>
      <c r="G670" s="40">
        <v>18726</v>
      </c>
      <c r="H670" s="26">
        <v>50155</v>
      </c>
      <c r="I670" s="27">
        <f t="shared" si="21"/>
        <v>68881</v>
      </c>
      <c r="J670" s="40">
        <v>19648</v>
      </c>
      <c r="K670" s="26">
        <v>45201</v>
      </c>
      <c r="L670" s="27">
        <v>64849</v>
      </c>
      <c r="M670" s="26">
        <v>19346</v>
      </c>
      <c r="N670" s="26">
        <v>43942</v>
      </c>
      <c r="O670" s="27">
        <v>63288</v>
      </c>
      <c r="P670" s="26">
        <v>22765</v>
      </c>
      <c r="Q670" s="26">
        <v>44611</v>
      </c>
      <c r="R670" s="27">
        <v>67376</v>
      </c>
      <c r="S670" s="26">
        <v>19878</v>
      </c>
      <c r="T670" s="26">
        <v>45225</v>
      </c>
      <c r="U670" s="27">
        <v>65103</v>
      </c>
      <c r="V670" s="26">
        <v>18471</v>
      </c>
      <c r="W670" s="26">
        <v>40883</v>
      </c>
      <c r="X670" s="31">
        <v>59354</v>
      </c>
      <c r="Y670" s="16">
        <v>20087</v>
      </c>
      <c r="Z670" s="16">
        <v>46067</v>
      </c>
      <c r="AA670" s="31">
        <v>66154</v>
      </c>
      <c r="AB670" s="32">
        <v>19686</v>
      </c>
      <c r="AC670" s="16">
        <v>45332</v>
      </c>
      <c r="AD670" s="31">
        <v>65018</v>
      </c>
      <c r="AE670" s="16">
        <v>18931</v>
      </c>
      <c r="AF670" s="16">
        <v>42682</v>
      </c>
      <c r="AG670" s="31">
        <v>61613</v>
      </c>
      <c r="AH670" s="16">
        <v>20450</v>
      </c>
      <c r="AI670" s="16">
        <v>35935</v>
      </c>
      <c r="AJ670" s="31">
        <v>56385</v>
      </c>
      <c r="AK670" s="16">
        <v>17952</v>
      </c>
      <c r="AL670" s="16">
        <v>39286</v>
      </c>
      <c r="AM670" s="31">
        <v>57238</v>
      </c>
      <c r="AN670" s="16">
        <v>21613</v>
      </c>
      <c r="AO670" s="16">
        <v>37293</v>
      </c>
      <c r="AP670" s="31">
        <v>58906</v>
      </c>
      <c r="AQ670" s="42"/>
      <c r="AR670" s="43"/>
      <c r="AS670" s="42"/>
      <c r="AT670" s="42"/>
    </row>
    <row r="671" spans="1:46" ht="12.9" customHeight="1" x14ac:dyDescent="0.25">
      <c r="A671" s="28" t="s">
        <v>1373</v>
      </c>
      <c r="B671" s="29" t="s">
        <v>1374</v>
      </c>
      <c r="C671" s="30" t="s">
        <v>62</v>
      </c>
      <c r="D671" s="40">
        <v>649223</v>
      </c>
      <c r="E671" s="26">
        <v>301888</v>
      </c>
      <c r="F671" s="26">
        <f t="shared" si="20"/>
        <v>951111</v>
      </c>
      <c r="G671" s="40">
        <v>650600</v>
      </c>
      <c r="H671" s="26">
        <v>338780</v>
      </c>
      <c r="I671" s="27">
        <f t="shared" si="21"/>
        <v>989380</v>
      </c>
      <c r="J671" s="40">
        <v>647991</v>
      </c>
      <c r="K671" s="26">
        <v>323848</v>
      </c>
      <c r="L671" s="27">
        <v>971839</v>
      </c>
      <c r="M671" s="26">
        <v>651844</v>
      </c>
      <c r="N671" s="26">
        <v>321175</v>
      </c>
      <c r="O671" s="27">
        <v>973019</v>
      </c>
      <c r="P671" s="26">
        <v>649871</v>
      </c>
      <c r="Q671" s="26">
        <v>332545</v>
      </c>
      <c r="R671" s="27">
        <v>982416</v>
      </c>
      <c r="S671" s="26">
        <v>643102</v>
      </c>
      <c r="T671" s="26">
        <v>383881</v>
      </c>
      <c r="U671" s="27">
        <v>1026983</v>
      </c>
      <c r="V671" s="26">
        <v>644406</v>
      </c>
      <c r="W671" s="26">
        <v>353799</v>
      </c>
      <c r="X671" s="31">
        <v>998205</v>
      </c>
      <c r="Y671" s="16">
        <v>641558</v>
      </c>
      <c r="Z671" s="16">
        <v>360610</v>
      </c>
      <c r="AA671" s="31">
        <v>1002168</v>
      </c>
      <c r="AB671" s="32">
        <v>638825</v>
      </c>
      <c r="AC671" s="16">
        <v>378291</v>
      </c>
      <c r="AD671" s="31">
        <v>1017116</v>
      </c>
      <c r="AE671" s="16">
        <v>642359</v>
      </c>
      <c r="AF671" s="16">
        <v>354852</v>
      </c>
      <c r="AG671" s="31">
        <v>997211</v>
      </c>
      <c r="AH671" s="16">
        <v>722620</v>
      </c>
      <c r="AI671" s="16">
        <v>298660</v>
      </c>
      <c r="AJ671" s="31">
        <v>1021280</v>
      </c>
      <c r="AK671" s="16">
        <v>618675</v>
      </c>
      <c r="AL671" s="16">
        <v>325407</v>
      </c>
      <c r="AM671" s="31">
        <v>944082</v>
      </c>
      <c r="AN671" s="16">
        <v>640880</v>
      </c>
      <c r="AO671" s="16">
        <v>326037</v>
      </c>
      <c r="AP671" s="31">
        <v>966917</v>
      </c>
      <c r="AQ671" s="42"/>
      <c r="AR671" s="43"/>
      <c r="AS671" s="42"/>
      <c r="AT671" s="42"/>
    </row>
    <row r="672" spans="1:46" ht="12.9" customHeight="1" x14ac:dyDescent="0.25">
      <c r="A672" s="28" t="s">
        <v>1375</v>
      </c>
      <c r="B672" s="29" t="s">
        <v>1376</v>
      </c>
      <c r="C672" s="30" t="s">
        <v>80</v>
      </c>
      <c r="D672" s="40">
        <v>211631</v>
      </c>
      <c r="E672" s="26">
        <v>38573</v>
      </c>
      <c r="F672" s="26">
        <f t="shared" si="20"/>
        <v>250204</v>
      </c>
      <c r="G672" s="40">
        <v>236050</v>
      </c>
      <c r="H672" s="26">
        <v>49884</v>
      </c>
      <c r="I672" s="27">
        <f t="shared" si="21"/>
        <v>285934</v>
      </c>
      <c r="J672" s="40">
        <v>224581</v>
      </c>
      <c r="K672" s="26">
        <v>21551</v>
      </c>
      <c r="L672" s="27">
        <v>246132</v>
      </c>
      <c r="M672" s="26">
        <v>215434</v>
      </c>
      <c r="N672" s="26">
        <v>24597</v>
      </c>
      <c r="O672" s="27">
        <v>240031</v>
      </c>
      <c r="P672" s="26">
        <v>203386</v>
      </c>
      <c r="Q672" s="26">
        <v>23659</v>
      </c>
      <c r="R672" s="27">
        <v>227045</v>
      </c>
      <c r="S672" s="26">
        <v>213861</v>
      </c>
      <c r="T672" s="26">
        <v>21231</v>
      </c>
      <c r="U672" s="27">
        <v>235092</v>
      </c>
      <c r="V672" s="26">
        <v>205387</v>
      </c>
      <c r="W672" s="26">
        <v>40748</v>
      </c>
      <c r="X672" s="31">
        <v>246135</v>
      </c>
      <c r="Y672" s="16">
        <v>218115</v>
      </c>
      <c r="Z672" s="16">
        <v>51143</v>
      </c>
      <c r="AA672" s="31">
        <v>269258</v>
      </c>
      <c r="AB672" s="32">
        <v>215892</v>
      </c>
      <c r="AC672" s="16">
        <v>21572</v>
      </c>
      <c r="AD672" s="31">
        <v>237464</v>
      </c>
      <c r="AE672" s="16">
        <v>207418</v>
      </c>
      <c r="AF672" s="16">
        <v>23936</v>
      </c>
      <c r="AG672" s="31">
        <v>231354</v>
      </c>
      <c r="AH672" s="16">
        <v>200164</v>
      </c>
      <c r="AI672" s="16">
        <v>44506</v>
      </c>
      <c r="AJ672" s="31">
        <v>244670</v>
      </c>
      <c r="AK672" s="16">
        <v>207970</v>
      </c>
      <c r="AL672" s="16">
        <v>40587</v>
      </c>
      <c r="AM672" s="31">
        <v>248557</v>
      </c>
      <c r="AN672" s="16">
        <v>207819</v>
      </c>
      <c r="AO672" s="16">
        <v>45826</v>
      </c>
      <c r="AP672" s="31">
        <v>253645</v>
      </c>
      <c r="AQ672" s="42"/>
      <c r="AR672" s="43"/>
      <c r="AS672" s="42"/>
      <c r="AT672" s="42"/>
    </row>
    <row r="673" spans="1:46" ht="12.9" customHeight="1" x14ac:dyDescent="0.25">
      <c r="A673" s="28" t="s">
        <v>1377</v>
      </c>
      <c r="B673" s="29" t="s">
        <v>1378</v>
      </c>
      <c r="C673" s="30" t="s">
        <v>26</v>
      </c>
      <c r="D673" s="40">
        <v>648144</v>
      </c>
      <c r="E673" s="26">
        <v>609200</v>
      </c>
      <c r="F673" s="26">
        <f t="shared" si="20"/>
        <v>1257344</v>
      </c>
      <c r="G673" s="40">
        <v>678866</v>
      </c>
      <c r="H673" s="26">
        <v>776496</v>
      </c>
      <c r="I673" s="27">
        <f t="shared" si="21"/>
        <v>1455362</v>
      </c>
      <c r="J673" s="40">
        <v>705991</v>
      </c>
      <c r="K673" s="26">
        <v>1085282</v>
      </c>
      <c r="L673" s="27">
        <v>1791273</v>
      </c>
      <c r="M673" s="26">
        <v>732313</v>
      </c>
      <c r="N673" s="26">
        <v>1071767</v>
      </c>
      <c r="O673" s="27">
        <v>1804080</v>
      </c>
      <c r="P673" s="26">
        <v>777783</v>
      </c>
      <c r="Q673" s="26">
        <v>927220</v>
      </c>
      <c r="R673" s="27">
        <v>1705003</v>
      </c>
      <c r="S673" s="26">
        <v>702450</v>
      </c>
      <c r="T673" s="26">
        <v>948367</v>
      </c>
      <c r="U673" s="27">
        <v>1650817</v>
      </c>
      <c r="V673" s="26">
        <v>681246</v>
      </c>
      <c r="W673" s="26">
        <v>890393</v>
      </c>
      <c r="X673" s="31">
        <v>1571639</v>
      </c>
      <c r="Y673" s="16">
        <v>693363</v>
      </c>
      <c r="Z673" s="16">
        <v>1024714</v>
      </c>
      <c r="AA673" s="31">
        <v>1718077</v>
      </c>
      <c r="AB673" s="32">
        <v>697759</v>
      </c>
      <c r="AC673" s="16">
        <v>931989</v>
      </c>
      <c r="AD673" s="31">
        <v>1629748</v>
      </c>
      <c r="AE673" s="16">
        <v>669103</v>
      </c>
      <c r="AF673" s="16">
        <v>877318</v>
      </c>
      <c r="AG673" s="31">
        <v>1546421</v>
      </c>
      <c r="AH673" s="16">
        <v>652676</v>
      </c>
      <c r="AI673" s="16">
        <v>896033</v>
      </c>
      <c r="AJ673" s="31">
        <v>1548709</v>
      </c>
      <c r="AK673" s="16">
        <v>667855</v>
      </c>
      <c r="AL673" s="16">
        <v>864410</v>
      </c>
      <c r="AM673" s="31">
        <v>1532265</v>
      </c>
      <c r="AN673" s="16">
        <v>694792.19799999997</v>
      </c>
      <c r="AO673" s="16">
        <v>953709</v>
      </c>
      <c r="AP673" s="31">
        <v>1648501.1979999999</v>
      </c>
      <c r="AQ673" s="42"/>
      <c r="AR673" s="43"/>
      <c r="AS673" s="42"/>
      <c r="AT673" s="42"/>
    </row>
    <row r="674" spans="1:46" ht="12.9" customHeight="1" x14ac:dyDescent="0.25">
      <c r="A674" s="28" t="s">
        <v>1379</v>
      </c>
      <c r="B674" s="29" t="s">
        <v>1380</v>
      </c>
      <c r="C674" s="30" t="s">
        <v>11</v>
      </c>
      <c r="D674" s="40">
        <v>136780</v>
      </c>
      <c r="E674" s="26">
        <v>26740</v>
      </c>
      <c r="F674" s="26">
        <f t="shared" si="20"/>
        <v>163520</v>
      </c>
      <c r="G674" s="40">
        <v>142660</v>
      </c>
      <c r="H674" s="26">
        <v>23129</v>
      </c>
      <c r="I674" s="27">
        <f t="shared" si="21"/>
        <v>165789</v>
      </c>
      <c r="J674" s="40">
        <v>155394</v>
      </c>
      <c r="K674" s="26">
        <v>19790</v>
      </c>
      <c r="L674" s="27">
        <v>175184</v>
      </c>
      <c r="M674" s="26">
        <v>159409</v>
      </c>
      <c r="N674" s="26">
        <v>17555</v>
      </c>
      <c r="O674" s="27">
        <v>176964</v>
      </c>
      <c r="P674" s="26">
        <v>165263</v>
      </c>
      <c r="Q674" s="26">
        <v>15998</v>
      </c>
      <c r="R674" s="27">
        <v>181261</v>
      </c>
      <c r="S674" s="26">
        <v>150175</v>
      </c>
      <c r="T674" s="26">
        <v>28036</v>
      </c>
      <c r="U674" s="27">
        <v>178211</v>
      </c>
      <c r="V674" s="26">
        <v>154244</v>
      </c>
      <c r="W674" s="26">
        <v>23150</v>
      </c>
      <c r="X674" s="31">
        <v>177394</v>
      </c>
      <c r="Y674" s="16">
        <v>152180</v>
      </c>
      <c r="Z674" s="16">
        <v>25274</v>
      </c>
      <c r="AA674" s="31">
        <v>177454</v>
      </c>
      <c r="AB674" s="32">
        <v>152045</v>
      </c>
      <c r="AC674" s="16">
        <v>24893</v>
      </c>
      <c r="AD674" s="31">
        <v>176938</v>
      </c>
      <c r="AE674" s="16">
        <v>142265</v>
      </c>
      <c r="AF674" s="16">
        <v>18320</v>
      </c>
      <c r="AG674" s="31">
        <v>160585</v>
      </c>
      <c r="AH674" s="16">
        <v>138002</v>
      </c>
      <c r="AI674" s="16">
        <v>18812</v>
      </c>
      <c r="AJ674" s="31">
        <v>156814</v>
      </c>
      <c r="AK674" s="16">
        <v>140698</v>
      </c>
      <c r="AL674" s="16">
        <v>20568</v>
      </c>
      <c r="AM674" s="31">
        <v>161266</v>
      </c>
      <c r="AN674" s="16">
        <v>145081</v>
      </c>
      <c r="AO674" s="16">
        <v>23976</v>
      </c>
      <c r="AP674" s="31">
        <v>169057</v>
      </c>
      <c r="AQ674" s="42"/>
      <c r="AR674" s="43"/>
      <c r="AS674" s="42"/>
      <c r="AT674" s="42"/>
    </row>
    <row r="675" spans="1:46" ht="12.9" customHeight="1" x14ac:dyDescent="0.25">
      <c r="A675" s="28" t="s">
        <v>1381</v>
      </c>
      <c r="B675" s="29" t="s">
        <v>1382</v>
      </c>
      <c r="C675" s="30" t="s">
        <v>23</v>
      </c>
      <c r="D675" s="40">
        <v>22057</v>
      </c>
      <c r="E675" s="26">
        <v>69247</v>
      </c>
      <c r="F675" s="26">
        <f t="shared" si="20"/>
        <v>91304</v>
      </c>
      <c r="G675" s="40">
        <v>23496</v>
      </c>
      <c r="H675" s="26">
        <v>57462</v>
      </c>
      <c r="I675" s="27">
        <f t="shared" si="21"/>
        <v>80958</v>
      </c>
      <c r="J675" s="40">
        <v>25046</v>
      </c>
      <c r="K675" s="26">
        <v>44417</v>
      </c>
      <c r="L675" s="27">
        <v>69463</v>
      </c>
      <c r="M675" s="26">
        <v>25152</v>
      </c>
      <c r="N675" s="26">
        <v>59180</v>
      </c>
      <c r="O675" s="27">
        <v>84332</v>
      </c>
      <c r="P675" s="26">
        <v>24450</v>
      </c>
      <c r="Q675" s="26">
        <v>41210</v>
      </c>
      <c r="R675" s="27">
        <v>65660</v>
      </c>
      <c r="S675" s="26">
        <v>23138</v>
      </c>
      <c r="T675" s="26">
        <v>49669</v>
      </c>
      <c r="U675" s="27">
        <v>72807</v>
      </c>
      <c r="V675" s="26">
        <v>21714</v>
      </c>
      <c r="W675" s="26">
        <v>55461</v>
      </c>
      <c r="X675" s="31">
        <v>77175</v>
      </c>
      <c r="Y675" s="16">
        <v>22214</v>
      </c>
      <c r="Z675" s="16">
        <v>79848</v>
      </c>
      <c r="AA675" s="31">
        <v>102062</v>
      </c>
      <c r="AB675" s="32">
        <v>24336</v>
      </c>
      <c r="AC675" s="16">
        <v>83096</v>
      </c>
      <c r="AD675" s="31">
        <v>107432</v>
      </c>
      <c r="AE675" s="16">
        <v>22775</v>
      </c>
      <c r="AF675" s="16">
        <v>67727</v>
      </c>
      <c r="AG675" s="31">
        <v>90502</v>
      </c>
      <c r="AH675" s="16">
        <v>23029</v>
      </c>
      <c r="AI675" s="16">
        <v>61373</v>
      </c>
      <c r="AJ675" s="31">
        <v>84402</v>
      </c>
      <c r="AK675" s="16">
        <v>20953</v>
      </c>
      <c r="AL675" s="16">
        <v>33138</v>
      </c>
      <c r="AM675" s="31">
        <v>54091</v>
      </c>
      <c r="AN675" s="16">
        <v>26165</v>
      </c>
      <c r="AO675" s="16">
        <v>80940</v>
      </c>
      <c r="AP675" s="31">
        <v>107105</v>
      </c>
      <c r="AQ675" s="42"/>
      <c r="AR675" s="43"/>
      <c r="AS675" s="42"/>
      <c r="AT675" s="42"/>
    </row>
    <row r="676" spans="1:46" ht="12.9" customHeight="1" x14ac:dyDescent="0.25">
      <c r="A676" s="28" t="s">
        <v>1383</v>
      </c>
      <c r="B676" s="29" t="s">
        <v>1384</v>
      </c>
      <c r="C676" s="30" t="s">
        <v>197</v>
      </c>
      <c r="D676" s="40">
        <v>4076767</v>
      </c>
      <c r="E676" s="26">
        <v>1573773</v>
      </c>
      <c r="F676" s="26">
        <f t="shared" si="20"/>
        <v>5650540</v>
      </c>
      <c r="G676" s="40">
        <v>4244603</v>
      </c>
      <c r="H676" s="26">
        <v>1824924</v>
      </c>
      <c r="I676" s="27">
        <f t="shared" si="21"/>
        <v>6069527</v>
      </c>
      <c r="J676" s="40">
        <v>4625517</v>
      </c>
      <c r="K676" s="26">
        <v>2276330</v>
      </c>
      <c r="L676" s="27">
        <v>6901847</v>
      </c>
      <c r="M676" s="26">
        <v>4831261</v>
      </c>
      <c r="N676" s="26">
        <v>2060030</v>
      </c>
      <c r="O676" s="27">
        <v>6891291</v>
      </c>
      <c r="P676" s="26">
        <v>4582603</v>
      </c>
      <c r="Q676" s="26">
        <v>2044109</v>
      </c>
      <c r="R676" s="27">
        <v>6626712</v>
      </c>
      <c r="S676" s="26">
        <v>4409203</v>
      </c>
      <c r="T676" s="26">
        <v>2393112</v>
      </c>
      <c r="U676" s="27">
        <v>6802315</v>
      </c>
      <c r="V676" s="26">
        <v>4325191</v>
      </c>
      <c r="W676" s="26">
        <v>2274446</v>
      </c>
      <c r="X676" s="31">
        <v>6599637</v>
      </c>
      <c r="Y676" s="16">
        <v>4398195</v>
      </c>
      <c r="Z676" s="16">
        <v>2332270</v>
      </c>
      <c r="AA676" s="31">
        <v>6730465</v>
      </c>
      <c r="AB676" s="32">
        <v>4494469</v>
      </c>
      <c r="AC676" s="16">
        <v>2402777</v>
      </c>
      <c r="AD676" s="31">
        <v>6897246</v>
      </c>
      <c r="AE676" s="16">
        <v>4428276</v>
      </c>
      <c r="AF676" s="16">
        <v>2225197</v>
      </c>
      <c r="AG676" s="31">
        <v>6653473</v>
      </c>
      <c r="AH676" s="16">
        <v>4277413</v>
      </c>
      <c r="AI676" s="16">
        <v>2046836</v>
      </c>
      <c r="AJ676" s="31">
        <v>6324249</v>
      </c>
      <c r="AK676" s="16">
        <v>4312117</v>
      </c>
      <c r="AL676" s="16">
        <v>2125304</v>
      </c>
      <c r="AM676" s="31">
        <v>6437421</v>
      </c>
      <c r="AN676" s="16">
        <v>4611887</v>
      </c>
      <c r="AO676" s="16">
        <v>2372560</v>
      </c>
      <c r="AP676" s="31">
        <v>6984447</v>
      </c>
      <c r="AQ676" s="42"/>
      <c r="AR676" s="43"/>
      <c r="AS676" s="42"/>
      <c r="AT676" s="42"/>
    </row>
    <row r="677" spans="1:46" ht="12.9" customHeight="1" x14ac:dyDescent="0.25">
      <c r="A677" s="28" t="s">
        <v>1385</v>
      </c>
      <c r="B677" s="29" t="s">
        <v>1386</v>
      </c>
      <c r="C677" s="30" t="s">
        <v>191</v>
      </c>
      <c r="D677" s="40">
        <v>29014</v>
      </c>
      <c r="E677" s="26">
        <v>27163</v>
      </c>
      <c r="F677" s="26">
        <f t="shared" si="20"/>
        <v>56177</v>
      </c>
      <c r="G677" s="40">
        <v>29090</v>
      </c>
      <c r="H677" s="26">
        <v>32823</v>
      </c>
      <c r="I677" s="27">
        <f t="shared" si="21"/>
        <v>61913</v>
      </c>
      <c r="J677" s="40">
        <v>30255</v>
      </c>
      <c r="K677" s="26">
        <v>29502</v>
      </c>
      <c r="L677" s="27">
        <v>59757</v>
      </c>
      <c r="M677" s="26">
        <v>28288</v>
      </c>
      <c r="N677" s="26">
        <v>24558</v>
      </c>
      <c r="O677" s="27">
        <v>52846</v>
      </c>
      <c r="P677" s="26">
        <v>27921</v>
      </c>
      <c r="Q677" s="26">
        <v>25524</v>
      </c>
      <c r="R677" s="27">
        <v>53445</v>
      </c>
      <c r="S677" s="26">
        <v>24761</v>
      </c>
      <c r="T677" s="26">
        <v>31373</v>
      </c>
      <c r="U677" s="27">
        <v>56134</v>
      </c>
      <c r="V677" s="26">
        <v>24378</v>
      </c>
      <c r="W677" s="26">
        <v>34012</v>
      </c>
      <c r="X677" s="31">
        <v>58390</v>
      </c>
      <c r="Y677" s="16">
        <v>24827</v>
      </c>
      <c r="Z677" s="16">
        <v>37443</v>
      </c>
      <c r="AA677" s="31">
        <v>62270</v>
      </c>
      <c r="AB677" s="32">
        <v>25820</v>
      </c>
      <c r="AC677" s="16">
        <v>38230</v>
      </c>
      <c r="AD677" s="31">
        <v>64050</v>
      </c>
      <c r="AE677" s="16">
        <v>25862</v>
      </c>
      <c r="AF677" s="16">
        <v>36025</v>
      </c>
      <c r="AG677" s="31">
        <v>61887</v>
      </c>
      <c r="AH677" s="16">
        <v>27873</v>
      </c>
      <c r="AI677" s="16">
        <v>35648</v>
      </c>
      <c r="AJ677" s="31">
        <v>63521</v>
      </c>
      <c r="AK677" s="16">
        <v>30102</v>
      </c>
      <c r="AL677" s="16">
        <v>31701</v>
      </c>
      <c r="AM677" s="31">
        <v>61803</v>
      </c>
      <c r="AN677" s="16">
        <v>40294</v>
      </c>
      <c r="AO677" s="16">
        <v>29512</v>
      </c>
      <c r="AP677" s="31">
        <v>69806</v>
      </c>
      <c r="AQ677" s="42"/>
      <c r="AR677" s="43"/>
      <c r="AS677" s="42"/>
      <c r="AT677" s="42"/>
    </row>
    <row r="678" spans="1:46" ht="12.9" customHeight="1" x14ac:dyDescent="0.25">
      <c r="A678" s="28" t="s">
        <v>1387</v>
      </c>
      <c r="B678" s="29" t="s">
        <v>1388</v>
      </c>
      <c r="C678" s="30" t="s">
        <v>8</v>
      </c>
      <c r="D678" s="40">
        <v>14580</v>
      </c>
      <c r="E678" s="26">
        <v>495</v>
      </c>
      <c r="F678" s="26">
        <f t="shared" si="20"/>
        <v>15075</v>
      </c>
      <c r="G678" s="40">
        <v>11969</v>
      </c>
      <c r="H678" s="26">
        <v>492</v>
      </c>
      <c r="I678" s="27">
        <f t="shared" si="21"/>
        <v>12461</v>
      </c>
      <c r="J678" s="40">
        <v>14763</v>
      </c>
      <c r="K678" s="26">
        <v>288</v>
      </c>
      <c r="L678" s="27">
        <v>15051</v>
      </c>
      <c r="M678" s="26">
        <v>12104</v>
      </c>
      <c r="N678" s="26">
        <v>288</v>
      </c>
      <c r="O678" s="27">
        <v>12392</v>
      </c>
      <c r="P678" s="26">
        <v>14148</v>
      </c>
      <c r="Q678" s="26">
        <v>0</v>
      </c>
      <c r="R678" s="27">
        <v>14148</v>
      </c>
      <c r="S678" s="26">
        <v>14148</v>
      </c>
      <c r="T678" s="26">
        <v>0</v>
      </c>
      <c r="U678" s="27">
        <v>14148</v>
      </c>
      <c r="V678" s="26">
        <v>14148</v>
      </c>
      <c r="W678" s="26">
        <v>0</v>
      </c>
      <c r="X678" s="31">
        <v>14148</v>
      </c>
      <c r="Y678" s="16">
        <v>14148</v>
      </c>
      <c r="Z678" s="16">
        <v>0</v>
      </c>
      <c r="AA678" s="31">
        <v>14148</v>
      </c>
      <c r="AB678" s="32">
        <v>14148</v>
      </c>
      <c r="AC678" s="16">
        <v>0</v>
      </c>
      <c r="AD678" s="31">
        <v>14148</v>
      </c>
      <c r="AE678" s="16">
        <v>13824</v>
      </c>
      <c r="AF678" s="16">
        <v>0</v>
      </c>
      <c r="AG678" s="31">
        <v>13824</v>
      </c>
      <c r="AH678" s="16">
        <v>13824</v>
      </c>
      <c r="AI678" s="16">
        <v>0</v>
      </c>
      <c r="AJ678" s="31">
        <v>13824</v>
      </c>
      <c r="AK678" s="16">
        <v>13932</v>
      </c>
      <c r="AL678" s="16">
        <v>0</v>
      </c>
      <c r="AM678" s="31">
        <v>13932</v>
      </c>
      <c r="AN678" s="16">
        <v>13932</v>
      </c>
      <c r="AO678" s="16">
        <v>0</v>
      </c>
      <c r="AP678" s="31">
        <v>13932</v>
      </c>
      <c r="AQ678" s="42"/>
      <c r="AR678" s="43"/>
      <c r="AS678" s="42"/>
      <c r="AT678" s="42"/>
    </row>
    <row r="679" spans="1:46" ht="12.9" customHeight="1" x14ac:dyDescent="0.25">
      <c r="A679" s="28" t="s">
        <v>1389</v>
      </c>
      <c r="B679" s="29" t="s">
        <v>1390</v>
      </c>
      <c r="C679" s="30" t="s">
        <v>26</v>
      </c>
      <c r="D679" s="40">
        <v>127559</v>
      </c>
      <c r="E679" s="26">
        <v>22210</v>
      </c>
      <c r="F679" s="26">
        <f t="shared" si="20"/>
        <v>149769</v>
      </c>
      <c r="G679" s="40">
        <v>132923</v>
      </c>
      <c r="H679" s="26">
        <v>23443</v>
      </c>
      <c r="I679" s="27">
        <f t="shared" si="21"/>
        <v>156366</v>
      </c>
      <c r="J679" s="40">
        <v>137758</v>
      </c>
      <c r="K679" s="26">
        <v>21078</v>
      </c>
      <c r="L679" s="27">
        <v>158836</v>
      </c>
      <c r="M679" s="26">
        <v>138620</v>
      </c>
      <c r="N679" s="26">
        <v>19949</v>
      </c>
      <c r="O679" s="27">
        <v>158569</v>
      </c>
      <c r="P679" s="26">
        <v>138108</v>
      </c>
      <c r="Q679" s="26">
        <v>15262</v>
      </c>
      <c r="R679" s="27">
        <v>153370</v>
      </c>
      <c r="S679" s="26">
        <v>125656</v>
      </c>
      <c r="T679" s="26">
        <v>26621</v>
      </c>
      <c r="U679" s="27">
        <v>152277</v>
      </c>
      <c r="V679" s="26">
        <v>119060</v>
      </c>
      <c r="W679" s="26">
        <v>85013</v>
      </c>
      <c r="X679" s="31">
        <v>204073</v>
      </c>
      <c r="Y679" s="16">
        <v>125344</v>
      </c>
      <c r="Z679" s="16">
        <v>97717</v>
      </c>
      <c r="AA679" s="31">
        <v>223061</v>
      </c>
      <c r="AB679" s="32">
        <v>123940</v>
      </c>
      <c r="AC679" s="16">
        <v>93500</v>
      </c>
      <c r="AD679" s="31">
        <v>217440</v>
      </c>
      <c r="AE679" s="16">
        <v>124104</v>
      </c>
      <c r="AF679" s="16">
        <v>84247</v>
      </c>
      <c r="AG679" s="31">
        <v>208351</v>
      </c>
      <c r="AH679" s="16">
        <v>115199</v>
      </c>
      <c r="AI679" s="16">
        <v>54855</v>
      </c>
      <c r="AJ679" s="31">
        <v>170054</v>
      </c>
      <c r="AK679" s="16">
        <v>117925</v>
      </c>
      <c r="AL679" s="16">
        <v>55274</v>
      </c>
      <c r="AM679" s="31">
        <v>173199</v>
      </c>
      <c r="AN679" s="16">
        <v>138048</v>
      </c>
      <c r="AO679" s="16">
        <v>55320</v>
      </c>
      <c r="AP679" s="31">
        <v>193368</v>
      </c>
      <c r="AQ679" s="42"/>
      <c r="AR679" s="43"/>
      <c r="AS679" s="42"/>
      <c r="AT679" s="42"/>
    </row>
    <row r="680" spans="1:46" ht="12.9" customHeight="1" x14ac:dyDescent="0.25">
      <c r="A680" s="28" t="s">
        <v>1391</v>
      </c>
      <c r="B680" s="29" t="s">
        <v>1392</v>
      </c>
      <c r="C680" s="30" t="s">
        <v>11</v>
      </c>
      <c r="D680" s="40">
        <v>321411</v>
      </c>
      <c r="E680" s="26">
        <v>930363</v>
      </c>
      <c r="F680" s="26">
        <f t="shared" si="20"/>
        <v>1251774</v>
      </c>
      <c r="G680" s="40">
        <v>339716</v>
      </c>
      <c r="H680" s="26">
        <v>838289</v>
      </c>
      <c r="I680" s="27">
        <f t="shared" si="21"/>
        <v>1178005</v>
      </c>
      <c r="J680" s="40">
        <v>360482</v>
      </c>
      <c r="K680" s="26">
        <v>772218</v>
      </c>
      <c r="L680" s="27">
        <v>1132700</v>
      </c>
      <c r="M680" s="26">
        <v>371109</v>
      </c>
      <c r="N680" s="26">
        <v>691231</v>
      </c>
      <c r="O680" s="27">
        <v>1062340</v>
      </c>
      <c r="P680" s="26">
        <v>389394</v>
      </c>
      <c r="Q680" s="26">
        <v>730926</v>
      </c>
      <c r="R680" s="27">
        <v>1120320</v>
      </c>
      <c r="S680" s="26">
        <v>349443</v>
      </c>
      <c r="T680" s="26">
        <v>811802</v>
      </c>
      <c r="U680" s="27">
        <v>1161245</v>
      </c>
      <c r="V680" s="26">
        <v>348756</v>
      </c>
      <c r="W680" s="26">
        <v>706819</v>
      </c>
      <c r="X680" s="31">
        <v>1055575</v>
      </c>
      <c r="Y680" s="16">
        <v>371384</v>
      </c>
      <c r="Z680" s="16">
        <v>845076</v>
      </c>
      <c r="AA680" s="31">
        <v>1216460</v>
      </c>
      <c r="AB680" s="32">
        <v>448038</v>
      </c>
      <c r="AC680" s="16">
        <v>822143</v>
      </c>
      <c r="AD680" s="31">
        <v>1270181</v>
      </c>
      <c r="AE680" s="16">
        <v>278168</v>
      </c>
      <c r="AF680" s="16">
        <v>946812</v>
      </c>
      <c r="AG680" s="31">
        <v>1224980</v>
      </c>
      <c r="AH680" s="16">
        <v>328408</v>
      </c>
      <c r="AI680" s="16">
        <v>1028620</v>
      </c>
      <c r="AJ680" s="31">
        <v>1357028</v>
      </c>
      <c r="AK680" s="16">
        <v>342120</v>
      </c>
      <c r="AL680" s="16">
        <v>890024</v>
      </c>
      <c r="AM680" s="31">
        <v>1232144</v>
      </c>
      <c r="AN680" s="16">
        <v>369923</v>
      </c>
      <c r="AO680" s="16">
        <v>912708</v>
      </c>
      <c r="AP680" s="31">
        <v>1282631</v>
      </c>
      <c r="AQ680" s="42"/>
      <c r="AR680" s="43"/>
      <c r="AS680" s="42"/>
      <c r="AT680" s="42"/>
    </row>
    <row r="681" spans="1:46" ht="12.9" customHeight="1" x14ac:dyDescent="0.25">
      <c r="A681" s="28" t="s">
        <v>1393</v>
      </c>
      <c r="B681" s="29" t="s">
        <v>1394</v>
      </c>
      <c r="C681" s="30" t="s">
        <v>123</v>
      </c>
      <c r="D681" s="40">
        <v>51970</v>
      </c>
      <c r="E681" s="26">
        <v>56462</v>
      </c>
      <c r="F681" s="26">
        <f t="shared" si="20"/>
        <v>108432</v>
      </c>
      <c r="G681" s="40">
        <v>63561</v>
      </c>
      <c r="H681" s="26">
        <v>59887</v>
      </c>
      <c r="I681" s="27">
        <f t="shared" si="21"/>
        <v>123448</v>
      </c>
      <c r="J681" s="40">
        <v>67483</v>
      </c>
      <c r="K681" s="26">
        <v>60289</v>
      </c>
      <c r="L681" s="27">
        <v>127772</v>
      </c>
      <c r="M681" s="26">
        <v>70982</v>
      </c>
      <c r="N681" s="26">
        <v>52054</v>
      </c>
      <c r="O681" s="27">
        <v>123036</v>
      </c>
      <c r="P681" s="26">
        <v>63552</v>
      </c>
      <c r="Q681" s="26">
        <v>45995</v>
      </c>
      <c r="R681" s="27">
        <v>109547</v>
      </c>
      <c r="S681" s="26">
        <v>65045</v>
      </c>
      <c r="T681" s="26">
        <v>51644</v>
      </c>
      <c r="U681" s="27">
        <v>116689</v>
      </c>
      <c r="V681" s="26">
        <v>53831</v>
      </c>
      <c r="W681" s="26">
        <v>58448</v>
      </c>
      <c r="X681" s="31">
        <v>112279</v>
      </c>
      <c r="Y681" s="16">
        <v>66277</v>
      </c>
      <c r="Z681" s="16">
        <v>76075</v>
      </c>
      <c r="AA681" s="31">
        <v>142352</v>
      </c>
      <c r="AB681" s="32">
        <v>63512</v>
      </c>
      <c r="AC681" s="16">
        <v>69762</v>
      </c>
      <c r="AD681" s="31">
        <v>133274</v>
      </c>
      <c r="AE681" s="16">
        <v>57680</v>
      </c>
      <c r="AF681" s="16">
        <v>71026</v>
      </c>
      <c r="AG681" s="31">
        <v>128706</v>
      </c>
      <c r="AH681" s="16">
        <v>57432</v>
      </c>
      <c r="AI681" s="16">
        <v>65564</v>
      </c>
      <c r="AJ681" s="31">
        <v>122996</v>
      </c>
      <c r="AK681" s="16">
        <v>67635</v>
      </c>
      <c r="AL681" s="16">
        <v>70726</v>
      </c>
      <c r="AM681" s="31">
        <v>138361</v>
      </c>
      <c r="AN681" s="16">
        <v>70638</v>
      </c>
      <c r="AO681" s="16">
        <v>60238</v>
      </c>
      <c r="AP681" s="31">
        <v>130876</v>
      </c>
      <c r="AQ681" s="42"/>
      <c r="AR681" s="43"/>
      <c r="AS681" s="42"/>
      <c r="AT681" s="42"/>
    </row>
    <row r="682" spans="1:46" ht="12.9" customHeight="1" x14ac:dyDescent="0.25">
      <c r="A682" s="28" t="s">
        <v>1395</v>
      </c>
      <c r="B682" s="29" t="s">
        <v>1396</v>
      </c>
      <c r="C682" s="30" t="s">
        <v>26</v>
      </c>
      <c r="D682" s="40">
        <v>247752</v>
      </c>
      <c r="E682" s="26">
        <v>53678</v>
      </c>
      <c r="F682" s="26">
        <f t="shared" si="20"/>
        <v>301430</v>
      </c>
      <c r="G682" s="40">
        <v>258088</v>
      </c>
      <c r="H682" s="26">
        <v>58971</v>
      </c>
      <c r="I682" s="27">
        <f t="shared" si="21"/>
        <v>317059</v>
      </c>
      <c r="J682" s="40">
        <v>271827</v>
      </c>
      <c r="K682" s="26">
        <v>64689</v>
      </c>
      <c r="L682" s="27">
        <v>336516</v>
      </c>
      <c r="M682" s="26">
        <v>276908</v>
      </c>
      <c r="N682" s="26">
        <v>61052</v>
      </c>
      <c r="O682" s="27">
        <v>337960</v>
      </c>
      <c r="P682" s="26">
        <v>273705</v>
      </c>
      <c r="Q682" s="26">
        <v>62124</v>
      </c>
      <c r="R682" s="27">
        <v>335829</v>
      </c>
      <c r="S682" s="26">
        <v>260984</v>
      </c>
      <c r="T682" s="26">
        <v>51029</v>
      </c>
      <c r="U682" s="27">
        <v>312013</v>
      </c>
      <c r="V682" s="26">
        <v>245788</v>
      </c>
      <c r="W682" s="26">
        <v>47604</v>
      </c>
      <c r="X682" s="31">
        <v>293392</v>
      </c>
      <c r="Y682" s="16">
        <v>250103</v>
      </c>
      <c r="Z682" s="16">
        <v>51005</v>
      </c>
      <c r="AA682" s="31">
        <v>301108</v>
      </c>
      <c r="AB682" s="32">
        <v>241098</v>
      </c>
      <c r="AC682" s="16">
        <v>47976</v>
      </c>
      <c r="AD682" s="31">
        <v>289074</v>
      </c>
      <c r="AE682" s="16">
        <v>245040</v>
      </c>
      <c r="AF682" s="16">
        <v>51509</v>
      </c>
      <c r="AG682" s="31">
        <v>296549</v>
      </c>
      <c r="AH682" s="16">
        <v>222111</v>
      </c>
      <c r="AI682" s="16">
        <v>70655</v>
      </c>
      <c r="AJ682" s="31">
        <v>292766</v>
      </c>
      <c r="AK682" s="16">
        <v>229772</v>
      </c>
      <c r="AL682" s="16">
        <v>78280</v>
      </c>
      <c r="AM682" s="31">
        <v>308052</v>
      </c>
      <c r="AN682" s="16">
        <v>244171</v>
      </c>
      <c r="AO682" s="16">
        <v>77605</v>
      </c>
      <c r="AP682" s="31">
        <v>321776</v>
      </c>
      <c r="AQ682" s="42"/>
      <c r="AR682" s="43"/>
      <c r="AS682" s="42"/>
      <c r="AT682" s="42"/>
    </row>
    <row r="683" spans="1:46" ht="12.9" customHeight="1" x14ac:dyDescent="0.25">
      <c r="A683" s="28" t="s">
        <v>1397</v>
      </c>
      <c r="B683" s="29" t="s">
        <v>1398</v>
      </c>
      <c r="C683" s="30" t="s">
        <v>59</v>
      </c>
      <c r="D683" s="40">
        <v>1274766</v>
      </c>
      <c r="E683" s="26">
        <v>384635</v>
      </c>
      <c r="F683" s="26">
        <f t="shared" si="20"/>
        <v>1659401</v>
      </c>
      <c r="G683" s="40">
        <v>1348589</v>
      </c>
      <c r="H683" s="26">
        <v>433144</v>
      </c>
      <c r="I683" s="27">
        <f t="shared" si="21"/>
        <v>1781733</v>
      </c>
      <c r="J683" s="40">
        <v>1480362</v>
      </c>
      <c r="K683" s="26">
        <v>486161</v>
      </c>
      <c r="L683" s="27">
        <v>1966523</v>
      </c>
      <c r="M683" s="26">
        <v>1480752</v>
      </c>
      <c r="N683" s="26">
        <v>431578</v>
      </c>
      <c r="O683" s="27">
        <v>1912330</v>
      </c>
      <c r="P683" s="26">
        <v>1449370</v>
      </c>
      <c r="Q683" s="26">
        <v>356481</v>
      </c>
      <c r="R683" s="27">
        <v>1805851</v>
      </c>
      <c r="S683" s="26">
        <v>1410478</v>
      </c>
      <c r="T683" s="26">
        <v>475509</v>
      </c>
      <c r="U683" s="27">
        <v>1885987</v>
      </c>
      <c r="V683" s="26">
        <v>1376939</v>
      </c>
      <c r="W683" s="26">
        <v>423540</v>
      </c>
      <c r="X683" s="31">
        <v>1800479</v>
      </c>
      <c r="Y683" s="16">
        <v>1432458</v>
      </c>
      <c r="Z683" s="16">
        <v>472528</v>
      </c>
      <c r="AA683" s="31">
        <v>1904986</v>
      </c>
      <c r="AB683" s="32">
        <v>1388786</v>
      </c>
      <c r="AC683" s="16">
        <v>398644</v>
      </c>
      <c r="AD683" s="31">
        <v>1787430</v>
      </c>
      <c r="AE683" s="16">
        <v>1374922</v>
      </c>
      <c r="AF683" s="16">
        <v>387036</v>
      </c>
      <c r="AG683" s="31">
        <v>1761958</v>
      </c>
      <c r="AH683" s="16">
        <v>1339131</v>
      </c>
      <c r="AI683" s="16">
        <v>336418</v>
      </c>
      <c r="AJ683" s="31">
        <v>1675549</v>
      </c>
      <c r="AK683" s="16">
        <v>1369530</v>
      </c>
      <c r="AL683" s="16">
        <v>283337</v>
      </c>
      <c r="AM683" s="31">
        <v>1652867</v>
      </c>
      <c r="AN683" s="16">
        <v>1444098</v>
      </c>
      <c r="AO683" s="16">
        <v>317027</v>
      </c>
      <c r="AP683" s="31">
        <v>1761125</v>
      </c>
      <c r="AQ683" s="42"/>
      <c r="AR683" s="43"/>
      <c r="AS683" s="42"/>
      <c r="AT683" s="42"/>
    </row>
    <row r="684" spans="1:46" ht="12.9" customHeight="1" x14ac:dyDescent="0.25">
      <c r="A684" s="28" t="s">
        <v>1399</v>
      </c>
      <c r="B684" s="29" t="s">
        <v>1400</v>
      </c>
      <c r="C684" s="30" t="s">
        <v>11</v>
      </c>
      <c r="D684" s="40">
        <v>1524637</v>
      </c>
      <c r="E684" s="26">
        <v>395899</v>
      </c>
      <c r="F684" s="26">
        <f t="shared" si="20"/>
        <v>1920536</v>
      </c>
      <c r="G684" s="40">
        <v>1566094</v>
      </c>
      <c r="H684" s="26">
        <v>420894</v>
      </c>
      <c r="I684" s="27">
        <f t="shared" si="21"/>
        <v>1986988</v>
      </c>
      <c r="J684" s="40">
        <v>1596390</v>
      </c>
      <c r="K684" s="26">
        <v>577958</v>
      </c>
      <c r="L684" s="27">
        <v>2174348</v>
      </c>
      <c r="M684" s="26">
        <v>1685021</v>
      </c>
      <c r="N684" s="26">
        <v>555885</v>
      </c>
      <c r="O684" s="27">
        <v>2240906</v>
      </c>
      <c r="P684" s="26">
        <v>1770831</v>
      </c>
      <c r="Q684" s="26">
        <v>506733</v>
      </c>
      <c r="R684" s="27">
        <v>2277564</v>
      </c>
      <c r="S684" s="26">
        <v>1608997</v>
      </c>
      <c r="T684" s="26">
        <v>568848</v>
      </c>
      <c r="U684" s="27">
        <v>2177845</v>
      </c>
      <c r="V684" s="26">
        <v>1628268</v>
      </c>
      <c r="W684" s="26">
        <v>565334</v>
      </c>
      <c r="X684" s="31">
        <v>2193602</v>
      </c>
      <c r="Y684" s="16">
        <v>1593600</v>
      </c>
      <c r="Z684" s="16">
        <v>574141</v>
      </c>
      <c r="AA684" s="31">
        <v>2167741</v>
      </c>
      <c r="AB684" s="32">
        <v>1552235</v>
      </c>
      <c r="AC684" s="16">
        <v>558789</v>
      </c>
      <c r="AD684" s="31">
        <v>2111024</v>
      </c>
      <c r="AE684" s="16">
        <v>1524610</v>
      </c>
      <c r="AF684" s="16">
        <v>557040</v>
      </c>
      <c r="AG684" s="31">
        <v>2081650</v>
      </c>
      <c r="AH684" s="16">
        <v>1492520</v>
      </c>
      <c r="AI684" s="16">
        <v>566395</v>
      </c>
      <c r="AJ684" s="31">
        <v>2058915</v>
      </c>
      <c r="AK684" s="16">
        <v>1539528</v>
      </c>
      <c r="AL684" s="16">
        <v>580975</v>
      </c>
      <c r="AM684" s="31">
        <v>2120503</v>
      </c>
      <c r="AN684" s="16">
        <v>1560028</v>
      </c>
      <c r="AO684" s="16">
        <v>472766</v>
      </c>
      <c r="AP684" s="31">
        <v>2032794</v>
      </c>
      <c r="AQ684" s="42"/>
      <c r="AR684" s="43"/>
      <c r="AS684" s="42"/>
      <c r="AT684" s="42"/>
    </row>
    <row r="685" spans="1:46" ht="12.9" customHeight="1" x14ac:dyDescent="0.25">
      <c r="A685" s="28" t="s">
        <v>1401</v>
      </c>
      <c r="B685" s="29" t="s">
        <v>1402</v>
      </c>
      <c r="C685" s="30" t="s">
        <v>150</v>
      </c>
      <c r="D685" s="40">
        <v>55017</v>
      </c>
      <c r="E685" s="26">
        <v>16793</v>
      </c>
      <c r="F685" s="26">
        <f t="shared" si="20"/>
        <v>71810</v>
      </c>
      <c r="G685" s="40">
        <v>48963</v>
      </c>
      <c r="H685" s="26">
        <v>21933</v>
      </c>
      <c r="I685" s="27">
        <f t="shared" si="21"/>
        <v>70896</v>
      </c>
      <c r="J685" s="40">
        <v>64061</v>
      </c>
      <c r="K685" s="26">
        <v>24605</v>
      </c>
      <c r="L685" s="27">
        <v>88666</v>
      </c>
      <c r="M685" s="26">
        <v>62021</v>
      </c>
      <c r="N685" s="26">
        <v>16756</v>
      </c>
      <c r="O685" s="27">
        <v>78777</v>
      </c>
      <c r="P685" s="26">
        <v>72932</v>
      </c>
      <c r="Q685" s="26">
        <v>16512</v>
      </c>
      <c r="R685" s="27">
        <v>89444</v>
      </c>
      <c r="S685" s="26">
        <v>70407</v>
      </c>
      <c r="T685" s="26">
        <v>17377</v>
      </c>
      <c r="U685" s="27">
        <v>87784</v>
      </c>
      <c r="V685" s="26">
        <v>58322</v>
      </c>
      <c r="W685" s="26">
        <v>19550</v>
      </c>
      <c r="X685" s="31">
        <v>77872</v>
      </c>
      <c r="Y685" s="16">
        <v>56789</v>
      </c>
      <c r="Z685" s="16">
        <v>17557</v>
      </c>
      <c r="AA685" s="31">
        <v>74346</v>
      </c>
      <c r="AB685" s="32">
        <v>49698</v>
      </c>
      <c r="AC685" s="16">
        <v>13557</v>
      </c>
      <c r="AD685" s="31">
        <v>63255</v>
      </c>
      <c r="AE685" s="16">
        <v>52433</v>
      </c>
      <c r="AF685" s="16">
        <v>12520</v>
      </c>
      <c r="AG685" s="31">
        <v>64953</v>
      </c>
      <c r="AH685" s="16">
        <v>46368</v>
      </c>
      <c r="AI685" s="16">
        <v>13453</v>
      </c>
      <c r="AJ685" s="31">
        <v>59821</v>
      </c>
      <c r="AK685" s="16">
        <v>53281</v>
      </c>
      <c r="AL685" s="16">
        <v>17749</v>
      </c>
      <c r="AM685" s="31">
        <v>71030</v>
      </c>
      <c r="AN685" s="16">
        <v>57380</v>
      </c>
      <c r="AO685" s="16">
        <v>17269</v>
      </c>
      <c r="AP685" s="31">
        <v>74649</v>
      </c>
      <c r="AQ685" s="42"/>
      <c r="AR685" s="43"/>
      <c r="AS685" s="42"/>
      <c r="AT685" s="42"/>
    </row>
    <row r="686" spans="1:46" ht="12.9" customHeight="1" x14ac:dyDescent="0.25">
      <c r="A686" s="28" t="s">
        <v>1403</v>
      </c>
      <c r="B686" s="29" t="s">
        <v>1404</v>
      </c>
      <c r="C686" s="47" t="s">
        <v>20</v>
      </c>
      <c r="D686" s="40">
        <v>23115</v>
      </c>
      <c r="E686" s="26">
        <v>29745</v>
      </c>
      <c r="F686" s="26">
        <f t="shared" si="20"/>
        <v>52860</v>
      </c>
      <c r="G686" s="40">
        <v>24152</v>
      </c>
      <c r="H686" s="26">
        <v>33983</v>
      </c>
      <c r="I686" s="27">
        <f t="shared" si="21"/>
        <v>58135</v>
      </c>
      <c r="J686" s="40">
        <v>25182</v>
      </c>
      <c r="K686" s="26">
        <v>42043</v>
      </c>
      <c r="L686" s="27">
        <v>67225</v>
      </c>
      <c r="M686" s="26">
        <v>25238</v>
      </c>
      <c r="N686" s="26">
        <v>42178</v>
      </c>
      <c r="O686" s="27">
        <v>67416</v>
      </c>
      <c r="P686" s="26">
        <v>25625</v>
      </c>
      <c r="Q686" s="26">
        <v>33899</v>
      </c>
      <c r="R686" s="27">
        <v>59524</v>
      </c>
      <c r="S686" s="26">
        <v>25721</v>
      </c>
      <c r="T686" s="26">
        <v>39251</v>
      </c>
      <c r="U686" s="27">
        <v>64972</v>
      </c>
      <c r="V686" s="26">
        <v>23160</v>
      </c>
      <c r="W686" s="26">
        <v>33299</v>
      </c>
      <c r="X686" s="31">
        <v>56459</v>
      </c>
      <c r="Y686" s="16">
        <v>26928</v>
      </c>
      <c r="Z686" s="16">
        <v>44791</v>
      </c>
      <c r="AA686" s="31">
        <v>71719</v>
      </c>
      <c r="AB686" s="32">
        <v>25035</v>
      </c>
      <c r="AC686" s="16">
        <v>50161</v>
      </c>
      <c r="AD686" s="31">
        <v>75196</v>
      </c>
      <c r="AE686" s="16">
        <v>24322</v>
      </c>
      <c r="AF686" s="16">
        <v>49804</v>
      </c>
      <c r="AG686" s="31">
        <v>74126</v>
      </c>
      <c r="AH686" s="16">
        <v>22947</v>
      </c>
      <c r="AI686" s="16">
        <v>49373</v>
      </c>
      <c r="AJ686" s="31">
        <v>72320</v>
      </c>
      <c r="AK686" s="16">
        <v>23281.623668639055</v>
      </c>
      <c r="AL686" s="16">
        <v>33343</v>
      </c>
      <c r="AM686" s="31">
        <v>56624.623668639055</v>
      </c>
      <c r="AN686" s="16">
        <v>26900</v>
      </c>
      <c r="AO686" s="16">
        <v>51997</v>
      </c>
      <c r="AP686" s="31">
        <v>78897</v>
      </c>
      <c r="AQ686" s="42"/>
      <c r="AR686" s="43"/>
      <c r="AS686" s="42"/>
      <c r="AT686" s="42"/>
    </row>
    <row r="687" spans="1:46" ht="12.9" customHeight="1" x14ac:dyDescent="0.25">
      <c r="A687" s="28" t="s">
        <v>1405</v>
      </c>
      <c r="B687" s="29" t="s">
        <v>1406</v>
      </c>
      <c r="C687" s="30" t="s">
        <v>150</v>
      </c>
      <c r="D687" s="40">
        <v>1826</v>
      </c>
      <c r="E687" s="26">
        <v>5788</v>
      </c>
      <c r="F687" s="26">
        <f t="shared" si="20"/>
        <v>7614</v>
      </c>
      <c r="G687" s="40">
        <v>1421</v>
      </c>
      <c r="H687" s="26">
        <v>4476</v>
      </c>
      <c r="I687" s="27">
        <f t="shared" si="21"/>
        <v>5897</v>
      </c>
      <c r="J687" s="40">
        <v>1730</v>
      </c>
      <c r="K687" s="26">
        <v>5775</v>
      </c>
      <c r="L687" s="27">
        <v>7505</v>
      </c>
      <c r="M687" s="26">
        <v>1938</v>
      </c>
      <c r="N687" s="26">
        <v>6235</v>
      </c>
      <c r="O687" s="27">
        <v>8173</v>
      </c>
      <c r="P687" s="26">
        <v>1787</v>
      </c>
      <c r="Q687" s="26">
        <v>6649</v>
      </c>
      <c r="R687" s="27">
        <v>8436</v>
      </c>
      <c r="S687" s="26">
        <v>3032</v>
      </c>
      <c r="T687" s="26">
        <v>7619</v>
      </c>
      <c r="U687" s="27">
        <v>10651</v>
      </c>
      <c r="V687" s="26" t="s">
        <v>1362</v>
      </c>
      <c r="W687" s="26">
        <v>14486</v>
      </c>
      <c r="X687" s="31">
        <v>14486</v>
      </c>
      <c r="Y687" s="32" t="s">
        <v>1362</v>
      </c>
      <c r="Z687" s="16">
        <v>19102</v>
      </c>
      <c r="AA687" s="31">
        <v>19102</v>
      </c>
      <c r="AB687" s="32" t="s">
        <v>1362</v>
      </c>
      <c r="AC687" s="16">
        <v>13569</v>
      </c>
      <c r="AD687" s="31">
        <v>13569</v>
      </c>
      <c r="AE687" s="16">
        <v>0</v>
      </c>
      <c r="AF687" s="16">
        <v>13672</v>
      </c>
      <c r="AG687" s="31">
        <v>13672</v>
      </c>
      <c r="AH687" s="32" t="s">
        <v>160</v>
      </c>
      <c r="AI687" s="16">
        <v>13612</v>
      </c>
      <c r="AJ687" s="31">
        <v>13612</v>
      </c>
      <c r="AK687" s="32" t="s">
        <v>160</v>
      </c>
      <c r="AL687" s="16">
        <v>13961</v>
      </c>
      <c r="AM687" s="31">
        <v>13961</v>
      </c>
      <c r="AN687" s="32" t="s">
        <v>160</v>
      </c>
      <c r="AO687" s="16">
        <v>15383</v>
      </c>
      <c r="AP687" s="31">
        <v>15383</v>
      </c>
      <c r="AQ687" s="42"/>
      <c r="AR687" s="43"/>
      <c r="AS687" s="42"/>
      <c r="AT687" s="42"/>
    </row>
    <row r="688" spans="1:46" ht="12.9" customHeight="1" x14ac:dyDescent="0.25">
      <c r="A688" s="28" t="s">
        <v>1407</v>
      </c>
      <c r="B688" s="29" t="s">
        <v>1408</v>
      </c>
      <c r="C688" s="30" t="s">
        <v>26</v>
      </c>
      <c r="D688" s="40">
        <v>360630</v>
      </c>
      <c r="E688" s="26">
        <v>147930</v>
      </c>
      <c r="F688" s="26">
        <f t="shared" si="20"/>
        <v>508560</v>
      </c>
      <c r="G688" s="40">
        <v>391908</v>
      </c>
      <c r="H688" s="26">
        <v>180489</v>
      </c>
      <c r="I688" s="27">
        <f t="shared" si="21"/>
        <v>572397</v>
      </c>
      <c r="J688" s="40">
        <v>416344</v>
      </c>
      <c r="K688" s="26">
        <v>171400</v>
      </c>
      <c r="L688" s="27">
        <v>587744</v>
      </c>
      <c r="M688" s="26">
        <v>426295</v>
      </c>
      <c r="N688" s="26">
        <v>179815</v>
      </c>
      <c r="O688" s="27">
        <v>606110</v>
      </c>
      <c r="P688" s="26">
        <v>406065</v>
      </c>
      <c r="Q688" s="26">
        <v>156970</v>
      </c>
      <c r="R688" s="27">
        <v>563035</v>
      </c>
      <c r="S688" s="26">
        <v>373479</v>
      </c>
      <c r="T688" s="26">
        <v>164183</v>
      </c>
      <c r="U688" s="27">
        <v>537662</v>
      </c>
      <c r="V688" s="26">
        <v>354548</v>
      </c>
      <c r="W688" s="26">
        <v>157920</v>
      </c>
      <c r="X688" s="31">
        <v>512468</v>
      </c>
      <c r="Y688" s="16">
        <v>373687</v>
      </c>
      <c r="Z688" s="16">
        <v>163148</v>
      </c>
      <c r="AA688" s="31">
        <v>536835</v>
      </c>
      <c r="AB688" s="32">
        <v>362604</v>
      </c>
      <c r="AC688" s="16">
        <v>163848</v>
      </c>
      <c r="AD688" s="31">
        <v>526452</v>
      </c>
      <c r="AE688" s="16">
        <v>361396</v>
      </c>
      <c r="AF688" s="16">
        <v>175895</v>
      </c>
      <c r="AG688" s="31">
        <v>537291</v>
      </c>
      <c r="AH688" s="16">
        <v>358553</v>
      </c>
      <c r="AI688" s="16">
        <v>176882</v>
      </c>
      <c r="AJ688" s="31">
        <v>535435</v>
      </c>
      <c r="AK688" s="16">
        <v>368551</v>
      </c>
      <c r="AL688" s="16">
        <v>199394</v>
      </c>
      <c r="AM688" s="31">
        <v>567945</v>
      </c>
      <c r="AN688" s="16">
        <v>394810</v>
      </c>
      <c r="AO688" s="16">
        <v>246499</v>
      </c>
      <c r="AP688" s="31">
        <v>641309</v>
      </c>
      <c r="AQ688" s="42"/>
      <c r="AR688" s="43"/>
      <c r="AS688" s="42"/>
      <c r="AT688" s="42"/>
    </row>
    <row r="689" spans="1:46" ht="12.9" customHeight="1" x14ac:dyDescent="0.25">
      <c r="A689" s="28" t="s">
        <v>1409</v>
      </c>
      <c r="B689" s="29" t="s">
        <v>1410</v>
      </c>
      <c r="C689" s="30" t="s">
        <v>20</v>
      </c>
      <c r="D689" s="40">
        <v>335066</v>
      </c>
      <c r="E689" s="26">
        <v>284660</v>
      </c>
      <c r="F689" s="26">
        <f t="shared" si="20"/>
        <v>619726</v>
      </c>
      <c r="G689" s="40">
        <v>380988</v>
      </c>
      <c r="H689" s="26">
        <v>295203</v>
      </c>
      <c r="I689" s="27">
        <f t="shared" si="21"/>
        <v>676191</v>
      </c>
      <c r="J689" s="40">
        <v>413946</v>
      </c>
      <c r="K689" s="26">
        <v>354346</v>
      </c>
      <c r="L689" s="27">
        <v>768292</v>
      </c>
      <c r="M689" s="26">
        <v>431957</v>
      </c>
      <c r="N689" s="26">
        <v>341974</v>
      </c>
      <c r="O689" s="27">
        <v>773931</v>
      </c>
      <c r="P689" s="26">
        <v>429702</v>
      </c>
      <c r="Q689" s="26">
        <v>346446</v>
      </c>
      <c r="R689" s="27">
        <v>776148</v>
      </c>
      <c r="S689" s="26">
        <v>418397</v>
      </c>
      <c r="T689" s="26">
        <v>378135</v>
      </c>
      <c r="U689" s="27">
        <v>796532</v>
      </c>
      <c r="V689" s="26">
        <v>389907</v>
      </c>
      <c r="W689" s="26">
        <v>426554</v>
      </c>
      <c r="X689" s="31">
        <v>816461</v>
      </c>
      <c r="Y689" s="16">
        <v>407229</v>
      </c>
      <c r="Z689" s="16">
        <v>367866</v>
      </c>
      <c r="AA689" s="31">
        <v>775095</v>
      </c>
      <c r="AB689" s="32">
        <v>411630</v>
      </c>
      <c r="AC689" s="16">
        <v>349746</v>
      </c>
      <c r="AD689" s="31">
        <v>761376</v>
      </c>
      <c r="AE689" s="16">
        <v>416833</v>
      </c>
      <c r="AF689" s="16">
        <v>343231</v>
      </c>
      <c r="AG689" s="31">
        <v>760064</v>
      </c>
      <c r="AH689" s="16">
        <v>397292</v>
      </c>
      <c r="AI689" s="16">
        <v>315613</v>
      </c>
      <c r="AJ689" s="31">
        <v>712905</v>
      </c>
      <c r="AK689" s="16">
        <v>389742</v>
      </c>
      <c r="AL689" s="16">
        <v>300060</v>
      </c>
      <c r="AM689" s="31">
        <v>689802</v>
      </c>
      <c r="AN689" s="16">
        <v>436232</v>
      </c>
      <c r="AO689" s="16">
        <v>334748</v>
      </c>
      <c r="AP689" s="31">
        <v>770980</v>
      </c>
      <c r="AQ689" s="42"/>
      <c r="AR689" s="43"/>
      <c r="AS689" s="42"/>
      <c r="AT689" s="42"/>
    </row>
    <row r="690" spans="1:46" ht="12.9" customHeight="1" x14ac:dyDescent="0.25">
      <c r="A690" s="28" t="s">
        <v>1411</v>
      </c>
      <c r="B690" s="29" t="s">
        <v>1412</v>
      </c>
      <c r="C690" s="30" t="s">
        <v>274</v>
      </c>
      <c r="D690" s="40">
        <v>130694</v>
      </c>
      <c r="E690" s="26">
        <v>172588</v>
      </c>
      <c r="F690" s="26">
        <f t="shared" si="20"/>
        <v>303282</v>
      </c>
      <c r="G690" s="40">
        <v>129037</v>
      </c>
      <c r="H690" s="26">
        <v>189250</v>
      </c>
      <c r="I690" s="27">
        <f t="shared" si="21"/>
        <v>318287</v>
      </c>
      <c r="J690" s="40">
        <v>141417</v>
      </c>
      <c r="K690" s="26">
        <v>235793</v>
      </c>
      <c r="L690" s="27">
        <v>377210</v>
      </c>
      <c r="M690" s="26">
        <v>146005</v>
      </c>
      <c r="N690" s="26">
        <v>234647</v>
      </c>
      <c r="O690" s="27">
        <v>380652</v>
      </c>
      <c r="P690" s="26">
        <v>140786</v>
      </c>
      <c r="Q690" s="26">
        <v>185804</v>
      </c>
      <c r="R690" s="27">
        <v>326590</v>
      </c>
      <c r="S690" s="26">
        <v>137312</v>
      </c>
      <c r="T690" s="26">
        <v>188257</v>
      </c>
      <c r="U690" s="27">
        <v>325569</v>
      </c>
      <c r="V690" s="26">
        <v>123847</v>
      </c>
      <c r="W690" s="26">
        <v>181918</v>
      </c>
      <c r="X690" s="31">
        <v>305765</v>
      </c>
      <c r="Y690" s="16">
        <v>127117</v>
      </c>
      <c r="Z690" s="16">
        <v>200336</v>
      </c>
      <c r="AA690" s="31">
        <v>327453</v>
      </c>
      <c r="AB690" s="32">
        <v>123428</v>
      </c>
      <c r="AC690" s="16">
        <v>195606</v>
      </c>
      <c r="AD690" s="31">
        <v>319034</v>
      </c>
      <c r="AE690" s="16">
        <v>100943</v>
      </c>
      <c r="AF690" s="16">
        <v>192052</v>
      </c>
      <c r="AG690" s="31">
        <v>292995</v>
      </c>
      <c r="AH690" s="16">
        <v>138529</v>
      </c>
      <c r="AI690" s="16">
        <v>186140</v>
      </c>
      <c r="AJ690" s="31">
        <v>324669</v>
      </c>
      <c r="AK690" s="16">
        <v>110580</v>
      </c>
      <c r="AL690" s="16">
        <v>168461</v>
      </c>
      <c r="AM690" s="31">
        <v>279041</v>
      </c>
      <c r="AN690" s="16">
        <v>96692</v>
      </c>
      <c r="AO690" s="16">
        <v>178160</v>
      </c>
      <c r="AP690" s="31">
        <v>274852</v>
      </c>
      <c r="AQ690" s="42"/>
      <c r="AR690" s="43"/>
      <c r="AS690" s="42"/>
      <c r="AT690" s="42"/>
    </row>
    <row r="691" spans="1:46" ht="12.9" customHeight="1" x14ac:dyDescent="0.25">
      <c r="A691" s="28" t="s">
        <v>1413</v>
      </c>
      <c r="B691" s="29" t="s">
        <v>1414</v>
      </c>
      <c r="C691" s="30" t="s">
        <v>281</v>
      </c>
      <c r="D691" s="40">
        <v>43844.800000000003</v>
      </c>
      <c r="E691" s="26">
        <v>199961</v>
      </c>
      <c r="F691" s="26">
        <f t="shared" si="20"/>
        <v>243805.8</v>
      </c>
      <c r="G691" s="40">
        <f>34581+10961</f>
        <v>45542</v>
      </c>
      <c r="H691" s="26">
        <v>164702</v>
      </c>
      <c r="I691" s="27">
        <f t="shared" si="21"/>
        <v>210244</v>
      </c>
      <c r="J691" s="40">
        <v>43958</v>
      </c>
      <c r="K691" s="26">
        <v>106227</v>
      </c>
      <c r="L691" s="27">
        <v>150185</v>
      </c>
      <c r="M691" s="26">
        <v>45103</v>
      </c>
      <c r="N691" s="26">
        <v>82779</v>
      </c>
      <c r="O691" s="27">
        <v>127882</v>
      </c>
      <c r="P691" s="26">
        <v>50773</v>
      </c>
      <c r="Q691" s="26">
        <v>83012</v>
      </c>
      <c r="R691" s="27">
        <v>133785</v>
      </c>
      <c r="S691" s="26">
        <v>36266</v>
      </c>
      <c r="T691" s="26">
        <v>117117</v>
      </c>
      <c r="U691" s="27">
        <v>153383</v>
      </c>
      <c r="V691" s="26">
        <v>35205</v>
      </c>
      <c r="W691" s="26">
        <v>101986</v>
      </c>
      <c r="X691" s="31">
        <v>137191</v>
      </c>
      <c r="Y691" s="16">
        <v>35852</v>
      </c>
      <c r="Z691" s="16">
        <v>100532</v>
      </c>
      <c r="AA691" s="31">
        <v>136384</v>
      </c>
      <c r="AB691" s="32">
        <v>36596</v>
      </c>
      <c r="AC691" s="16">
        <v>63161</v>
      </c>
      <c r="AD691" s="31">
        <v>99757</v>
      </c>
      <c r="AE691" s="16">
        <v>35559</v>
      </c>
      <c r="AF691" s="16">
        <v>56673</v>
      </c>
      <c r="AG691" s="31">
        <v>92232</v>
      </c>
      <c r="AH691" s="16">
        <v>37805</v>
      </c>
      <c r="AI691" s="16">
        <v>51202</v>
      </c>
      <c r="AJ691" s="31">
        <v>89007</v>
      </c>
      <c r="AK691" s="16">
        <v>37533</v>
      </c>
      <c r="AL691" s="16">
        <v>45373</v>
      </c>
      <c r="AM691" s="31">
        <v>82906</v>
      </c>
      <c r="AN691" s="16">
        <v>40797</v>
      </c>
      <c r="AO691" s="16">
        <v>31552</v>
      </c>
      <c r="AP691" s="31">
        <v>72349</v>
      </c>
      <c r="AQ691" s="42"/>
      <c r="AR691" s="43"/>
      <c r="AS691" s="42"/>
      <c r="AT691" s="42"/>
    </row>
    <row r="692" spans="1:46" ht="12.9" customHeight="1" x14ac:dyDescent="0.25">
      <c r="A692" s="28" t="s">
        <v>1415</v>
      </c>
      <c r="B692" s="29" t="s">
        <v>1416</v>
      </c>
      <c r="C692" s="30" t="s">
        <v>281</v>
      </c>
      <c r="D692" s="40">
        <v>7010</v>
      </c>
      <c r="E692" s="26">
        <v>29180</v>
      </c>
      <c r="F692" s="26">
        <f t="shared" si="20"/>
        <v>36190</v>
      </c>
      <c r="G692" s="40">
        <v>7551</v>
      </c>
      <c r="H692" s="26">
        <v>30381</v>
      </c>
      <c r="I692" s="27">
        <f t="shared" si="21"/>
        <v>37932</v>
      </c>
      <c r="J692" s="40">
        <v>7370</v>
      </c>
      <c r="K692" s="26">
        <v>29800</v>
      </c>
      <c r="L692" s="27">
        <v>37170</v>
      </c>
      <c r="M692" s="26">
        <v>6821</v>
      </c>
      <c r="N692" s="26">
        <v>29162</v>
      </c>
      <c r="O692" s="27">
        <v>35983</v>
      </c>
      <c r="P692" s="26">
        <v>7958</v>
      </c>
      <c r="Q692" s="26">
        <v>28469</v>
      </c>
      <c r="R692" s="27">
        <v>36427</v>
      </c>
      <c r="S692" s="26">
        <v>7287</v>
      </c>
      <c r="T692" s="26">
        <v>27418</v>
      </c>
      <c r="U692" s="27">
        <v>34705</v>
      </c>
      <c r="V692" s="26">
        <v>6902</v>
      </c>
      <c r="W692" s="26">
        <v>21171</v>
      </c>
      <c r="X692" s="31">
        <v>28073</v>
      </c>
      <c r="Y692" s="16">
        <v>6862</v>
      </c>
      <c r="Z692" s="16">
        <v>23404</v>
      </c>
      <c r="AA692" s="31">
        <v>30266</v>
      </c>
      <c r="AB692" s="32">
        <v>9597</v>
      </c>
      <c r="AC692" s="16">
        <v>30087</v>
      </c>
      <c r="AD692" s="31">
        <v>39684</v>
      </c>
      <c r="AE692" s="16">
        <v>5465</v>
      </c>
      <c r="AF692" s="16">
        <v>17062</v>
      </c>
      <c r="AG692" s="31">
        <v>22527</v>
      </c>
      <c r="AH692" s="16">
        <v>7422</v>
      </c>
      <c r="AI692" s="16">
        <v>755</v>
      </c>
      <c r="AJ692" s="31">
        <v>8177</v>
      </c>
      <c r="AK692" s="16">
        <v>9717</v>
      </c>
      <c r="AL692" s="16">
        <v>1523</v>
      </c>
      <c r="AM692" s="31">
        <v>11240</v>
      </c>
      <c r="AN692" s="16">
        <v>5802</v>
      </c>
      <c r="AO692" s="16">
        <v>1233</v>
      </c>
      <c r="AP692" s="31">
        <v>7035</v>
      </c>
      <c r="AQ692" s="42"/>
      <c r="AR692" s="43"/>
      <c r="AS692" s="42"/>
      <c r="AT692" s="42"/>
    </row>
    <row r="693" spans="1:46" ht="12.9" customHeight="1" x14ac:dyDescent="0.25">
      <c r="A693" s="28" t="s">
        <v>1417</v>
      </c>
      <c r="B693" s="29" t="s">
        <v>1418</v>
      </c>
      <c r="C693" s="30" t="s">
        <v>123</v>
      </c>
      <c r="D693" s="40">
        <v>205484</v>
      </c>
      <c r="E693" s="26">
        <v>554846</v>
      </c>
      <c r="F693" s="26">
        <f t="shared" si="20"/>
        <v>760330</v>
      </c>
      <c r="G693" s="40">
        <v>205274</v>
      </c>
      <c r="H693" s="26">
        <v>586570</v>
      </c>
      <c r="I693" s="27">
        <f t="shared" si="21"/>
        <v>791844</v>
      </c>
      <c r="J693" s="40">
        <v>219676</v>
      </c>
      <c r="K693" s="26">
        <v>667307</v>
      </c>
      <c r="L693" s="27">
        <v>886983</v>
      </c>
      <c r="M693" s="26">
        <v>228171</v>
      </c>
      <c r="N693" s="26">
        <v>635784</v>
      </c>
      <c r="O693" s="27">
        <v>863955</v>
      </c>
      <c r="P693" s="26">
        <v>220507</v>
      </c>
      <c r="Q693" s="26">
        <v>658273</v>
      </c>
      <c r="R693" s="27">
        <v>878780</v>
      </c>
      <c r="S693" s="26">
        <v>209057</v>
      </c>
      <c r="T693" s="26">
        <v>751305</v>
      </c>
      <c r="U693" s="27">
        <v>960362</v>
      </c>
      <c r="V693" s="26">
        <v>201952</v>
      </c>
      <c r="W693" s="26">
        <v>769864</v>
      </c>
      <c r="X693" s="31">
        <v>971816</v>
      </c>
      <c r="Y693" s="16">
        <v>209027</v>
      </c>
      <c r="Z693" s="16">
        <v>753720</v>
      </c>
      <c r="AA693" s="31">
        <v>962747</v>
      </c>
      <c r="AB693" s="32">
        <v>212935</v>
      </c>
      <c r="AC693" s="16">
        <v>692870</v>
      </c>
      <c r="AD693" s="31">
        <v>905805</v>
      </c>
      <c r="AE693" s="16">
        <v>209228</v>
      </c>
      <c r="AF693" s="16">
        <v>701103</v>
      </c>
      <c r="AG693" s="31">
        <v>910331</v>
      </c>
      <c r="AH693" s="16">
        <v>200257</v>
      </c>
      <c r="AI693" s="16">
        <v>658060</v>
      </c>
      <c r="AJ693" s="31">
        <v>858317</v>
      </c>
      <c r="AK693" s="16">
        <v>202289</v>
      </c>
      <c r="AL693" s="16">
        <v>643738</v>
      </c>
      <c r="AM693" s="31">
        <v>846027</v>
      </c>
      <c r="AN693" s="16">
        <v>216984</v>
      </c>
      <c r="AO693" s="16">
        <v>720262</v>
      </c>
      <c r="AP693" s="31">
        <v>937246</v>
      </c>
      <c r="AQ693" s="42"/>
      <c r="AR693" s="43"/>
      <c r="AS693" s="42"/>
      <c r="AT693" s="42"/>
    </row>
    <row r="694" spans="1:46" ht="12.9" customHeight="1" x14ac:dyDescent="0.25">
      <c r="A694" s="28" t="s">
        <v>1419</v>
      </c>
      <c r="B694" s="29" t="s">
        <v>1420</v>
      </c>
      <c r="C694" s="30" t="s">
        <v>113</v>
      </c>
      <c r="D694" s="40">
        <v>127189</v>
      </c>
      <c r="E694" s="26">
        <v>26538</v>
      </c>
      <c r="F694" s="26">
        <f t="shared" si="20"/>
        <v>153727</v>
      </c>
      <c r="G694" s="40">
        <v>133417</v>
      </c>
      <c r="H694" s="26">
        <v>29415</v>
      </c>
      <c r="I694" s="27">
        <f t="shared" si="21"/>
        <v>162832</v>
      </c>
      <c r="J694" s="40">
        <v>139357</v>
      </c>
      <c r="K694" s="26">
        <v>33511</v>
      </c>
      <c r="L694" s="27">
        <v>172868</v>
      </c>
      <c r="M694" s="26">
        <v>145754</v>
      </c>
      <c r="N694" s="26">
        <v>32009</v>
      </c>
      <c r="O694" s="27">
        <v>177763</v>
      </c>
      <c r="P694" s="26">
        <v>144711</v>
      </c>
      <c r="Q694" s="26">
        <v>29991</v>
      </c>
      <c r="R694" s="27">
        <v>174702</v>
      </c>
      <c r="S694" s="26">
        <v>134256</v>
      </c>
      <c r="T694" s="26">
        <v>31033</v>
      </c>
      <c r="U694" s="27">
        <v>165289</v>
      </c>
      <c r="V694" s="26">
        <v>129971</v>
      </c>
      <c r="W694" s="26">
        <v>33926</v>
      </c>
      <c r="X694" s="31">
        <v>163897</v>
      </c>
      <c r="Y694" s="16">
        <v>129242</v>
      </c>
      <c r="Z694" s="16">
        <v>41682</v>
      </c>
      <c r="AA694" s="31">
        <v>170924</v>
      </c>
      <c r="AB694" s="32">
        <v>128696</v>
      </c>
      <c r="AC694" s="16">
        <v>36528</v>
      </c>
      <c r="AD694" s="31">
        <v>165224</v>
      </c>
      <c r="AE694" s="16">
        <v>126393</v>
      </c>
      <c r="AF694" s="16">
        <v>35412</v>
      </c>
      <c r="AG694" s="31">
        <v>161805</v>
      </c>
      <c r="AH694" s="16">
        <v>119285</v>
      </c>
      <c r="AI694" s="16">
        <v>34466</v>
      </c>
      <c r="AJ694" s="31">
        <v>153751</v>
      </c>
      <c r="AK694" s="16">
        <v>101477</v>
      </c>
      <c r="AL694" s="16">
        <v>29351</v>
      </c>
      <c r="AM694" s="31">
        <v>130828</v>
      </c>
      <c r="AN694" s="16">
        <v>132675</v>
      </c>
      <c r="AO694" s="16">
        <v>35469</v>
      </c>
      <c r="AP694" s="31">
        <v>168144</v>
      </c>
      <c r="AQ694" s="42"/>
      <c r="AR694" s="43"/>
      <c r="AS694" s="42"/>
      <c r="AT694" s="42"/>
    </row>
    <row r="695" spans="1:46" ht="12.9" customHeight="1" x14ac:dyDescent="0.25">
      <c r="A695" s="28" t="s">
        <v>1421</v>
      </c>
      <c r="B695" s="29" t="s">
        <v>1422</v>
      </c>
      <c r="C695" s="30" t="s">
        <v>80</v>
      </c>
      <c r="D695" s="40">
        <v>57409</v>
      </c>
      <c r="E695" s="26">
        <v>10432</v>
      </c>
      <c r="F695" s="26">
        <f t="shared" si="20"/>
        <v>67841</v>
      </c>
      <c r="G695" s="40">
        <v>61427</v>
      </c>
      <c r="H695" s="26">
        <v>11490</v>
      </c>
      <c r="I695" s="27">
        <f t="shared" si="21"/>
        <v>72917</v>
      </c>
      <c r="J695" s="40">
        <v>65418</v>
      </c>
      <c r="K695" s="26">
        <v>10955</v>
      </c>
      <c r="L695" s="27">
        <v>76373</v>
      </c>
      <c r="M695" s="26">
        <v>63979</v>
      </c>
      <c r="N695" s="26">
        <v>8887</v>
      </c>
      <c r="O695" s="27">
        <v>72866</v>
      </c>
      <c r="P695" s="26">
        <v>65910</v>
      </c>
      <c r="Q695" s="26">
        <v>8769</v>
      </c>
      <c r="R695" s="27">
        <v>74679</v>
      </c>
      <c r="S695" s="26">
        <v>64567</v>
      </c>
      <c r="T695" s="26">
        <v>9696</v>
      </c>
      <c r="U695" s="27">
        <v>74263</v>
      </c>
      <c r="V695" s="26">
        <v>62186</v>
      </c>
      <c r="W695" s="26">
        <v>8592</v>
      </c>
      <c r="X695" s="31">
        <v>70778</v>
      </c>
      <c r="Y695" s="16">
        <v>59379</v>
      </c>
      <c r="Z695" s="16">
        <v>7803</v>
      </c>
      <c r="AA695" s="31">
        <v>67182</v>
      </c>
      <c r="AB695" s="32">
        <v>58073</v>
      </c>
      <c r="AC695" s="16">
        <v>7092</v>
      </c>
      <c r="AD695" s="31">
        <v>65165</v>
      </c>
      <c r="AE695" s="16">
        <v>56545</v>
      </c>
      <c r="AF695" s="16">
        <v>6587</v>
      </c>
      <c r="AG695" s="31">
        <v>63132</v>
      </c>
      <c r="AH695" s="16">
        <v>52705</v>
      </c>
      <c r="AI695" s="16">
        <v>5303</v>
      </c>
      <c r="AJ695" s="31">
        <v>58008</v>
      </c>
      <c r="AK695" s="16">
        <v>56753</v>
      </c>
      <c r="AL695" s="16">
        <v>6320</v>
      </c>
      <c r="AM695" s="31">
        <v>63073</v>
      </c>
      <c r="AN695" s="16">
        <v>64288</v>
      </c>
      <c r="AO695" s="16">
        <v>7283</v>
      </c>
      <c r="AP695" s="31">
        <v>71571</v>
      </c>
      <c r="AQ695" s="42"/>
      <c r="AR695" s="43"/>
      <c r="AS695" s="42"/>
      <c r="AT695" s="42"/>
    </row>
    <row r="696" spans="1:46" ht="12.9" customHeight="1" x14ac:dyDescent="0.25">
      <c r="A696" s="28" t="s">
        <v>1423</v>
      </c>
      <c r="B696" s="29" t="s">
        <v>1424</v>
      </c>
      <c r="C696" s="30" t="s">
        <v>184</v>
      </c>
      <c r="D696" s="40">
        <v>1225</v>
      </c>
      <c r="E696" s="26">
        <v>391</v>
      </c>
      <c r="F696" s="26">
        <f t="shared" si="20"/>
        <v>1616</v>
      </c>
      <c r="G696" s="40">
        <v>1462</v>
      </c>
      <c r="H696" s="26">
        <v>1469</v>
      </c>
      <c r="I696" s="27">
        <f t="shared" si="21"/>
        <v>2931</v>
      </c>
      <c r="J696" s="40">
        <v>1462</v>
      </c>
      <c r="K696" s="26">
        <v>1469</v>
      </c>
      <c r="L696" s="27">
        <v>2931</v>
      </c>
      <c r="M696" s="26">
        <v>1555</v>
      </c>
      <c r="N696" s="26">
        <v>264</v>
      </c>
      <c r="O696" s="27">
        <v>1819</v>
      </c>
      <c r="P696" s="26">
        <v>1150</v>
      </c>
      <c r="Q696" s="26">
        <v>1477</v>
      </c>
      <c r="R696" s="27">
        <v>2627</v>
      </c>
      <c r="S696" s="26">
        <v>1325</v>
      </c>
      <c r="T696" s="26">
        <v>480</v>
      </c>
      <c r="U696" s="27">
        <v>1805</v>
      </c>
      <c r="V696" s="26">
        <v>1088</v>
      </c>
      <c r="W696" s="26">
        <v>826</v>
      </c>
      <c r="X696" s="31">
        <v>1914</v>
      </c>
      <c r="Y696" s="16">
        <v>942.66666666666663</v>
      </c>
      <c r="Z696" s="16">
        <v>417</v>
      </c>
      <c r="AA696" s="31">
        <v>1359.6666666666665</v>
      </c>
      <c r="AB696" s="32">
        <v>1189</v>
      </c>
      <c r="AC696" s="16">
        <v>761</v>
      </c>
      <c r="AD696" s="31">
        <v>1950</v>
      </c>
      <c r="AE696" s="16">
        <v>1279</v>
      </c>
      <c r="AF696" s="16">
        <v>612</v>
      </c>
      <c r="AG696" s="31">
        <v>1891</v>
      </c>
      <c r="AH696" s="16">
        <v>1279</v>
      </c>
      <c r="AI696" s="16">
        <v>612</v>
      </c>
      <c r="AJ696" s="31">
        <v>1891</v>
      </c>
      <c r="AK696" s="16">
        <v>1220</v>
      </c>
      <c r="AL696" s="16">
        <v>635</v>
      </c>
      <c r="AM696" s="31">
        <v>1855</v>
      </c>
      <c r="AN696" s="16">
        <v>1220</v>
      </c>
      <c r="AO696" s="16">
        <v>635</v>
      </c>
      <c r="AP696" s="31">
        <v>1855</v>
      </c>
      <c r="AQ696" s="42"/>
      <c r="AR696" s="43"/>
      <c r="AS696" s="42"/>
      <c r="AT696" s="42"/>
    </row>
    <row r="697" spans="1:46" ht="12.9" customHeight="1" x14ac:dyDescent="0.25">
      <c r="A697" s="28" t="s">
        <v>1425</v>
      </c>
      <c r="B697" s="29" t="s">
        <v>1426</v>
      </c>
      <c r="C697" s="30" t="s">
        <v>150</v>
      </c>
      <c r="D697" s="40">
        <v>30574</v>
      </c>
      <c r="E697" s="26">
        <v>73140</v>
      </c>
      <c r="F697" s="26">
        <f t="shared" si="20"/>
        <v>103714</v>
      </c>
      <c r="G697" s="40">
        <v>31189</v>
      </c>
      <c r="H697" s="26">
        <v>70424</v>
      </c>
      <c r="I697" s="27">
        <f t="shared" si="21"/>
        <v>101613</v>
      </c>
      <c r="J697" s="40">
        <v>31159</v>
      </c>
      <c r="K697" s="26">
        <v>82828</v>
      </c>
      <c r="L697" s="27">
        <v>113987</v>
      </c>
      <c r="M697" s="26">
        <v>34192</v>
      </c>
      <c r="N697" s="26">
        <v>88772</v>
      </c>
      <c r="O697" s="27">
        <v>122964</v>
      </c>
      <c r="P697" s="26">
        <v>33541</v>
      </c>
      <c r="Q697" s="26">
        <v>88846</v>
      </c>
      <c r="R697" s="27">
        <v>122387</v>
      </c>
      <c r="S697" s="26">
        <v>33542</v>
      </c>
      <c r="T697" s="26">
        <v>82551</v>
      </c>
      <c r="U697" s="27">
        <v>116093</v>
      </c>
      <c r="V697" s="26">
        <v>16759</v>
      </c>
      <c r="W697" s="26">
        <v>77959</v>
      </c>
      <c r="X697" s="31">
        <v>94718</v>
      </c>
      <c r="Y697" s="16">
        <v>32673</v>
      </c>
      <c r="Z697" s="16">
        <v>79166</v>
      </c>
      <c r="AA697" s="31">
        <v>111839</v>
      </c>
      <c r="AB697" s="32">
        <v>31811</v>
      </c>
      <c r="AC697" s="16">
        <v>69483</v>
      </c>
      <c r="AD697" s="31">
        <v>101294</v>
      </c>
      <c r="AE697" s="16">
        <v>32894</v>
      </c>
      <c r="AF697" s="16">
        <v>76927</v>
      </c>
      <c r="AG697" s="31">
        <v>109821</v>
      </c>
      <c r="AH697" s="16">
        <v>31351</v>
      </c>
      <c r="AI697" s="16">
        <v>62874</v>
      </c>
      <c r="AJ697" s="31">
        <v>94225</v>
      </c>
      <c r="AK697" s="16">
        <v>30170</v>
      </c>
      <c r="AL697" s="16">
        <v>103550</v>
      </c>
      <c r="AM697" s="31">
        <v>133720</v>
      </c>
      <c r="AN697" s="16">
        <v>30170</v>
      </c>
      <c r="AO697" s="16">
        <v>100911</v>
      </c>
      <c r="AP697" s="31">
        <v>131081</v>
      </c>
      <c r="AQ697" s="42"/>
      <c r="AR697" s="43"/>
      <c r="AS697" s="42"/>
      <c r="AT697" s="42"/>
    </row>
    <row r="698" spans="1:46" ht="12.9" customHeight="1" x14ac:dyDescent="0.25">
      <c r="A698" s="28" t="s">
        <v>1427</v>
      </c>
      <c r="B698" s="29" t="s">
        <v>1428</v>
      </c>
      <c r="C698" s="30" t="s">
        <v>53</v>
      </c>
      <c r="D698" s="40">
        <v>132030</v>
      </c>
      <c r="E698" s="26">
        <v>33681</v>
      </c>
      <c r="F698" s="26">
        <f t="shared" si="20"/>
        <v>165711</v>
      </c>
      <c r="G698" s="40">
        <v>130720</v>
      </c>
      <c r="H698" s="26">
        <v>34267</v>
      </c>
      <c r="I698" s="27">
        <f t="shared" si="21"/>
        <v>164987</v>
      </c>
      <c r="J698" s="40">
        <v>134529</v>
      </c>
      <c r="K698" s="26">
        <v>35364</v>
      </c>
      <c r="L698" s="27">
        <v>169893</v>
      </c>
      <c r="M698" s="26">
        <v>135669</v>
      </c>
      <c r="N698" s="26">
        <v>28716</v>
      </c>
      <c r="O698" s="27">
        <v>164385</v>
      </c>
      <c r="P698" s="26">
        <v>132009</v>
      </c>
      <c r="Q698" s="26">
        <v>21070</v>
      </c>
      <c r="R698" s="27">
        <v>153079</v>
      </c>
      <c r="S698" s="26">
        <v>121679</v>
      </c>
      <c r="T698" s="26">
        <v>47470</v>
      </c>
      <c r="U698" s="27">
        <v>169149</v>
      </c>
      <c r="V698" s="26">
        <v>116193</v>
      </c>
      <c r="W698" s="26">
        <v>33533</v>
      </c>
      <c r="X698" s="31">
        <v>149726</v>
      </c>
      <c r="Y698" s="16">
        <v>117388</v>
      </c>
      <c r="Z698" s="16">
        <v>53081</v>
      </c>
      <c r="AA698" s="31">
        <v>170469</v>
      </c>
      <c r="AB698" s="32">
        <v>121584</v>
      </c>
      <c r="AC698" s="16">
        <v>51064</v>
      </c>
      <c r="AD698" s="31">
        <v>172648</v>
      </c>
      <c r="AE698" s="16">
        <v>117694</v>
      </c>
      <c r="AF698" s="16">
        <v>43919</v>
      </c>
      <c r="AG698" s="31">
        <v>161613</v>
      </c>
      <c r="AH698" s="16">
        <v>115734</v>
      </c>
      <c r="AI698" s="16">
        <v>41691</v>
      </c>
      <c r="AJ698" s="31">
        <v>157425</v>
      </c>
      <c r="AK698" s="16">
        <v>118353</v>
      </c>
      <c r="AL698" s="16">
        <v>36232</v>
      </c>
      <c r="AM698" s="31">
        <v>154585</v>
      </c>
      <c r="AN698" s="16">
        <v>133046</v>
      </c>
      <c r="AO698" s="16">
        <v>25686</v>
      </c>
      <c r="AP698" s="31">
        <v>158732</v>
      </c>
      <c r="AQ698" s="42"/>
      <c r="AR698" s="43"/>
      <c r="AS698" s="42"/>
      <c r="AT698" s="42"/>
    </row>
    <row r="699" spans="1:46" ht="12.9" customHeight="1" x14ac:dyDescent="0.25">
      <c r="A699" s="28" t="s">
        <v>1429</v>
      </c>
      <c r="B699" s="29" t="s">
        <v>1430</v>
      </c>
      <c r="C699" s="30" t="s">
        <v>62</v>
      </c>
      <c r="D699" s="40">
        <v>145460</v>
      </c>
      <c r="E699" s="26">
        <v>36133</v>
      </c>
      <c r="F699" s="26">
        <f t="shared" si="20"/>
        <v>181593</v>
      </c>
      <c r="G699" s="40">
        <v>140304</v>
      </c>
      <c r="H699" s="26">
        <v>33128</v>
      </c>
      <c r="I699" s="27">
        <f t="shared" si="21"/>
        <v>173432</v>
      </c>
      <c r="J699" s="40">
        <v>138809</v>
      </c>
      <c r="K699" s="26">
        <v>33350</v>
      </c>
      <c r="L699" s="27">
        <v>172159</v>
      </c>
      <c r="M699" s="26">
        <v>141195</v>
      </c>
      <c r="N699" s="26">
        <v>30747</v>
      </c>
      <c r="O699" s="27">
        <v>171942</v>
      </c>
      <c r="P699" s="26">
        <v>145377</v>
      </c>
      <c r="Q699" s="26">
        <v>27665</v>
      </c>
      <c r="R699" s="27">
        <v>173042</v>
      </c>
      <c r="S699" s="26">
        <v>134312</v>
      </c>
      <c r="T699" s="26">
        <v>32330</v>
      </c>
      <c r="U699" s="27">
        <v>166642</v>
      </c>
      <c r="V699" s="26">
        <v>127660</v>
      </c>
      <c r="W699" s="26">
        <v>30703</v>
      </c>
      <c r="X699" s="31">
        <v>158363</v>
      </c>
      <c r="Y699" s="16">
        <v>131736</v>
      </c>
      <c r="Z699" s="16">
        <v>31580</v>
      </c>
      <c r="AA699" s="31">
        <v>163316</v>
      </c>
      <c r="AB699" s="32">
        <v>137778</v>
      </c>
      <c r="AC699" s="16">
        <v>30278</v>
      </c>
      <c r="AD699" s="31">
        <v>168056</v>
      </c>
      <c r="AE699" s="16">
        <v>129748</v>
      </c>
      <c r="AF699" s="16">
        <v>29638</v>
      </c>
      <c r="AG699" s="31">
        <v>159386</v>
      </c>
      <c r="AH699" s="16">
        <v>125862</v>
      </c>
      <c r="AI699" s="16">
        <v>31411</v>
      </c>
      <c r="AJ699" s="31">
        <v>157273</v>
      </c>
      <c r="AK699" s="16">
        <v>125115</v>
      </c>
      <c r="AL699" s="16">
        <v>31288</v>
      </c>
      <c r="AM699" s="31">
        <v>156403</v>
      </c>
      <c r="AN699" s="16">
        <v>131596</v>
      </c>
      <c r="AO699" s="16">
        <v>29722</v>
      </c>
      <c r="AP699" s="31">
        <v>161318</v>
      </c>
      <c r="AQ699" s="42"/>
      <c r="AR699" s="43"/>
      <c r="AS699" s="42"/>
      <c r="AT699" s="42"/>
    </row>
    <row r="700" spans="1:46" ht="12.9" customHeight="1" x14ac:dyDescent="0.25">
      <c r="A700" s="28" t="s">
        <v>1431</v>
      </c>
      <c r="B700" s="29" t="s">
        <v>1432</v>
      </c>
      <c r="C700" s="30" t="s">
        <v>384</v>
      </c>
      <c r="D700" s="40">
        <v>119876</v>
      </c>
      <c r="E700" s="26">
        <v>306279</v>
      </c>
      <c r="F700" s="26">
        <f t="shared" si="20"/>
        <v>426155</v>
      </c>
      <c r="G700" s="40">
        <v>124835</v>
      </c>
      <c r="H700" s="26">
        <v>377785</v>
      </c>
      <c r="I700" s="27">
        <f t="shared" si="21"/>
        <v>502620</v>
      </c>
      <c r="J700" s="40">
        <v>123626</v>
      </c>
      <c r="K700" s="26">
        <v>384164</v>
      </c>
      <c r="L700" s="27">
        <v>507790</v>
      </c>
      <c r="M700" s="26">
        <v>126307</v>
      </c>
      <c r="N700" s="26">
        <v>323219</v>
      </c>
      <c r="O700" s="27">
        <v>449526</v>
      </c>
      <c r="P700" s="26">
        <v>126073</v>
      </c>
      <c r="Q700" s="26">
        <v>470600</v>
      </c>
      <c r="R700" s="27">
        <v>596673</v>
      </c>
      <c r="S700" s="26">
        <v>110090</v>
      </c>
      <c r="T700" s="26">
        <v>327466</v>
      </c>
      <c r="U700" s="27">
        <v>437556</v>
      </c>
      <c r="V700" s="26">
        <v>113971</v>
      </c>
      <c r="W700" s="26">
        <v>374539</v>
      </c>
      <c r="X700" s="31">
        <v>488510</v>
      </c>
      <c r="Y700" s="16">
        <v>114946</v>
      </c>
      <c r="Z700" s="16">
        <v>315895</v>
      </c>
      <c r="AA700" s="31">
        <v>430841</v>
      </c>
      <c r="AB700" s="32">
        <v>114298</v>
      </c>
      <c r="AC700" s="16">
        <v>337862</v>
      </c>
      <c r="AD700" s="31">
        <v>452160</v>
      </c>
      <c r="AE700" s="16">
        <v>112020</v>
      </c>
      <c r="AF700" s="16">
        <v>342507</v>
      </c>
      <c r="AG700" s="31">
        <v>454527</v>
      </c>
      <c r="AH700" s="16">
        <v>120319</v>
      </c>
      <c r="AI700" s="16">
        <v>393117</v>
      </c>
      <c r="AJ700" s="31">
        <v>513436</v>
      </c>
      <c r="AK700" s="16">
        <v>150399</v>
      </c>
      <c r="AL700" s="16">
        <v>362773</v>
      </c>
      <c r="AM700" s="31">
        <v>513172</v>
      </c>
      <c r="AN700" s="16">
        <v>138842</v>
      </c>
      <c r="AO700" s="16">
        <v>325453</v>
      </c>
      <c r="AP700" s="31">
        <v>464295</v>
      </c>
      <c r="AQ700" s="42"/>
      <c r="AR700" s="43"/>
      <c r="AS700" s="42"/>
      <c r="AT700" s="42"/>
    </row>
    <row r="701" spans="1:46" ht="12.9" customHeight="1" x14ac:dyDescent="0.25">
      <c r="A701" s="28" t="s">
        <v>1433</v>
      </c>
      <c r="B701" s="29" t="s">
        <v>1434</v>
      </c>
      <c r="C701" s="30" t="s">
        <v>274</v>
      </c>
      <c r="D701" s="40">
        <v>19804</v>
      </c>
      <c r="E701" s="26">
        <v>3009</v>
      </c>
      <c r="F701" s="26">
        <f t="shared" si="20"/>
        <v>22813</v>
      </c>
      <c r="G701" s="40">
        <v>20814</v>
      </c>
      <c r="H701" s="26">
        <v>7727</v>
      </c>
      <c r="I701" s="27">
        <f t="shared" si="21"/>
        <v>28541</v>
      </c>
      <c r="J701" s="40">
        <v>24535</v>
      </c>
      <c r="K701" s="26">
        <v>9559</v>
      </c>
      <c r="L701" s="27">
        <v>34094</v>
      </c>
      <c r="M701" s="26">
        <v>22440</v>
      </c>
      <c r="N701" s="26">
        <v>10730</v>
      </c>
      <c r="O701" s="27">
        <v>33170</v>
      </c>
      <c r="P701" s="26">
        <v>26700</v>
      </c>
      <c r="Q701" s="26">
        <v>8216</v>
      </c>
      <c r="R701" s="27">
        <v>34916</v>
      </c>
      <c r="S701" s="26">
        <v>26346</v>
      </c>
      <c r="T701" s="26">
        <v>8238</v>
      </c>
      <c r="U701" s="27">
        <v>34584</v>
      </c>
      <c r="V701" s="26">
        <v>21730</v>
      </c>
      <c r="W701" s="26">
        <v>6240</v>
      </c>
      <c r="X701" s="31">
        <v>27970</v>
      </c>
      <c r="Y701" s="16">
        <v>22355</v>
      </c>
      <c r="Z701" s="16">
        <v>5796</v>
      </c>
      <c r="AA701" s="31">
        <v>28151</v>
      </c>
      <c r="AB701" s="32">
        <v>21671</v>
      </c>
      <c r="AC701" s="16">
        <v>6593</v>
      </c>
      <c r="AD701" s="31">
        <v>28264</v>
      </c>
      <c r="AE701" s="16">
        <v>22415</v>
      </c>
      <c r="AF701" s="16">
        <v>10595</v>
      </c>
      <c r="AG701" s="31">
        <v>33010</v>
      </c>
      <c r="AH701" s="16">
        <v>19426</v>
      </c>
      <c r="AI701" s="16">
        <v>5040</v>
      </c>
      <c r="AJ701" s="31">
        <v>24466</v>
      </c>
      <c r="AK701" s="16">
        <v>27443</v>
      </c>
      <c r="AL701" s="16">
        <v>11655</v>
      </c>
      <c r="AM701" s="31">
        <v>39098</v>
      </c>
      <c r="AN701" s="16">
        <v>20961</v>
      </c>
      <c r="AO701" s="16">
        <v>3826</v>
      </c>
      <c r="AP701" s="31">
        <v>24787</v>
      </c>
      <c r="AQ701" s="42"/>
      <c r="AR701" s="43"/>
      <c r="AS701" s="42"/>
      <c r="AT701" s="42"/>
    </row>
    <row r="702" spans="1:46" ht="12.9" customHeight="1" x14ac:dyDescent="0.25">
      <c r="A702" s="28" t="s">
        <v>1435</v>
      </c>
      <c r="B702" s="29" t="s">
        <v>1436</v>
      </c>
      <c r="C702" s="30" t="s">
        <v>20</v>
      </c>
      <c r="D702" s="40">
        <v>382032</v>
      </c>
      <c r="E702" s="26">
        <v>359715</v>
      </c>
      <c r="F702" s="26">
        <f t="shared" si="20"/>
        <v>741747</v>
      </c>
      <c r="G702" s="40">
        <v>400042</v>
      </c>
      <c r="H702" s="26">
        <v>408492</v>
      </c>
      <c r="I702" s="27">
        <f t="shared" si="21"/>
        <v>808534</v>
      </c>
      <c r="J702" s="40">
        <v>414874</v>
      </c>
      <c r="K702" s="26">
        <v>383388</v>
      </c>
      <c r="L702" s="27">
        <v>798262</v>
      </c>
      <c r="M702" s="26">
        <v>435428</v>
      </c>
      <c r="N702" s="26">
        <v>349394</v>
      </c>
      <c r="O702" s="27">
        <v>784822</v>
      </c>
      <c r="P702" s="26">
        <v>436085</v>
      </c>
      <c r="Q702" s="26">
        <v>370951</v>
      </c>
      <c r="R702" s="27">
        <v>807036</v>
      </c>
      <c r="S702" s="26">
        <v>413999</v>
      </c>
      <c r="T702" s="26">
        <v>373294</v>
      </c>
      <c r="U702" s="27">
        <v>787293</v>
      </c>
      <c r="V702" s="26">
        <v>412106</v>
      </c>
      <c r="W702" s="26">
        <v>354961</v>
      </c>
      <c r="X702" s="31">
        <v>767067</v>
      </c>
      <c r="Y702" s="16">
        <v>412223</v>
      </c>
      <c r="Z702" s="16">
        <v>411907</v>
      </c>
      <c r="AA702" s="31">
        <v>824130</v>
      </c>
      <c r="AB702" s="32">
        <v>416422</v>
      </c>
      <c r="AC702" s="16">
        <v>433359</v>
      </c>
      <c r="AD702" s="31">
        <v>849781</v>
      </c>
      <c r="AE702" s="16">
        <v>410682</v>
      </c>
      <c r="AF702" s="16">
        <v>445532</v>
      </c>
      <c r="AG702" s="31">
        <v>856214</v>
      </c>
      <c r="AH702" s="16">
        <v>410649</v>
      </c>
      <c r="AI702" s="16">
        <v>454288</v>
      </c>
      <c r="AJ702" s="31">
        <v>864937</v>
      </c>
      <c r="AK702" s="16">
        <v>402454</v>
      </c>
      <c r="AL702" s="16">
        <v>400634</v>
      </c>
      <c r="AM702" s="31">
        <v>803088</v>
      </c>
      <c r="AN702" s="16">
        <v>420702</v>
      </c>
      <c r="AO702" s="16">
        <v>384748</v>
      </c>
      <c r="AP702" s="31">
        <v>805450</v>
      </c>
      <c r="AQ702" s="42"/>
      <c r="AR702" s="43"/>
      <c r="AS702" s="42"/>
      <c r="AT702" s="42"/>
    </row>
    <row r="703" spans="1:46" ht="12.9" customHeight="1" x14ac:dyDescent="0.25">
      <c r="A703" s="28" t="s">
        <v>1437</v>
      </c>
      <c r="B703" s="29" t="s">
        <v>1438</v>
      </c>
      <c r="C703" s="30" t="s">
        <v>11</v>
      </c>
      <c r="D703" s="40">
        <v>1217225</v>
      </c>
      <c r="E703" s="26">
        <v>553249</v>
      </c>
      <c r="F703" s="26">
        <f t="shared" si="20"/>
        <v>1770474</v>
      </c>
      <c r="G703" s="40">
        <v>1244924</v>
      </c>
      <c r="H703" s="26">
        <v>613717</v>
      </c>
      <c r="I703" s="27">
        <f t="shared" si="21"/>
        <v>1858641</v>
      </c>
      <c r="J703" s="40">
        <v>1275949</v>
      </c>
      <c r="K703" s="26">
        <v>715604</v>
      </c>
      <c r="L703" s="27">
        <v>1991553</v>
      </c>
      <c r="M703" s="26">
        <v>1330374</v>
      </c>
      <c r="N703" s="26">
        <v>605960</v>
      </c>
      <c r="O703" s="27">
        <v>1936334</v>
      </c>
      <c r="P703" s="26">
        <v>1394502</v>
      </c>
      <c r="Q703" s="26">
        <v>626409</v>
      </c>
      <c r="R703" s="27">
        <v>2020911</v>
      </c>
      <c r="S703" s="26">
        <v>1282129</v>
      </c>
      <c r="T703" s="26">
        <v>760496</v>
      </c>
      <c r="U703" s="27">
        <v>2042625</v>
      </c>
      <c r="V703" s="26">
        <v>1275273</v>
      </c>
      <c r="W703" s="26">
        <v>690743</v>
      </c>
      <c r="X703" s="31">
        <v>1966016</v>
      </c>
      <c r="Y703" s="16">
        <v>1257004</v>
      </c>
      <c r="Z703" s="16">
        <v>713117</v>
      </c>
      <c r="AA703" s="31">
        <v>1970121</v>
      </c>
      <c r="AB703" s="32">
        <v>1235905</v>
      </c>
      <c r="AC703" s="16">
        <v>718733</v>
      </c>
      <c r="AD703" s="31">
        <v>1954638</v>
      </c>
      <c r="AE703" s="16">
        <v>1214817</v>
      </c>
      <c r="AF703" s="16">
        <v>657508</v>
      </c>
      <c r="AG703" s="31">
        <v>1872325</v>
      </c>
      <c r="AH703" s="16">
        <v>1194330</v>
      </c>
      <c r="AI703" s="16">
        <v>595838</v>
      </c>
      <c r="AJ703" s="31">
        <v>1790168</v>
      </c>
      <c r="AK703" s="16">
        <v>1178959</v>
      </c>
      <c r="AL703" s="16">
        <v>707880</v>
      </c>
      <c r="AM703" s="31">
        <v>1886839</v>
      </c>
      <c r="AN703" s="16">
        <v>1226265</v>
      </c>
      <c r="AO703" s="16">
        <v>579509</v>
      </c>
      <c r="AP703" s="31">
        <v>1805774</v>
      </c>
      <c r="AQ703" s="42"/>
      <c r="AR703" s="43"/>
      <c r="AS703" s="42"/>
      <c r="AT703" s="42"/>
    </row>
    <row r="704" spans="1:46" ht="12.9" customHeight="1" x14ac:dyDescent="0.25">
      <c r="A704" s="28" t="s">
        <v>1439</v>
      </c>
      <c r="B704" s="29" t="s">
        <v>1440</v>
      </c>
      <c r="C704" s="30" t="s">
        <v>150</v>
      </c>
      <c r="D704" s="40">
        <v>115332</v>
      </c>
      <c r="E704" s="26">
        <v>1024485</v>
      </c>
      <c r="F704" s="26">
        <f t="shared" si="20"/>
        <v>1139817</v>
      </c>
      <c r="G704" s="40">
        <v>137776</v>
      </c>
      <c r="H704" s="26">
        <v>1071522</v>
      </c>
      <c r="I704" s="27">
        <f t="shared" si="21"/>
        <v>1209298</v>
      </c>
      <c r="J704" s="40">
        <v>156266</v>
      </c>
      <c r="K704" s="26">
        <v>1222466</v>
      </c>
      <c r="L704" s="27">
        <v>1378732</v>
      </c>
      <c r="M704" s="26">
        <v>136858</v>
      </c>
      <c r="N704" s="26">
        <v>1157369</v>
      </c>
      <c r="O704" s="27">
        <v>1294227</v>
      </c>
      <c r="P704" s="26">
        <v>136858</v>
      </c>
      <c r="Q704" s="26">
        <v>980070</v>
      </c>
      <c r="R704" s="27">
        <v>1116928</v>
      </c>
      <c r="S704" s="26">
        <v>94708</v>
      </c>
      <c r="T704" s="26">
        <v>1167318</v>
      </c>
      <c r="U704" s="27">
        <v>1262026</v>
      </c>
      <c r="V704" s="26">
        <v>117870</v>
      </c>
      <c r="W704" s="26">
        <v>1144498</v>
      </c>
      <c r="X704" s="31">
        <v>1262368</v>
      </c>
      <c r="Y704" s="16">
        <v>123618</v>
      </c>
      <c r="Z704" s="16">
        <v>1217087</v>
      </c>
      <c r="AA704" s="31">
        <v>1340705</v>
      </c>
      <c r="AB704" s="32">
        <v>119197</v>
      </c>
      <c r="AC704" s="16">
        <v>1223995</v>
      </c>
      <c r="AD704" s="31">
        <v>1343192</v>
      </c>
      <c r="AE704" s="16">
        <v>117459</v>
      </c>
      <c r="AF704" s="16">
        <v>1239521</v>
      </c>
      <c r="AG704" s="31">
        <v>1356980</v>
      </c>
      <c r="AH704" s="16">
        <v>111519</v>
      </c>
      <c r="AI704" s="16">
        <v>1225202</v>
      </c>
      <c r="AJ704" s="31">
        <v>1336721</v>
      </c>
      <c r="AK704" s="16">
        <v>115531</v>
      </c>
      <c r="AL704" s="16">
        <v>1196334</v>
      </c>
      <c r="AM704" s="31">
        <v>1311865</v>
      </c>
      <c r="AN704" s="16">
        <v>128040</v>
      </c>
      <c r="AO704" s="16">
        <v>1129107</v>
      </c>
      <c r="AP704" s="31">
        <v>1257147</v>
      </c>
      <c r="AQ704" s="42"/>
      <c r="AR704" s="43"/>
      <c r="AS704" s="42"/>
      <c r="AT704" s="42"/>
    </row>
    <row r="705" spans="1:46" ht="12.9" customHeight="1" x14ac:dyDescent="0.25">
      <c r="A705" s="28" t="s">
        <v>1441</v>
      </c>
      <c r="B705" s="29" t="s">
        <v>1442</v>
      </c>
      <c r="C705" s="30" t="s">
        <v>274</v>
      </c>
      <c r="D705" s="40">
        <v>32169</v>
      </c>
      <c r="E705" s="26">
        <v>13900</v>
      </c>
      <c r="F705" s="26">
        <f t="shared" si="20"/>
        <v>46069</v>
      </c>
      <c r="G705" s="40">
        <v>33949</v>
      </c>
      <c r="H705" s="26">
        <v>14783</v>
      </c>
      <c r="I705" s="27">
        <f t="shared" si="21"/>
        <v>48732</v>
      </c>
      <c r="J705" s="40">
        <v>36896</v>
      </c>
      <c r="K705" s="26">
        <v>14457</v>
      </c>
      <c r="L705" s="27">
        <v>51353</v>
      </c>
      <c r="M705" s="26">
        <v>39364</v>
      </c>
      <c r="N705" s="26">
        <v>18002</v>
      </c>
      <c r="O705" s="27">
        <v>57366</v>
      </c>
      <c r="P705" s="26">
        <v>36913</v>
      </c>
      <c r="Q705" s="26">
        <v>7787</v>
      </c>
      <c r="R705" s="27">
        <v>44700</v>
      </c>
      <c r="S705" s="26">
        <v>36232</v>
      </c>
      <c r="T705" s="26">
        <v>8105</v>
      </c>
      <c r="U705" s="27">
        <v>44337</v>
      </c>
      <c r="V705" s="26">
        <v>37119</v>
      </c>
      <c r="W705" s="26">
        <v>9410</v>
      </c>
      <c r="X705" s="31">
        <v>46529</v>
      </c>
      <c r="Y705" s="16">
        <v>37624</v>
      </c>
      <c r="Z705" s="16">
        <v>11021</v>
      </c>
      <c r="AA705" s="31">
        <v>48645</v>
      </c>
      <c r="AB705" s="32">
        <v>35760</v>
      </c>
      <c r="AC705" s="16">
        <v>8651</v>
      </c>
      <c r="AD705" s="31">
        <v>44411</v>
      </c>
      <c r="AE705" s="16">
        <v>37758</v>
      </c>
      <c r="AF705" s="16">
        <v>16272</v>
      </c>
      <c r="AG705" s="31">
        <v>54030</v>
      </c>
      <c r="AH705" s="16">
        <v>33239</v>
      </c>
      <c r="AI705" s="16">
        <v>13971</v>
      </c>
      <c r="AJ705" s="31">
        <v>47210</v>
      </c>
      <c r="AK705" s="16">
        <v>36457</v>
      </c>
      <c r="AL705" s="16">
        <v>13619</v>
      </c>
      <c r="AM705" s="31">
        <v>50076</v>
      </c>
      <c r="AN705" s="16">
        <v>40246</v>
      </c>
      <c r="AO705" s="16">
        <v>13796</v>
      </c>
      <c r="AP705" s="31">
        <v>54042</v>
      </c>
      <c r="AQ705" s="42"/>
      <c r="AR705" s="43"/>
      <c r="AS705" s="42"/>
      <c r="AT705" s="42"/>
    </row>
    <row r="706" spans="1:46" ht="12.9" customHeight="1" x14ac:dyDescent="0.25">
      <c r="A706" s="28" t="s">
        <v>1443</v>
      </c>
      <c r="B706" s="29" t="s">
        <v>1444</v>
      </c>
      <c r="C706" s="30" t="s">
        <v>184</v>
      </c>
      <c r="D706" s="40">
        <v>10027</v>
      </c>
      <c r="E706" s="26">
        <v>462</v>
      </c>
      <c r="F706" s="26">
        <f t="shared" si="20"/>
        <v>10489</v>
      </c>
      <c r="G706" s="40">
        <v>10906</v>
      </c>
      <c r="H706" s="26">
        <v>416</v>
      </c>
      <c r="I706" s="27">
        <f t="shared" si="21"/>
        <v>11322</v>
      </c>
      <c r="J706" s="40">
        <v>13157</v>
      </c>
      <c r="K706" s="26">
        <v>484</v>
      </c>
      <c r="L706" s="27">
        <v>13641</v>
      </c>
      <c r="M706" s="26">
        <v>13024</v>
      </c>
      <c r="N706" s="26">
        <v>584</v>
      </c>
      <c r="O706" s="27">
        <v>13608</v>
      </c>
      <c r="P706" s="26">
        <v>11903</v>
      </c>
      <c r="Q706" s="26">
        <v>424</v>
      </c>
      <c r="R706" s="27">
        <v>12327</v>
      </c>
      <c r="S706" s="26">
        <v>12361</v>
      </c>
      <c r="T706" s="26">
        <v>457</v>
      </c>
      <c r="U706" s="27">
        <v>12818</v>
      </c>
      <c r="V706" s="26">
        <v>12972</v>
      </c>
      <c r="W706" s="26">
        <v>561</v>
      </c>
      <c r="X706" s="31">
        <v>13533</v>
      </c>
      <c r="Y706" s="16">
        <v>10650.666666666666</v>
      </c>
      <c r="Z706" s="16">
        <v>628</v>
      </c>
      <c r="AA706" s="31">
        <v>11278.666666666666</v>
      </c>
      <c r="AB706" s="32">
        <v>12998</v>
      </c>
      <c r="AC706" s="16">
        <v>532</v>
      </c>
      <c r="AD706" s="31">
        <v>13530</v>
      </c>
      <c r="AE706" s="16">
        <v>13079</v>
      </c>
      <c r="AF706" s="16">
        <v>524</v>
      </c>
      <c r="AG706" s="31">
        <v>13603</v>
      </c>
      <c r="AH706" s="16">
        <v>11969</v>
      </c>
      <c r="AI706" s="16">
        <v>569</v>
      </c>
      <c r="AJ706" s="31">
        <v>12538</v>
      </c>
      <c r="AK706" s="16">
        <v>12078</v>
      </c>
      <c r="AL706" s="16">
        <v>419</v>
      </c>
      <c r="AM706" s="31">
        <v>12497</v>
      </c>
      <c r="AN706" s="16">
        <v>13876</v>
      </c>
      <c r="AO706" s="16">
        <v>469</v>
      </c>
      <c r="AP706" s="31">
        <v>14345</v>
      </c>
      <c r="AQ706" s="42"/>
      <c r="AR706" s="43"/>
      <c r="AS706" s="42"/>
      <c r="AT706" s="42"/>
    </row>
    <row r="707" spans="1:46" ht="12.9" customHeight="1" x14ac:dyDescent="0.25">
      <c r="A707" s="28" t="s">
        <v>1445</v>
      </c>
      <c r="B707" s="29" t="s">
        <v>1446</v>
      </c>
      <c r="C707" s="30" t="s">
        <v>123</v>
      </c>
      <c r="D707" s="40">
        <v>52703</v>
      </c>
      <c r="E707" s="26">
        <v>26875</v>
      </c>
      <c r="F707" s="26">
        <f t="shared" si="20"/>
        <v>79578</v>
      </c>
      <c r="G707" s="40">
        <v>54437</v>
      </c>
      <c r="H707" s="26">
        <v>30527</v>
      </c>
      <c r="I707" s="27">
        <f t="shared" si="21"/>
        <v>84964</v>
      </c>
      <c r="J707" s="40">
        <v>58367</v>
      </c>
      <c r="K707" s="26">
        <v>35979</v>
      </c>
      <c r="L707" s="27">
        <v>94346</v>
      </c>
      <c r="M707" s="26">
        <v>63336</v>
      </c>
      <c r="N707" s="26">
        <v>35593</v>
      </c>
      <c r="O707" s="27">
        <v>98929</v>
      </c>
      <c r="P707" s="26">
        <v>60047</v>
      </c>
      <c r="Q707" s="26">
        <v>29618</v>
      </c>
      <c r="R707" s="27">
        <v>89665</v>
      </c>
      <c r="S707" s="26">
        <v>59191</v>
      </c>
      <c r="T707" s="26">
        <v>30318</v>
      </c>
      <c r="U707" s="27">
        <v>89509</v>
      </c>
      <c r="V707" s="26">
        <v>54552</v>
      </c>
      <c r="W707" s="26">
        <v>30160</v>
      </c>
      <c r="X707" s="31">
        <v>84712</v>
      </c>
      <c r="Y707" s="16">
        <v>58088</v>
      </c>
      <c r="Z707" s="16">
        <v>17956</v>
      </c>
      <c r="AA707" s="31">
        <v>76044</v>
      </c>
      <c r="AB707" s="32">
        <v>56567</v>
      </c>
      <c r="AC707" s="16">
        <v>24968</v>
      </c>
      <c r="AD707" s="31">
        <v>81535</v>
      </c>
      <c r="AE707" s="16">
        <v>57724</v>
      </c>
      <c r="AF707" s="16">
        <v>19391</v>
      </c>
      <c r="AG707" s="31">
        <v>77115</v>
      </c>
      <c r="AH707" s="16">
        <v>53155</v>
      </c>
      <c r="AI707" s="16">
        <v>20311</v>
      </c>
      <c r="AJ707" s="31">
        <v>73466</v>
      </c>
      <c r="AK707" s="16">
        <v>54248</v>
      </c>
      <c r="AL707" s="16">
        <v>14940</v>
      </c>
      <c r="AM707" s="31">
        <v>69188</v>
      </c>
      <c r="AN707" s="16">
        <v>58864</v>
      </c>
      <c r="AO707" s="16">
        <v>14940</v>
      </c>
      <c r="AP707" s="31">
        <v>73804</v>
      </c>
      <c r="AQ707" s="42"/>
      <c r="AR707" s="43"/>
      <c r="AS707" s="42"/>
      <c r="AT707" s="42"/>
    </row>
    <row r="708" spans="1:46" ht="12.9" customHeight="1" x14ac:dyDescent="0.25">
      <c r="A708" s="28" t="s">
        <v>1447</v>
      </c>
      <c r="B708" s="29" t="s">
        <v>1448</v>
      </c>
      <c r="C708" s="30" t="s">
        <v>274</v>
      </c>
      <c r="D708" s="40">
        <v>135008</v>
      </c>
      <c r="E708" s="26">
        <v>38052</v>
      </c>
      <c r="F708" s="26">
        <f t="shared" si="20"/>
        <v>173060</v>
      </c>
      <c r="G708" s="40">
        <v>148193</v>
      </c>
      <c r="H708" s="26">
        <v>27793</v>
      </c>
      <c r="I708" s="27">
        <f t="shared" si="21"/>
        <v>175986</v>
      </c>
      <c r="J708" s="40">
        <v>172911</v>
      </c>
      <c r="K708" s="26">
        <v>37676</v>
      </c>
      <c r="L708" s="27">
        <v>210587</v>
      </c>
      <c r="M708" s="26">
        <v>213527</v>
      </c>
      <c r="N708" s="26">
        <v>42505</v>
      </c>
      <c r="O708" s="27">
        <v>256032</v>
      </c>
      <c r="P708" s="26">
        <v>176476</v>
      </c>
      <c r="Q708" s="26">
        <v>48085</v>
      </c>
      <c r="R708" s="27">
        <v>224561</v>
      </c>
      <c r="S708" s="26">
        <v>132950</v>
      </c>
      <c r="T708" s="26">
        <v>65841</v>
      </c>
      <c r="U708" s="27">
        <v>198791</v>
      </c>
      <c r="V708" s="26">
        <v>130746</v>
      </c>
      <c r="W708" s="26">
        <v>109485</v>
      </c>
      <c r="X708" s="31">
        <v>240231</v>
      </c>
      <c r="Y708" s="16">
        <v>121399</v>
      </c>
      <c r="Z708" s="16">
        <v>225342</v>
      </c>
      <c r="AA708" s="31">
        <v>346741</v>
      </c>
      <c r="AB708" s="32">
        <v>119405</v>
      </c>
      <c r="AC708" s="16">
        <v>211896</v>
      </c>
      <c r="AD708" s="31">
        <v>331301</v>
      </c>
      <c r="AE708" s="16">
        <v>121246</v>
      </c>
      <c r="AF708" s="16">
        <v>226571</v>
      </c>
      <c r="AG708" s="31">
        <v>347817</v>
      </c>
      <c r="AH708" s="16">
        <v>177166</v>
      </c>
      <c r="AI708" s="16">
        <v>213154</v>
      </c>
      <c r="AJ708" s="31">
        <v>390320</v>
      </c>
      <c r="AK708" s="16">
        <v>147297</v>
      </c>
      <c r="AL708" s="16">
        <v>205369</v>
      </c>
      <c r="AM708" s="31">
        <v>352666</v>
      </c>
      <c r="AN708" s="16">
        <v>136768</v>
      </c>
      <c r="AO708" s="16">
        <v>343165</v>
      </c>
      <c r="AP708" s="31">
        <v>479933</v>
      </c>
      <c r="AQ708" s="42"/>
      <c r="AR708" s="43"/>
      <c r="AS708" s="42"/>
      <c r="AT708" s="42"/>
    </row>
    <row r="709" spans="1:46" ht="12.9" customHeight="1" x14ac:dyDescent="0.25">
      <c r="A709" s="28" t="s">
        <v>1449</v>
      </c>
      <c r="B709" s="29" t="s">
        <v>1450</v>
      </c>
      <c r="C709" s="30" t="s">
        <v>113</v>
      </c>
      <c r="D709" s="40">
        <v>136435</v>
      </c>
      <c r="E709" s="26">
        <v>63518</v>
      </c>
      <c r="F709" s="26">
        <f t="shared" si="20"/>
        <v>199953</v>
      </c>
      <c r="G709" s="40">
        <v>131458</v>
      </c>
      <c r="H709" s="26">
        <v>62307</v>
      </c>
      <c r="I709" s="27">
        <f t="shared" si="21"/>
        <v>193765</v>
      </c>
      <c r="J709" s="40">
        <v>184687</v>
      </c>
      <c r="K709" s="26">
        <v>85465</v>
      </c>
      <c r="L709" s="27">
        <v>270152</v>
      </c>
      <c r="M709" s="26">
        <v>155409</v>
      </c>
      <c r="N709" s="26">
        <v>70001</v>
      </c>
      <c r="O709" s="27">
        <v>225410</v>
      </c>
      <c r="P709" s="26">
        <v>158982</v>
      </c>
      <c r="Q709" s="26">
        <v>72546</v>
      </c>
      <c r="R709" s="27">
        <v>231528</v>
      </c>
      <c r="S709" s="26">
        <v>150435</v>
      </c>
      <c r="T709" s="26">
        <v>82252</v>
      </c>
      <c r="U709" s="27">
        <v>232687</v>
      </c>
      <c r="V709" s="26">
        <v>140300</v>
      </c>
      <c r="W709" s="26">
        <v>80413</v>
      </c>
      <c r="X709" s="31">
        <v>220713</v>
      </c>
      <c r="Y709" s="16">
        <v>141569</v>
      </c>
      <c r="Z709" s="16">
        <v>84017</v>
      </c>
      <c r="AA709" s="31">
        <v>225586</v>
      </c>
      <c r="AB709" s="32">
        <v>140958</v>
      </c>
      <c r="AC709" s="16">
        <v>71684</v>
      </c>
      <c r="AD709" s="31">
        <v>212642</v>
      </c>
      <c r="AE709" s="16">
        <v>139214</v>
      </c>
      <c r="AF709" s="16">
        <v>64108</v>
      </c>
      <c r="AG709" s="31">
        <v>203322</v>
      </c>
      <c r="AH709" s="16">
        <v>122551</v>
      </c>
      <c r="AI709" s="16">
        <v>56347</v>
      </c>
      <c r="AJ709" s="31">
        <v>178898</v>
      </c>
      <c r="AK709" s="16">
        <v>124195</v>
      </c>
      <c r="AL709" s="16">
        <v>64721</v>
      </c>
      <c r="AM709" s="31">
        <v>188916</v>
      </c>
      <c r="AN709" s="16">
        <v>136768</v>
      </c>
      <c r="AO709" s="16">
        <v>41983</v>
      </c>
      <c r="AP709" s="31">
        <v>178751</v>
      </c>
      <c r="AQ709" s="42"/>
      <c r="AR709" s="43"/>
      <c r="AS709" s="42"/>
      <c r="AT709" s="42"/>
    </row>
    <row r="710" spans="1:46" ht="12.9" customHeight="1" x14ac:dyDescent="0.25">
      <c r="A710" s="28" t="s">
        <v>1451</v>
      </c>
      <c r="B710" s="29" t="s">
        <v>1452</v>
      </c>
      <c r="C710" s="30" t="s">
        <v>11</v>
      </c>
      <c r="D710" s="40">
        <v>817820</v>
      </c>
      <c r="E710" s="26">
        <v>355475</v>
      </c>
      <c r="F710" s="26">
        <f t="shared" si="20"/>
        <v>1173295</v>
      </c>
      <c r="G710" s="40">
        <v>884166</v>
      </c>
      <c r="H710" s="26">
        <v>372264</v>
      </c>
      <c r="I710" s="27">
        <f t="shared" si="21"/>
        <v>1256430</v>
      </c>
      <c r="J710" s="40">
        <v>930012</v>
      </c>
      <c r="K710" s="26">
        <v>452043</v>
      </c>
      <c r="L710" s="27">
        <v>1382055</v>
      </c>
      <c r="M710" s="26">
        <v>954856</v>
      </c>
      <c r="N710" s="26">
        <v>441486</v>
      </c>
      <c r="O710" s="27">
        <v>1396342</v>
      </c>
      <c r="P710" s="26">
        <v>915888</v>
      </c>
      <c r="Q710" s="26">
        <v>439136</v>
      </c>
      <c r="R710" s="27">
        <v>1355024</v>
      </c>
      <c r="S710" s="26">
        <v>828781</v>
      </c>
      <c r="T710" s="26">
        <v>548897</v>
      </c>
      <c r="U710" s="27">
        <v>1377678</v>
      </c>
      <c r="V710" s="26">
        <v>807502</v>
      </c>
      <c r="W710" s="26">
        <v>469468</v>
      </c>
      <c r="X710" s="31">
        <v>1276970</v>
      </c>
      <c r="Y710" s="16">
        <v>807654</v>
      </c>
      <c r="Z710" s="16">
        <v>460243</v>
      </c>
      <c r="AA710" s="31">
        <v>1267897</v>
      </c>
      <c r="AB710" s="32">
        <v>787579</v>
      </c>
      <c r="AC710" s="16">
        <v>450760</v>
      </c>
      <c r="AD710" s="31">
        <v>1238339</v>
      </c>
      <c r="AE710" s="16">
        <v>769818</v>
      </c>
      <c r="AF710" s="16">
        <v>427361</v>
      </c>
      <c r="AG710" s="31">
        <v>1197179</v>
      </c>
      <c r="AH710" s="16">
        <v>754748</v>
      </c>
      <c r="AI710" s="16">
        <v>417504</v>
      </c>
      <c r="AJ710" s="31">
        <v>1172252</v>
      </c>
      <c r="AK710" s="16">
        <v>747523</v>
      </c>
      <c r="AL710" s="16">
        <v>470731</v>
      </c>
      <c r="AM710" s="31">
        <v>1218254</v>
      </c>
      <c r="AN710" s="16">
        <v>776006</v>
      </c>
      <c r="AO710" s="16">
        <v>373306</v>
      </c>
      <c r="AP710" s="31">
        <v>1149312</v>
      </c>
      <c r="AQ710" s="42"/>
      <c r="AR710" s="43"/>
      <c r="AS710" s="42"/>
      <c r="AT710" s="42"/>
    </row>
    <row r="711" spans="1:46" ht="12.9" customHeight="1" x14ac:dyDescent="0.25">
      <c r="A711" s="28" t="s">
        <v>1453</v>
      </c>
      <c r="B711" s="29" t="s">
        <v>1454</v>
      </c>
      <c r="C711" s="30" t="s">
        <v>23</v>
      </c>
      <c r="D711" s="40">
        <v>11553</v>
      </c>
      <c r="E711" s="26">
        <v>2996</v>
      </c>
      <c r="F711" s="26">
        <f t="shared" si="20"/>
        <v>14549</v>
      </c>
      <c r="G711" s="40">
        <v>11161</v>
      </c>
      <c r="H711" s="26">
        <v>3555</v>
      </c>
      <c r="I711" s="27">
        <f t="shared" si="21"/>
        <v>14716</v>
      </c>
      <c r="J711" s="40">
        <v>14527</v>
      </c>
      <c r="K711" s="26">
        <v>5058</v>
      </c>
      <c r="L711" s="27">
        <v>19585</v>
      </c>
      <c r="M711" s="26">
        <v>12682</v>
      </c>
      <c r="N711" s="26">
        <v>3323</v>
      </c>
      <c r="O711" s="27">
        <v>16005</v>
      </c>
      <c r="P711" s="26">
        <v>12550</v>
      </c>
      <c r="Q711" s="26">
        <v>2935</v>
      </c>
      <c r="R711" s="27">
        <v>15485</v>
      </c>
      <c r="S711" s="26">
        <v>14414</v>
      </c>
      <c r="T711" s="26">
        <v>4314</v>
      </c>
      <c r="U711" s="27">
        <v>18728</v>
      </c>
      <c r="V711" s="26">
        <v>13002</v>
      </c>
      <c r="W711" s="26">
        <v>3809</v>
      </c>
      <c r="X711" s="31">
        <v>16811</v>
      </c>
      <c r="Y711" s="16">
        <v>14146</v>
      </c>
      <c r="Z711" s="16">
        <v>4204</v>
      </c>
      <c r="AA711" s="31">
        <v>18350</v>
      </c>
      <c r="AB711" s="32">
        <v>13258</v>
      </c>
      <c r="AC711" s="16">
        <v>3389</v>
      </c>
      <c r="AD711" s="31">
        <v>16647</v>
      </c>
      <c r="AE711" s="16">
        <v>13285</v>
      </c>
      <c r="AF711" s="16">
        <v>1524</v>
      </c>
      <c r="AG711" s="31">
        <v>14809</v>
      </c>
      <c r="AH711" s="16">
        <v>12047</v>
      </c>
      <c r="AI711" s="16">
        <v>1795</v>
      </c>
      <c r="AJ711" s="31">
        <v>13842</v>
      </c>
      <c r="AK711" s="16">
        <v>12496</v>
      </c>
      <c r="AL711" s="16">
        <v>1529</v>
      </c>
      <c r="AM711" s="31">
        <v>14025</v>
      </c>
      <c r="AN711" s="16">
        <v>14218</v>
      </c>
      <c r="AO711" s="16">
        <v>1800</v>
      </c>
      <c r="AP711" s="31">
        <v>16018</v>
      </c>
      <c r="AQ711" s="42"/>
      <c r="AR711" s="43"/>
      <c r="AS711" s="42"/>
      <c r="AT711" s="42"/>
    </row>
    <row r="712" spans="1:46" ht="12.9" customHeight="1" x14ac:dyDescent="0.25">
      <c r="A712" s="28" t="s">
        <v>1455</v>
      </c>
      <c r="B712" s="29" t="s">
        <v>1456</v>
      </c>
      <c r="C712" s="30" t="s">
        <v>438</v>
      </c>
      <c r="D712" s="40">
        <v>53347</v>
      </c>
      <c r="E712" s="26">
        <v>26204</v>
      </c>
      <c r="F712" s="26">
        <f t="shared" si="20"/>
        <v>79551</v>
      </c>
      <c r="G712" s="40">
        <v>58214</v>
      </c>
      <c r="H712" s="26">
        <v>31385</v>
      </c>
      <c r="I712" s="27">
        <f t="shared" si="21"/>
        <v>89599</v>
      </c>
      <c r="J712" s="40">
        <v>64106</v>
      </c>
      <c r="K712" s="26">
        <v>38426</v>
      </c>
      <c r="L712" s="27">
        <v>102532</v>
      </c>
      <c r="M712" s="26">
        <v>67846</v>
      </c>
      <c r="N712" s="26">
        <v>38785</v>
      </c>
      <c r="O712" s="27">
        <v>106631</v>
      </c>
      <c r="P712" s="26">
        <v>62180</v>
      </c>
      <c r="Q712" s="26">
        <v>30018</v>
      </c>
      <c r="R712" s="27">
        <v>92198</v>
      </c>
      <c r="S712" s="26">
        <v>60107</v>
      </c>
      <c r="T712" s="26">
        <v>36346</v>
      </c>
      <c r="U712" s="27">
        <v>96453</v>
      </c>
      <c r="V712" s="26">
        <v>55720</v>
      </c>
      <c r="W712" s="26">
        <v>28433</v>
      </c>
      <c r="X712" s="31">
        <v>84153</v>
      </c>
      <c r="Y712" s="16">
        <v>61450</v>
      </c>
      <c r="Z712" s="16">
        <v>40709</v>
      </c>
      <c r="AA712" s="31">
        <v>102159</v>
      </c>
      <c r="AB712" s="32">
        <v>55849</v>
      </c>
      <c r="AC712" s="16">
        <v>30685</v>
      </c>
      <c r="AD712" s="31">
        <v>86534</v>
      </c>
      <c r="AE712" s="16">
        <v>54369</v>
      </c>
      <c r="AF712" s="16">
        <v>32817</v>
      </c>
      <c r="AG712" s="31">
        <v>87186</v>
      </c>
      <c r="AH712" s="16">
        <v>48845</v>
      </c>
      <c r="AI712" s="16">
        <v>21296</v>
      </c>
      <c r="AJ712" s="31">
        <v>70141</v>
      </c>
      <c r="AK712" s="16">
        <v>53372</v>
      </c>
      <c r="AL712" s="16">
        <v>23941</v>
      </c>
      <c r="AM712" s="31">
        <v>77313</v>
      </c>
      <c r="AN712" s="16">
        <v>68649</v>
      </c>
      <c r="AO712" s="16">
        <v>20640</v>
      </c>
      <c r="AP712" s="31">
        <v>89289</v>
      </c>
      <c r="AQ712" s="42"/>
      <c r="AR712" s="43"/>
      <c r="AS712" s="42"/>
      <c r="AT712" s="42"/>
    </row>
    <row r="713" spans="1:46" ht="12.9" customHeight="1" x14ac:dyDescent="0.25">
      <c r="A713" s="28" t="s">
        <v>1457</v>
      </c>
      <c r="B713" s="29" t="s">
        <v>1458</v>
      </c>
      <c r="C713" s="30" t="s">
        <v>191</v>
      </c>
      <c r="D713" s="40">
        <v>86433</v>
      </c>
      <c r="E713" s="26">
        <v>128270</v>
      </c>
      <c r="F713" s="26">
        <f t="shared" ref="F713:F776" si="22">+D713+E713</f>
        <v>214703</v>
      </c>
      <c r="G713" s="40">
        <v>82513</v>
      </c>
      <c r="H713" s="26">
        <v>131143</v>
      </c>
      <c r="I713" s="27">
        <f t="shared" si="21"/>
        <v>213656</v>
      </c>
      <c r="J713" s="40">
        <v>122896</v>
      </c>
      <c r="K713" s="26">
        <v>136339</v>
      </c>
      <c r="L713" s="27">
        <v>259235</v>
      </c>
      <c r="M713" s="26">
        <v>103043.66666666666</v>
      </c>
      <c r="N713" s="26">
        <v>113720</v>
      </c>
      <c r="O713" s="27">
        <v>216763.66666666666</v>
      </c>
      <c r="P713" s="26">
        <v>117685</v>
      </c>
      <c r="Q713" s="26">
        <v>119976</v>
      </c>
      <c r="R713" s="27">
        <v>237661</v>
      </c>
      <c r="S713" s="26">
        <v>96502</v>
      </c>
      <c r="T713" s="26">
        <v>118520</v>
      </c>
      <c r="U713" s="27">
        <v>215022</v>
      </c>
      <c r="V713" s="26">
        <v>106676</v>
      </c>
      <c r="W713" s="26">
        <v>105122</v>
      </c>
      <c r="X713" s="31">
        <v>211798</v>
      </c>
      <c r="Y713" s="16">
        <v>111266</v>
      </c>
      <c r="Z713" s="16">
        <v>97471</v>
      </c>
      <c r="AA713" s="31">
        <v>208737</v>
      </c>
      <c r="AB713" s="32">
        <v>109027</v>
      </c>
      <c r="AC713" s="16">
        <v>93639</v>
      </c>
      <c r="AD713" s="31">
        <v>202666</v>
      </c>
      <c r="AE713" s="16">
        <v>110732</v>
      </c>
      <c r="AF713" s="16">
        <v>91836</v>
      </c>
      <c r="AG713" s="31">
        <v>202568</v>
      </c>
      <c r="AH713" s="16">
        <v>107163</v>
      </c>
      <c r="AI713" s="16">
        <v>83108</v>
      </c>
      <c r="AJ713" s="31">
        <v>190271</v>
      </c>
      <c r="AK713" s="16">
        <v>109909</v>
      </c>
      <c r="AL713" s="16">
        <v>66181</v>
      </c>
      <c r="AM713" s="31">
        <v>176090</v>
      </c>
      <c r="AN713" s="16">
        <v>111240</v>
      </c>
      <c r="AO713" s="16">
        <v>90297</v>
      </c>
      <c r="AP713" s="31">
        <v>201537</v>
      </c>
      <c r="AQ713" s="42"/>
      <c r="AR713" s="43"/>
      <c r="AS713" s="42"/>
      <c r="AT713" s="42"/>
    </row>
    <row r="714" spans="1:46" ht="12.9" customHeight="1" x14ac:dyDescent="0.25">
      <c r="A714" s="28" t="s">
        <v>1459</v>
      </c>
      <c r="B714" s="29" t="s">
        <v>1460</v>
      </c>
      <c r="C714" s="30" t="s">
        <v>197</v>
      </c>
      <c r="D714" s="40">
        <v>95520</v>
      </c>
      <c r="E714" s="26">
        <v>32411</v>
      </c>
      <c r="F714" s="26">
        <f t="shared" si="22"/>
        <v>127931</v>
      </c>
      <c r="G714" s="40">
        <v>99590</v>
      </c>
      <c r="H714" s="26">
        <v>30639</v>
      </c>
      <c r="I714" s="27">
        <f t="shared" ref="I714:I777" si="23">+G714+H714</f>
        <v>130229</v>
      </c>
      <c r="J714" s="40">
        <v>109395</v>
      </c>
      <c r="K714" s="26">
        <v>24661</v>
      </c>
      <c r="L714" s="27">
        <v>134056</v>
      </c>
      <c r="M714" s="26">
        <v>118985</v>
      </c>
      <c r="N714" s="26">
        <v>26251</v>
      </c>
      <c r="O714" s="27">
        <v>145236</v>
      </c>
      <c r="P714" s="26">
        <v>112920</v>
      </c>
      <c r="Q714" s="26">
        <v>24879</v>
      </c>
      <c r="R714" s="27">
        <v>137799</v>
      </c>
      <c r="S714" s="26">
        <v>104955</v>
      </c>
      <c r="T714" s="26">
        <v>27160</v>
      </c>
      <c r="U714" s="27">
        <v>132115</v>
      </c>
      <c r="V714" s="26">
        <v>100503</v>
      </c>
      <c r="W714" s="26">
        <v>28980</v>
      </c>
      <c r="X714" s="31">
        <v>129483</v>
      </c>
      <c r="Y714" s="16">
        <v>105008</v>
      </c>
      <c r="Z714" s="16">
        <v>30548</v>
      </c>
      <c r="AA714" s="31">
        <v>135556</v>
      </c>
      <c r="AB714" s="32">
        <v>102702</v>
      </c>
      <c r="AC714" s="16">
        <v>28217</v>
      </c>
      <c r="AD714" s="31">
        <v>130919</v>
      </c>
      <c r="AE714" s="16">
        <v>100325</v>
      </c>
      <c r="AF714" s="16">
        <v>29736</v>
      </c>
      <c r="AG714" s="31">
        <v>130061</v>
      </c>
      <c r="AH714" s="16">
        <v>100731</v>
      </c>
      <c r="AI714" s="16">
        <v>29186</v>
      </c>
      <c r="AJ714" s="31">
        <v>129917</v>
      </c>
      <c r="AK714" s="16">
        <v>96289</v>
      </c>
      <c r="AL714" s="16">
        <v>32361</v>
      </c>
      <c r="AM714" s="31">
        <v>128650</v>
      </c>
      <c r="AN714" s="16">
        <v>104655</v>
      </c>
      <c r="AO714" s="16">
        <v>34725</v>
      </c>
      <c r="AP714" s="31">
        <v>139380</v>
      </c>
      <c r="AQ714" s="42"/>
      <c r="AR714" s="43"/>
      <c r="AS714" s="42"/>
      <c r="AT714" s="42"/>
    </row>
    <row r="715" spans="1:46" ht="12.9" customHeight="1" x14ac:dyDescent="0.25">
      <c r="A715" s="28" t="s">
        <v>1461</v>
      </c>
      <c r="B715" s="29" t="s">
        <v>1462</v>
      </c>
      <c r="C715" s="47" t="s">
        <v>1946</v>
      </c>
      <c r="D715" s="40">
        <v>4576</v>
      </c>
      <c r="E715" s="26">
        <v>43935</v>
      </c>
      <c r="F715" s="26">
        <f t="shared" si="22"/>
        <v>48511</v>
      </c>
      <c r="G715" s="40">
        <v>4778</v>
      </c>
      <c r="H715" s="26">
        <v>53097</v>
      </c>
      <c r="I715" s="27">
        <f t="shared" si="23"/>
        <v>57875</v>
      </c>
      <c r="J715" s="40">
        <v>4946</v>
      </c>
      <c r="K715" s="26">
        <v>58300</v>
      </c>
      <c r="L715" s="27">
        <v>63246</v>
      </c>
      <c r="M715" s="26">
        <v>5158</v>
      </c>
      <c r="N715" s="26">
        <v>38502</v>
      </c>
      <c r="O715" s="27">
        <v>43660</v>
      </c>
      <c r="P715" s="26">
        <v>4508</v>
      </c>
      <c r="Q715" s="26">
        <v>38749</v>
      </c>
      <c r="R715" s="27">
        <v>43257</v>
      </c>
      <c r="S715" s="26">
        <v>4365</v>
      </c>
      <c r="T715" s="26">
        <v>41761</v>
      </c>
      <c r="U715" s="27">
        <v>46126</v>
      </c>
      <c r="V715" s="26">
        <v>3634</v>
      </c>
      <c r="W715" s="26">
        <v>32320</v>
      </c>
      <c r="X715" s="31">
        <v>35954</v>
      </c>
      <c r="Y715" s="16">
        <v>4419</v>
      </c>
      <c r="Z715" s="16">
        <v>36792</v>
      </c>
      <c r="AA715" s="31">
        <v>41211</v>
      </c>
      <c r="AB715" s="32">
        <v>4240</v>
      </c>
      <c r="AC715" s="16">
        <v>40883</v>
      </c>
      <c r="AD715" s="31">
        <v>45123</v>
      </c>
      <c r="AE715" s="16">
        <v>4411</v>
      </c>
      <c r="AF715" s="16">
        <v>34859</v>
      </c>
      <c r="AG715" s="31">
        <v>39270</v>
      </c>
      <c r="AH715" s="16">
        <v>4693</v>
      </c>
      <c r="AI715" s="16">
        <v>22862</v>
      </c>
      <c r="AJ715" s="31">
        <v>27555</v>
      </c>
      <c r="AK715" s="16">
        <v>5037</v>
      </c>
      <c r="AL715" s="16">
        <v>14994</v>
      </c>
      <c r="AM715" s="31">
        <v>20031</v>
      </c>
      <c r="AN715" s="16">
        <v>5623</v>
      </c>
      <c r="AO715" s="16">
        <v>12397</v>
      </c>
      <c r="AP715" s="31">
        <v>18020</v>
      </c>
      <c r="AQ715" s="42"/>
      <c r="AR715" s="43"/>
      <c r="AS715" s="42"/>
      <c r="AT715" s="42"/>
    </row>
    <row r="716" spans="1:46" ht="12.9" customHeight="1" x14ac:dyDescent="0.25">
      <c r="A716" s="28" t="s">
        <v>1463</v>
      </c>
      <c r="B716" s="29" t="s">
        <v>1464</v>
      </c>
      <c r="C716" s="30" t="s">
        <v>113</v>
      </c>
      <c r="D716" s="40">
        <v>49883</v>
      </c>
      <c r="E716" s="26">
        <v>24483</v>
      </c>
      <c r="F716" s="26">
        <f t="shared" si="22"/>
        <v>74366</v>
      </c>
      <c r="G716" s="40">
        <v>50765</v>
      </c>
      <c r="H716" s="26">
        <v>22643</v>
      </c>
      <c r="I716" s="27">
        <f t="shared" si="23"/>
        <v>73408</v>
      </c>
      <c r="J716" s="40">
        <v>58692</v>
      </c>
      <c r="K716" s="26">
        <v>21912</v>
      </c>
      <c r="L716" s="27">
        <v>80604</v>
      </c>
      <c r="M716" s="26">
        <v>55017</v>
      </c>
      <c r="N716" s="26">
        <v>21307</v>
      </c>
      <c r="O716" s="27">
        <v>76324</v>
      </c>
      <c r="P716" s="26">
        <v>55011</v>
      </c>
      <c r="Q716" s="26">
        <v>18553</v>
      </c>
      <c r="R716" s="27">
        <v>73564</v>
      </c>
      <c r="S716" s="26">
        <v>52246</v>
      </c>
      <c r="T716" s="26">
        <v>20262</v>
      </c>
      <c r="U716" s="27">
        <v>72508</v>
      </c>
      <c r="V716" s="26">
        <v>50093</v>
      </c>
      <c r="W716" s="26">
        <v>18878</v>
      </c>
      <c r="X716" s="31">
        <v>68971</v>
      </c>
      <c r="Y716" s="16">
        <v>50082</v>
      </c>
      <c r="Z716" s="16">
        <v>24589</v>
      </c>
      <c r="AA716" s="31">
        <v>74671</v>
      </c>
      <c r="AB716" s="32">
        <v>51346</v>
      </c>
      <c r="AC716" s="16">
        <v>21782</v>
      </c>
      <c r="AD716" s="31">
        <v>73128</v>
      </c>
      <c r="AE716" s="16">
        <v>53688</v>
      </c>
      <c r="AF716" s="16">
        <v>18301</v>
      </c>
      <c r="AG716" s="31">
        <v>71989</v>
      </c>
      <c r="AH716" s="16">
        <v>46949</v>
      </c>
      <c r="AI716" s="16">
        <v>17013</v>
      </c>
      <c r="AJ716" s="31">
        <v>63962</v>
      </c>
      <c r="AK716" s="16">
        <v>48908</v>
      </c>
      <c r="AL716" s="16">
        <v>8060</v>
      </c>
      <c r="AM716" s="31">
        <v>56968</v>
      </c>
      <c r="AN716" s="16">
        <v>50968</v>
      </c>
      <c r="AO716" s="16">
        <v>16441</v>
      </c>
      <c r="AP716" s="31">
        <v>67409</v>
      </c>
      <c r="AQ716" s="42"/>
      <c r="AR716" s="43"/>
      <c r="AS716" s="42"/>
      <c r="AT716" s="42"/>
    </row>
    <row r="717" spans="1:46" ht="12.9" customHeight="1" x14ac:dyDescent="0.25">
      <c r="A717" s="28" t="s">
        <v>1465</v>
      </c>
      <c r="B717" s="29" t="s">
        <v>1466</v>
      </c>
      <c r="C717" s="30" t="s">
        <v>274</v>
      </c>
      <c r="D717" s="40">
        <v>24665</v>
      </c>
      <c r="E717" s="26">
        <v>5272</v>
      </c>
      <c r="F717" s="26">
        <f t="shared" si="22"/>
        <v>29937</v>
      </c>
      <c r="G717" s="40">
        <v>28532</v>
      </c>
      <c r="H717" s="26">
        <v>6688</v>
      </c>
      <c r="I717" s="27">
        <f t="shared" si="23"/>
        <v>35220</v>
      </c>
      <c r="J717" s="40">
        <v>27410</v>
      </c>
      <c r="K717" s="26">
        <v>7391</v>
      </c>
      <c r="L717" s="27">
        <v>34801</v>
      </c>
      <c r="M717" s="26">
        <v>27215</v>
      </c>
      <c r="N717" s="26">
        <v>9042</v>
      </c>
      <c r="O717" s="27">
        <v>36257</v>
      </c>
      <c r="P717" s="26">
        <v>29688</v>
      </c>
      <c r="Q717" s="26">
        <v>4699</v>
      </c>
      <c r="R717" s="27">
        <v>34387</v>
      </c>
      <c r="S717" s="26">
        <v>32907</v>
      </c>
      <c r="T717" s="26">
        <v>4767</v>
      </c>
      <c r="U717" s="27">
        <v>37674</v>
      </c>
      <c r="V717" s="26">
        <v>28148</v>
      </c>
      <c r="W717" s="26">
        <v>4570</v>
      </c>
      <c r="X717" s="31">
        <v>32718</v>
      </c>
      <c r="Y717" s="16">
        <v>25333</v>
      </c>
      <c r="Z717" s="16">
        <v>4850</v>
      </c>
      <c r="AA717" s="31">
        <v>30183</v>
      </c>
      <c r="AB717" s="32">
        <v>24862</v>
      </c>
      <c r="AC717" s="16">
        <v>3884</v>
      </c>
      <c r="AD717" s="31">
        <v>28746</v>
      </c>
      <c r="AE717" s="16">
        <v>25407</v>
      </c>
      <c r="AF717" s="16">
        <v>4152</v>
      </c>
      <c r="AG717" s="31">
        <v>29559</v>
      </c>
      <c r="AH717" s="16">
        <v>23026</v>
      </c>
      <c r="AI717" s="16">
        <v>3728</v>
      </c>
      <c r="AJ717" s="31">
        <v>26754</v>
      </c>
      <c r="AK717" s="16">
        <v>24738</v>
      </c>
      <c r="AL717" s="16">
        <v>4213</v>
      </c>
      <c r="AM717" s="31">
        <v>28951</v>
      </c>
      <c r="AN717" s="16">
        <v>26215</v>
      </c>
      <c r="AO717" s="16">
        <v>3536</v>
      </c>
      <c r="AP717" s="31">
        <v>29751</v>
      </c>
      <c r="AQ717" s="42"/>
      <c r="AR717" s="43"/>
      <c r="AS717" s="42"/>
      <c r="AT717" s="42"/>
    </row>
    <row r="718" spans="1:46" ht="12.9" customHeight="1" x14ac:dyDescent="0.25">
      <c r="A718" s="28" t="s">
        <v>1467</v>
      </c>
      <c r="B718" s="29" t="s">
        <v>1468</v>
      </c>
      <c r="C718" s="30" t="s">
        <v>17</v>
      </c>
      <c r="D718" s="40">
        <v>28306</v>
      </c>
      <c r="E718" s="26">
        <v>42754</v>
      </c>
      <c r="F718" s="26">
        <f t="shared" si="22"/>
        <v>71060</v>
      </c>
      <c r="G718" s="40">
        <v>26979</v>
      </c>
      <c r="H718" s="26">
        <v>1136</v>
      </c>
      <c r="I718" s="27">
        <f t="shared" si="23"/>
        <v>28115</v>
      </c>
      <c r="J718" s="40">
        <v>30747</v>
      </c>
      <c r="K718" s="26">
        <v>497</v>
      </c>
      <c r="L718" s="27">
        <v>31244</v>
      </c>
      <c r="M718" s="26">
        <v>27775</v>
      </c>
      <c r="N718" s="26">
        <v>286</v>
      </c>
      <c r="O718" s="27">
        <v>28061</v>
      </c>
      <c r="P718" s="26">
        <v>32907</v>
      </c>
      <c r="Q718" s="26">
        <v>492</v>
      </c>
      <c r="R718" s="27">
        <v>33399</v>
      </c>
      <c r="S718" s="26">
        <v>28850</v>
      </c>
      <c r="T718" s="26">
        <v>585</v>
      </c>
      <c r="U718" s="27">
        <v>29435</v>
      </c>
      <c r="V718" s="26">
        <v>29374</v>
      </c>
      <c r="W718" s="26">
        <v>352</v>
      </c>
      <c r="X718" s="31">
        <v>29726</v>
      </c>
      <c r="Y718" s="16">
        <v>29507</v>
      </c>
      <c r="Z718" s="16">
        <v>879</v>
      </c>
      <c r="AA718" s="31">
        <v>30386</v>
      </c>
      <c r="AB718" s="32">
        <v>29507</v>
      </c>
      <c r="AC718" s="16">
        <v>879</v>
      </c>
      <c r="AD718" s="31">
        <v>30386</v>
      </c>
      <c r="AE718" s="16">
        <v>30558</v>
      </c>
      <c r="AF718" s="16">
        <v>0</v>
      </c>
      <c r="AG718" s="31">
        <v>30558</v>
      </c>
      <c r="AH718" s="16">
        <v>30558</v>
      </c>
      <c r="AI718" s="16">
        <v>536</v>
      </c>
      <c r="AJ718" s="31">
        <v>31094</v>
      </c>
      <c r="AK718" s="16">
        <v>30558</v>
      </c>
      <c r="AL718" s="16">
        <v>536</v>
      </c>
      <c r="AM718" s="31">
        <v>31094</v>
      </c>
      <c r="AN718" s="16">
        <v>30558</v>
      </c>
      <c r="AO718" s="16">
        <v>536</v>
      </c>
      <c r="AP718" s="31">
        <v>31094</v>
      </c>
      <c r="AQ718" s="42"/>
      <c r="AR718" s="43"/>
      <c r="AS718" s="42"/>
      <c r="AT718" s="42"/>
    </row>
    <row r="719" spans="1:46" ht="12.9" customHeight="1" x14ac:dyDescent="0.25">
      <c r="A719" s="28" t="s">
        <v>1469</v>
      </c>
      <c r="B719" s="29" t="s">
        <v>1470</v>
      </c>
      <c r="C719" s="30" t="s">
        <v>153</v>
      </c>
      <c r="D719" s="40">
        <v>40866</v>
      </c>
      <c r="E719" s="26">
        <v>3241</v>
      </c>
      <c r="F719" s="26">
        <f t="shared" si="22"/>
        <v>44107</v>
      </c>
      <c r="G719" s="40">
        <v>44888</v>
      </c>
      <c r="H719" s="26">
        <v>3301</v>
      </c>
      <c r="I719" s="27">
        <f t="shared" si="23"/>
        <v>48189</v>
      </c>
      <c r="J719" s="40">
        <v>43508</v>
      </c>
      <c r="K719" s="26">
        <v>2926</v>
      </c>
      <c r="L719" s="27">
        <v>46434</v>
      </c>
      <c r="M719" s="26">
        <v>47921</v>
      </c>
      <c r="N719" s="26">
        <v>4617</v>
      </c>
      <c r="O719" s="27">
        <v>52538</v>
      </c>
      <c r="P719" s="26">
        <v>45366</v>
      </c>
      <c r="Q719" s="26">
        <v>3673</v>
      </c>
      <c r="R719" s="27">
        <v>49039</v>
      </c>
      <c r="S719" s="26">
        <v>43037</v>
      </c>
      <c r="T719" s="26">
        <v>3203</v>
      </c>
      <c r="U719" s="27">
        <v>46240</v>
      </c>
      <c r="V719" s="26">
        <v>38594</v>
      </c>
      <c r="W719" s="26">
        <v>3287</v>
      </c>
      <c r="X719" s="31">
        <v>41881</v>
      </c>
      <c r="Y719" s="16">
        <v>42580</v>
      </c>
      <c r="Z719" s="16">
        <v>2892</v>
      </c>
      <c r="AA719" s="31">
        <v>45472</v>
      </c>
      <c r="AB719" s="32">
        <v>40562</v>
      </c>
      <c r="AC719" s="16">
        <v>2605</v>
      </c>
      <c r="AD719" s="31">
        <v>43167</v>
      </c>
      <c r="AE719" s="16">
        <v>39641</v>
      </c>
      <c r="AF719" s="16">
        <v>2372</v>
      </c>
      <c r="AG719" s="31">
        <v>42013</v>
      </c>
      <c r="AH719" s="16">
        <v>41330</v>
      </c>
      <c r="AI719" s="16">
        <v>2202</v>
      </c>
      <c r="AJ719" s="31">
        <v>43532</v>
      </c>
      <c r="AK719" s="16">
        <v>40404</v>
      </c>
      <c r="AL719" s="16">
        <v>2452</v>
      </c>
      <c r="AM719" s="31">
        <v>42856</v>
      </c>
      <c r="AN719" s="16">
        <v>45536</v>
      </c>
      <c r="AO719" s="16">
        <v>2753</v>
      </c>
      <c r="AP719" s="31">
        <v>48289</v>
      </c>
      <c r="AQ719" s="42"/>
      <c r="AR719" s="43"/>
      <c r="AS719" s="42"/>
      <c r="AT719" s="42"/>
    </row>
    <row r="720" spans="1:46" ht="12.9" customHeight="1" x14ac:dyDescent="0.25">
      <c r="A720" s="28" t="s">
        <v>1471</v>
      </c>
      <c r="B720" s="29" t="s">
        <v>1472</v>
      </c>
      <c r="C720" s="30" t="s">
        <v>191</v>
      </c>
      <c r="D720" s="40">
        <v>125198</v>
      </c>
      <c r="E720" s="26">
        <v>26373</v>
      </c>
      <c r="F720" s="26">
        <f t="shared" si="22"/>
        <v>151571</v>
      </c>
      <c r="G720" s="40">
        <v>137422</v>
      </c>
      <c r="H720" s="26">
        <v>30200</v>
      </c>
      <c r="I720" s="27">
        <f t="shared" si="23"/>
        <v>167622</v>
      </c>
      <c r="J720" s="40">
        <v>150070</v>
      </c>
      <c r="K720" s="26">
        <v>34104</v>
      </c>
      <c r="L720" s="27">
        <v>184174</v>
      </c>
      <c r="M720" s="26">
        <v>147515</v>
      </c>
      <c r="N720" s="26">
        <v>35402</v>
      </c>
      <c r="O720" s="27">
        <v>182917</v>
      </c>
      <c r="P720" s="26">
        <v>141381</v>
      </c>
      <c r="Q720" s="26">
        <v>29233</v>
      </c>
      <c r="R720" s="27">
        <v>170614</v>
      </c>
      <c r="S720" s="26">
        <v>127146</v>
      </c>
      <c r="T720" s="26">
        <v>38252</v>
      </c>
      <c r="U720" s="27">
        <v>165398</v>
      </c>
      <c r="V720" s="26">
        <v>120214</v>
      </c>
      <c r="W720" s="26">
        <v>43476</v>
      </c>
      <c r="X720" s="31">
        <v>163690</v>
      </c>
      <c r="Y720" s="16">
        <v>121943</v>
      </c>
      <c r="Z720" s="16">
        <v>40903</v>
      </c>
      <c r="AA720" s="31">
        <v>162846</v>
      </c>
      <c r="AB720" s="32">
        <v>128127</v>
      </c>
      <c r="AC720" s="16">
        <v>45372</v>
      </c>
      <c r="AD720" s="31">
        <v>173499</v>
      </c>
      <c r="AE720" s="16">
        <v>122128</v>
      </c>
      <c r="AF720" s="16">
        <v>43843</v>
      </c>
      <c r="AG720" s="31">
        <v>165971</v>
      </c>
      <c r="AH720" s="16">
        <v>115505</v>
      </c>
      <c r="AI720" s="16">
        <v>39342</v>
      </c>
      <c r="AJ720" s="31">
        <v>154847</v>
      </c>
      <c r="AK720" s="16">
        <v>114050.64650740853</v>
      </c>
      <c r="AL720" s="16">
        <v>35759</v>
      </c>
      <c r="AM720" s="31">
        <v>149809.64650740853</v>
      </c>
      <c r="AN720" s="16">
        <v>112348</v>
      </c>
      <c r="AO720" s="16">
        <v>30814</v>
      </c>
      <c r="AP720" s="31">
        <v>143162</v>
      </c>
      <c r="AQ720" s="42"/>
      <c r="AR720" s="43"/>
      <c r="AS720" s="42"/>
      <c r="AT720" s="42"/>
    </row>
    <row r="721" spans="1:46" ht="12.9" customHeight="1" x14ac:dyDescent="0.25">
      <c r="A721" s="28" t="s">
        <v>1473</v>
      </c>
      <c r="B721" s="29" t="s">
        <v>1474</v>
      </c>
      <c r="C721" s="30" t="s">
        <v>153</v>
      </c>
      <c r="D721" s="40">
        <v>13574</v>
      </c>
      <c r="E721" s="26">
        <v>17235</v>
      </c>
      <c r="F721" s="26">
        <f t="shared" si="22"/>
        <v>30809</v>
      </c>
      <c r="G721" s="40">
        <v>11810</v>
      </c>
      <c r="H721" s="26">
        <v>9953</v>
      </c>
      <c r="I721" s="27">
        <f t="shared" si="23"/>
        <v>21763</v>
      </c>
      <c r="J721" s="40">
        <v>15262</v>
      </c>
      <c r="K721" s="26">
        <v>3136</v>
      </c>
      <c r="L721" s="27">
        <v>18398</v>
      </c>
      <c r="M721" s="26">
        <v>14962</v>
      </c>
      <c r="N721" s="26">
        <v>2807</v>
      </c>
      <c r="O721" s="27">
        <v>17769</v>
      </c>
      <c r="P721" s="26">
        <v>13958</v>
      </c>
      <c r="Q721" s="26">
        <v>2667</v>
      </c>
      <c r="R721" s="27">
        <v>16625</v>
      </c>
      <c r="S721" s="26">
        <v>16121</v>
      </c>
      <c r="T721" s="26">
        <v>3647</v>
      </c>
      <c r="U721" s="27">
        <v>19768</v>
      </c>
      <c r="V721" s="26">
        <v>13017</v>
      </c>
      <c r="W721" s="26">
        <v>3312</v>
      </c>
      <c r="X721" s="31">
        <v>16329</v>
      </c>
      <c r="Y721" s="16">
        <v>9844</v>
      </c>
      <c r="Z721" s="16">
        <v>2548</v>
      </c>
      <c r="AA721" s="31">
        <v>12392</v>
      </c>
      <c r="AB721" s="32">
        <v>11117</v>
      </c>
      <c r="AC721" s="16">
        <v>3397</v>
      </c>
      <c r="AD721" s="31">
        <v>14514</v>
      </c>
      <c r="AE721" s="16">
        <v>11085</v>
      </c>
      <c r="AF721" s="16">
        <v>2489</v>
      </c>
      <c r="AG721" s="31">
        <v>13574</v>
      </c>
      <c r="AH721" s="16">
        <v>11720</v>
      </c>
      <c r="AI721" s="16">
        <v>2619</v>
      </c>
      <c r="AJ721" s="31">
        <v>14339</v>
      </c>
      <c r="AK721" s="16">
        <v>11212</v>
      </c>
      <c r="AL721" s="16">
        <v>2877</v>
      </c>
      <c r="AM721" s="31">
        <v>14089</v>
      </c>
      <c r="AN721" s="16">
        <v>11930</v>
      </c>
      <c r="AO721" s="16">
        <v>2597</v>
      </c>
      <c r="AP721" s="31">
        <v>14527</v>
      </c>
      <c r="AQ721" s="42"/>
      <c r="AR721" s="43"/>
      <c r="AS721" s="42"/>
      <c r="AT721" s="42"/>
    </row>
    <row r="722" spans="1:46" ht="12.9" customHeight="1" x14ac:dyDescent="0.25">
      <c r="A722" s="28" t="s">
        <v>1475</v>
      </c>
      <c r="B722" s="29" t="s">
        <v>1476</v>
      </c>
      <c r="C722" s="30" t="s">
        <v>274</v>
      </c>
      <c r="D722" s="40">
        <v>8692</v>
      </c>
      <c r="E722" s="26">
        <v>6520</v>
      </c>
      <c r="F722" s="26">
        <f t="shared" si="22"/>
        <v>15212</v>
      </c>
      <c r="G722" s="40">
        <v>10450</v>
      </c>
      <c r="H722" s="26">
        <v>5997</v>
      </c>
      <c r="I722" s="27">
        <f t="shared" si="23"/>
        <v>16447</v>
      </c>
      <c r="J722" s="40">
        <v>10315</v>
      </c>
      <c r="K722" s="26">
        <v>6302</v>
      </c>
      <c r="L722" s="27">
        <v>16617</v>
      </c>
      <c r="M722" s="26">
        <v>7011</v>
      </c>
      <c r="N722" s="26">
        <v>5099</v>
      </c>
      <c r="O722" s="27">
        <v>12110</v>
      </c>
      <c r="P722" s="26">
        <v>7008</v>
      </c>
      <c r="Q722" s="26">
        <v>6982</v>
      </c>
      <c r="R722" s="27">
        <v>13990</v>
      </c>
      <c r="S722" s="26">
        <v>6881</v>
      </c>
      <c r="T722" s="26">
        <v>6843</v>
      </c>
      <c r="U722" s="27">
        <v>13724</v>
      </c>
      <c r="V722" s="26">
        <v>9971</v>
      </c>
      <c r="W722" s="26">
        <v>6172</v>
      </c>
      <c r="X722" s="31">
        <v>16143</v>
      </c>
      <c r="Y722" s="16">
        <v>6663</v>
      </c>
      <c r="Z722" s="16">
        <v>7177</v>
      </c>
      <c r="AA722" s="31">
        <v>13840</v>
      </c>
      <c r="AB722" s="32">
        <v>6649</v>
      </c>
      <c r="AC722" s="16">
        <v>6304</v>
      </c>
      <c r="AD722" s="31">
        <v>12953</v>
      </c>
      <c r="AE722" s="16">
        <v>6498</v>
      </c>
      <c r="AF722" s="16">
        <v>6765</v>
      </c>
      <c r="AG722" s="31">
        <v>13263</v>
      </c>
      <c r="AH722" s="16">
        <v>7858</v>
      </c>
      <c r="AI722" s="16">
        <v>5362</v>
      </c>
      <c r="AJ722" s="31">
        <v>13220</v>
      </c>
      <c r="AK722" s="16">
        <v>7104</v>
      </c>
      <c r="AL722" s="16">
        <v>6906</v>
      </c>
      <c r="AM722" s="31">
        <v>14010</v>
      </c>
      <c r="AN722" s="16">
        <v>8292</v>
      </c>
      <c r="AO722" s="16">
        <v>4387</v>
      </c>
      <c r="AP722" s="31">
        <v>12679</v>
      </c>
      <c r="AQ722" s="42"/>
      <c r="AR722" s="43"/>
      <c r="AS722" s="42"/>
      <c r="AT722" s="42"/>
    </row>
    <row r="723" spans="1:46" ht="12.9" customHeight="1" x14ac:dyDescent="0.25">
      <c r="A723" s="28" t="s">
        <v>1477</v>
      </c>
      <c r="B723" s="29" t="s">
        <v>1478</v>
      </c>
      <c r="C723" s="30" t="s">
        <v>20</v>
      </c>
      <c r="D723" s="40">
        <v>19786</v>
      </c>
      <c r="E723" s="26">
        <v>73280</v>
      </c>
      <c r="F723" s="26">
        <f t="shared" si="22"/>
        <v>93066</v>
      </c>
      <c r="G723" s="40">
        <v>19732</v>
      </c>
      <c r="H723" s="26">
        <v>59743</v>
      </c>
      <c r="I723" s="27">
        <f t="shared" si="23"/>
        <v>79475</v>
      </c>
      <c r="J723" s="40">
        <v>21901</v>
      </c>
      <c r="K723" s="26">
        <v>76320</v>
      </c>
      <c r="L723" s="27">
        <v>98221</v>
      </c>
      <c r="M723" s="26">
        <v>22131</v>
      </c>
      <c r="N723" s="26">
        <v>52154</v>
      </c>
      <c r="O723" s="27">
        <v>74285</v>
      </c>
      <c r="P723" s="26">
        <v>20951</v>
      </c>
      <c r="Q723" s="26">
        <v>50822</v>
      </c>
      <c r="R723" s="27">
        <v>71773</v>
      </c>
      <c r="S723" s="26">
        <v>20464</v>
      </c>
      <c r="T723" s="26">
        <v>62843</v>
      </c>
      <c r="U723" s="27">
        <v>83307</v>
      </c>
      <c r="V723" s="26">
        <v>18838</v>
      </c>
      <c r="W723" s="26">
        <v>55414</v>
      </c>
      <c r="X723" s="31">
        <v>74252</v>
      </c>
      <c r="Y723" s="16">
        <v>21937</v>
      </c>
      <c r="Z723" s="16">
        <v>58944</v>
      </c>
      <c r="AA723" s="31">
        <v>80881</v>
      </c>
      <c r="AB723" s="32">
        <v>22705</v>
      </c>
      <c r="AC723" s="16">
        <v>55626</v>
      </c>
      <c r="AD723" s="31">
        <v>78331</v>
      </c>
      <c r="AE723" s="16">
        <v>23234</v>
      </c>
      <c r="AF723" s="16">
        <v>57185</v>
      </c>
      <c r="AG723" s="31">
        <v>80419</v>
      </c>
      <c r="AH723" s="16">
        <v>17052</v>
      </c>
      <c r="AI723" s="16">
        <v>59110</v>
      </c>
      <c r="AJ723" s="31">
        <v>76162</v>
      </c>
      <c r="AK723" s="16">
        <v>21712</v>
      </c>
      <c r="AL723" s="16">
        <v>51350</v>
      </c>
      <c r="AM723" s="31">
        <v>73062</v>
      </c>
      <c r="AN723" s="16">
        <v>28698</v>
      </c>
      <c r="AO723" s="16">
        <v>46008</v>
      </c>
      <c r="AP723" s="31">
        <v>74706</v>
      </c>
      <c r="AQ723" s="42"/>
      <c r="AR723" s="43"/>
      <c r="AS723" s="42"/>
      <c r="AT723" s="42"/>
    </row>
    <row r="724" spans="1:46" ht="12.9" customHeight="1" x14ac:dyDescent="0.25">
      <c r="A724" s="28" t="s">
        <v>1479</v>
      </c>
      <c r="B724" s="29" t="s">
        <v>1480</v>
      </c>
      <c r="C724" s="30" t="s">
        <v>212</v>
      </c>
      <c r="D724" s="40">
        <v>2714</v>
      </c>
      <c r="E724" s="26">
        <v>13911</v>
      </c>
      <c r="F724" s="26">
        <f t="shared" si="22"/>
        <v>16625</v>
      </c>
      <c r="G724" s="40">
        <v>1763</v>
      </c>
      <c r="H724" s="26">
        <v>13349</v>
      </c>
      <c r="I724" s="27">
        <f t="shared" si="23"/>
        <v>15112</v>
      </c>
      <c r="J724" s="40">
        <v>1385</v>
      </c>
      <c r="K724" s="26">
        <v>20103</v>
      </c>
      <c r="L724" s="27">
        <v>21488</v>
      </c>
      <c r="M724" s="26">
        <v>0</v>
      </c>
      <c r="N724" s="26">
        <v>12356</v>
      </c>
      <c r="O724" s="27">
        <v>12356</v>
      </c>
      <c r="P724" s="26">
        <v>0</v>
      </c>
      <c r="Q724" s="26">
        <v>24085</v>
      </c>
      <c r="R724" s="27">
        <v>24085</v>
      </c>
      <c r="S724" s="26"/>
      <c r="T724" s="26">
        <v>28141</v>
      </c>
      <c r="U724" s="27">
        <v>28141</v>
      </c>
      <c r="V724" s="26">
        <v>0</v>
      </c>
      <c r="W724" s="26">
        <v>22592</v>
      </c>
      <c r="X724" s="31">
        <v>22592</v>
      </c>
      <c r="Y724" s="32">
        <v>0</v>
      </c>
      <c r="Z724" s="16">
        <v>15834</v>
      </c>
      <c r="AA724" s="31">
        <v>15834</v>
      </c>
      <c r="AB724" s="32">
        <v>0</v>
      </c>
      <c r="AC724" s="16">
        <v>24822</v>
      </c>
      <c r="AD724" s="31">
        <v>24822</v>
      </c>
      <c r="AE724" s="16">
        <v>0</v>
      </c>
      <c r="AF724" s="16">
        <v>20849</v>
      </c>
      <c r="AG724" s="31">
        <v>20849</v>
      </c>
      <c r="AH724" s="32">
        <v>0</v>
      </c>
      <c r="AI724" s="16">
        <v>3932</v>
      </c>
      <c r="AJ724" s="31">
        <v>3932</v>
      </c>
      <c r="AK724" s="32">
        <v>0</v>
      </c>
      <c r="AL724" s="16">
        <v>25848</v>
      </c>
      <c r="AM724" s="31">
        <v>25848</v>
      </c>
      <c r="AN724" s="32">
        <v>0</v>
      </c>
      <c r="AO724" s="16">
        <v>14615</v>
      </c>
      <c r="AP724" s="31">
        <v>14615</v>
      </c>
      <c r="AQ724" s="42"/>
      <c r="AR724" s="43"/>
      <c r="AS724" s="42"/>
      <c r="AT724" s="42"/>
    </row>
    <row r="725" spans="1:46" ht="12.9" customHeight="1" x14ac:dyDescent="0.25">
      <c r="A725" s="28" t="s">
        <v>1481</v>
      </c>
      <c r="B725" s="29" t="s">
        <v>1482</v>
      </c>
      <c r="C725" s="30" t="s">
        <v>23</v>
      </c>
      <c r="D725" s="40">
        <v>29445</v>
      </c>
      <c r="E725" s="26">
        <v>7323</v>
      </c>
      <c r="F725" s="26">
        <f t="shared" si="22"/>
        <v>36768</v>
      </c>
      <c r="G725" s="40">
        <v>32913</v>
      </c>
      <c r="H725" s="26">
        <v>7345</v>
      </c>
      <c r="I725" s="27">
        <f t="shared" si="23"/>
        <v>40258</v>
      </c>
      <c r="J725" s="40">
        <v>34714</v>
      </c>
      <c r="K725" s="26">
        <v>6743</v>
      </c>
      <c r="L725" s="27">
        <v>41457</v>
      </c>
      <c r="M725" s="26">
        <v>34321</v>
      </c>
      <c r="N725" s="26">
        <v>5675</v>
      </c>
      <c r="O725" s="27">
        <v>39996</v>
      </c>
      <c r="P725" s="26">
        <v>34649</v>
      </c>
      <c r="Q725" s="26">
        <v>4250</v>
      </c>
      <c r="R725" s="27">
        <v>38899</v>
      </c>
      <c r="S725" s="26">
        <v>34575</v>
      </c>
      <c r="T725" s="26">
        <v>5823</v>
      </c>
      <c r="U725" s="27">
        <v>40398</v>
      </c>
      <c r="V725" s="26">
        <v>33179</v>
      </c>
      <c r="W725" s="26">
        <v>5416</v>
      </c>
      <c r="X725" s="31">
        <v>38595</v>
      </c>
      <c r="Y725" s="16">
        <v>32638</v>
      </c>
      <c r="Z725" s="16">
        <v>6991</v>
      </c>
      <c r="AA725" s="31">
        <v>39629</v>
      </c>
      <c r="AB725" s="32">
        <v>26999</v>
      </c>
      <c r="AC725" s="16">
        <v>7670</v>
      </c>
      <c r="AD725" s="31">
        <v>34669</v>
      </c>
      <c r="AE725" s="16">
        <v>26834</v>
      </c>
      <c r="AF725" s="16">
        <v>7747</v>
      </c>
      <c r="AG725" s="31">
        <v>34581</v>
      </c>
      <c r="AH725" s="16">
        <v>34967</v>
      </c>
      <c r="AI725" s="16">
        <v>7796</v>
      </c>
      <c r="AJ725" s="31">
        <v>42763</v>
      </c>
      <c r="AK725" s="16">
        <v>34206</v>
      </c>
      <c r="AL725" s="16">
        <v>5686</v>
      </c>
      <c r="AM725" s="31">
        <v>39892</v>
      </c>
      <c r="AN725" s="16">
        <v>39142</v>
      </c>
      <c r="AO725" s="16">
        <v>6236</v>
      </c>
      <c r="AP725" s="31">
        <v>45378</v>
      </c>
      <c r="AQ725" s="42"/>
      <c r="AR725" s="43"/>
      <c r="AS725" s="42"/>
      <c r="AT725" s="42"/>
    </row>
    <row r="726" spans="1:46" ht="12.9" customHeight="1" x14ac:dyDescent="0.25">
      <c r="A726" s="28" t="s">
        <v>1483</v>
      </c>
      <c r="B726" s="29" t="s">
        <v>1484</v>
      </c>
      <c r="C726" s="30" t="s">
        <v>23</v>
      </c>
      <c r="D726" s="40">
        <v>12403</v>
      </c>
      <c r="E726" s="26">
        <v>417</v>
      </c>
      <c r="F726" s="26">
        <f t="shared" si="22"/>
        <v>12820</v>
      </c>
      <c r="G726" s="40">
        <v>12828</v>
      </c>
      <c r="H726" s="26">
        <v>316</v>
      </c>
      <c r="I726" s="27">
        <f t="shared" si="23"/>
        <v>13144</v>
      </c>
      <c r="J726" s="40">
        <v>16523</v>
      </c>
      <c r="K726" s="26">
        <v>518</v>
      </c>
      <c r="L726" s="27">
        <v>17041</v>
      </c>
      <c r="M726" s="26">
        <v>15261</v>
      </c>
      <c r="N726" s="26">
        <v>786</v>
      </c>
      <c r="O726" s="27">
        <v>16047</v>
      </c>
      <c r="P726" s="26">
        <v>14634</v>
      </c>
      <c r="Q726" s="26">
        <v>971</v>
      </c>
      <c r="R726" s="27">
        <v>15605</v>
      </c>
      <c r="S726" s="26">
        <v>16714</v>
      </c>
      <c r="T726" s="26">
        <v>1934</v>
      </c>
      <c r="U726" s="27">
        <v>18648</v>
      </c>
      <c r="V726" s="26">
        <v>15704</v>
      </c>
      <c r="W726" s="26">
        <v>996</v>
      </c>
      <c r="X726" s="31">
        <v>16700</v>
      </c>
      <c r="Y726" s="16">
        <v>15927</v>
      </c>
      <c r="Z726" s="16">
        <v>936</v>
      </c>
      <c r="AA726" s="31">
        <v>16863</v>
      </c>
      <c r="AB726" s="32">
        <v>16073</v>
      </c>
      <c r="AC726" s="16">
        <v>289</v>
      </c>
      <c r="AD726" s="31">
        <v>16362</v>
      </c>
      <c r="AE726" s="16">
        <v>17385</v>
      </c>
      <c r="AF726" s="16">
        <v>1229</v>
      </c>
      <c r="AG726" s="31">
        <v>18614</v>
      </c>
      <c r="AH726" s="16">
        <v>14802</v>
      </c>
      <c r="AI726" s="16">
        <v>1119</v>
      </c>
      <c r="AJ726" s="31">
        <v>15921</v>
      </c>
      <c r="AK726" s="16">
        <v>20876</v>
      </c>
      <c r="AL726" s="16">
        <v>9790</v>
      </c>
      <c r="AM726" s="31">
        <v>30666</v>
      </c>
      <c r="AN726" s="16">
        <v>27430</v>
      </c>
      <c r="AO726" s="16">
        <v>20997</v>
      </c>
      <c r="AP726" s="31">
        <v>48427</v>
      </c>
      <c r="AQ726" s="42"/>
      <c r="AR726" s="43"/>
      <c r="AS726" s="42"/>
      <c r="AT726" s="42"/>
    </row>
    <row r="727" spans="1:46" ht="12.9" customHeight="1" x14ac:dyDescent="0.25">
      <c r="A727" s="28" t="s">
        <v>1485</v>
      </c>
      <c r="B727" s="29" t="s">
        <v>1486</v>
      </c>
      <c r="C727" s="30" t="s">
        <v>384</v>
      </c>
      <c r="D727" s="40">
        <v>29146</v>
      </c>
      <c r="E727" s="26">
        <v>14743</v>
      </c>
      <c r="F727" s="26">
        <f t="shared" si="22"/>
        <v>43889</v>
      </c>
      <c r="G727" s="40">
        <v>30695</v>
      </c>
      <c r="H727" s="26">
        <v>14565</v>
      </c>
      <c r="I727" s="27">
        <f t="shared" si="23"/>
        <v>45260</v>
      </c>
      <c r="J727" s="40">
        <v>32786</v>
      </c>
      <c r="K727" s="26">
        <v>14688</v>
      </c>
      <c r="L727" s="27">
        <v>47474</v>
      </c>
      <c r="M727" s="26">
        <v>32616</v>
      </c>
      <c r="N727" s="26">
        <v>14562</v>
      </c>
      <c r="O727" s="27">
        <v>47178</v>
      </c>
      <c r="P727" s="26">
        <v>32109</v>
      </c>
      <c r="Q727" s="26">
        <v>13047</v>
      </c>
      <c r="R727" s="27">
        <v>45156</v>
      </c>
      <c r="S727" s="26">
        <v>31633</v>
      </c>
      <c r="T727" s="26">
        <v>17593</v>
      </c>
      <c r="U727" s="27">
        <v>49226</v>
      </c>
      <c r="V727" s="26">
        <v>30414</v>
      </c>
      <c r="W727" s="26">
        <v>15016</v>
      </c>
      <c r="X727" s="31">
        <v>45430</v>
      </c>
      <c r="Y727" s="16">
        <v>30716</v>
      </c>
      <c r="Z727" s="16">
        <v>14602</v>
      </c>
      <c r="AA727" s="31">
        <v>45318</v>
      </c>
      <c r="AB727" s="32">
        <v>30302</v>
      </c>
      <c r="AC727" s="16">
        <v>13260</v>
      </c>
      <c r="AD727" s="31">
        <v>43562</v>
      </c>
      <c r="AE727" s="16">
        <v>30700</v>
      </c>
      <c r="AF727" s="16">
        <v>13047</v>
      </c>
      <c r="AG727" s="31">
        <v>43747</v>
      </c>
      <c r="AH727" s="16">
        <v>29567</v>
      </c>
      <c r="AI727" s="16">
        <v>12524</v>
      </c>
      <c r="AJ727" s="31">
        <v>42091</v>
      </c>
      <c r="AK727" s="16">
        <v>30847</v>
      </c>
      <c r="AL727" s="16">
        <v>13373</v>
      </c>
      <c r="AM727" s="31">
        <v>44220</v>
      </c>
      <c r="AN727" s="16">
        <v>30876</v>
      </c>
      <c r="AO727" s="16">
        <v>28292</v>
      </c>
      <c r="AP727" s="31">
        <v>59168</v>
      </c>
      <c r="AQ727" s="42"/>
      <c r="AR727" s="43"/>
      <c r="AS727" s="42"/>
      <c r="AT727" s="42"/>
    </row>
    <row r="728" spans="1:46" ht="12.9" customHeight="1" x14ac:dyDescent="0.25">
      <c r="A728" s="28" t="s">
        <v>1487</v>
      </c>
      <c r="B728" s="29" t="s">
        <v>1488</v>
      </c>
      <c r="C728" s="30" t="s">
        <v>409</v>
      </c>
      <c r="D728" s="40">
        <v>1359527</v>
      </c>
      <c r="E728" s="26">
        <v>301966</v>
      </c>
      <c r="F728" s="26">
        <f t="shared" si="22"/>
        <v>1661493</v>
      </c>
      <c r="G728" s="40">
        <v>1356298</v>
      </c>
      <c r="H728" s="26">
        <v>321731</v>
      </c>
      <c r="I728" s="27">
        <f t="shared" si="23"/>
        <v>1678029</v>
      </c>
      <c r="J728" s="40">
        <v>1473303</v>
      </c>
      <c r="K728" s="26">
        <v>296783</v>
      </c>
      <c r="L728" s="27">
        <v>1770086</v>
      </c>
      <c r="M728" s="26">
        <v>1513420</v>
      </c>
      <c r="N728" s="26">
        <v>304683</v>
      </c>
      <c r="O728" s="27">
        <v>1818103</v>
      </c>
      <c r="P728" s="26">
        <v>1554664</v>
      </c>
      <c r="Q728" s="26">
        <v>277141</v>
      </c>
      <c r="R728" s="27">
        <v>1831805</v>
      </c>
      <c r="S728" s="26">
        <v>1402891</v>
      </c>
      <c r="T728" s="26">
        <v>319486</v>
      </c>
      <c r="U728" s="27">
        <v>1722377</v>
      </c>
      <c r="V728" s="26">
        <v>1404588</v>
      </c>
      <c r="W728" s="26">
        <v>297166</v>
      </c>
      <c r="X728" s="31">
        <v>1701754</v>
      </c>
      <c r="Y728" s="16">
        <v>1355430</v>
      </c>
      <c r="Z728" s="16">
        <v>298114</v>
      </c>
      <c r="AA728" s="31">
        <v>1653544</v>
      </c>
      <c r="AB728" s="32">
        <v>1429060</v>
      </c>
      <c r="AC728" s="16">
        <v>280562</v>
      </c>
      <c r="AD728" s="31">
        <v>1709622</v>
      </c>
      <c r="AE728" s="16">
        <v>1279530</v>
      </c>
      <c r="AF728" s="16">
        <v>263455</v>
      </c>
      <c r="AG728" s="31">
        <v>1542985</v>
      </c>
      <c r="AH728" s="16">
        <v>1348828</v>
      </c>
      <c r="AI728" s="16">
        <v>220260</v>
      </c>
      <c r="AJ728" s="31">
        <v>1569088</v>
      </c>
      <c r="AK728" s="16">
        <v>1386287</v>
      </c>
      <c r="AL728" s="16">
        <v>212090</v>
      </c>
      <c r="AM728" s="31">
        <v>1598377</v>
      </c>
      <c r="AN728" s="16">
        <v>1425951</v>
      </c>
      <c r="AO728" s="16">
        <v>204029</v>
      </c>
      <c r="AP728" s="31">
        <v>1629980</v>
      </c>
      <c r="AQ728" s="42"/>
      <c r="AR728" s="43"/>
      <c r="AS728" s="42"/>
      <c r="AT728" s="42"/>
    </row>
    <row r="729" spans="1:46" ht="12.9" customHeight="1" x14ac:dyDescent="0.25">
      <c r="A729" s="28" t="s">
        <v>1489</v>
      </c>
      <c r="B729" s="29" t="s">
        <v>1490</v>
      </c>
      <c r="C729" s="30" t="s">
        <v>191</v>
      </c>
      <c r="D729" s="40">
        <v>93271</v>
      </c>
      <c r="E729" s="26">
        <v>68255</v>
      </c>
      <c r="F729" s="26">
        <f t="shared" si="22"/>
        <v>161526</v>
      </c>
      <c r="G729" s="40">
        <v>93271</v>
      </c>
      <c r="H729" s="26">
        <v>63945</v>
      </c>
      <c r="I729" s="27">
        <f t="shared" si="23"/>
        <v>157216</v>
      </c>
      <c r="J729" s="40">
        <v>98850</v>
      </c>
      <c r="K729" s="26">
        <v>73466</v>
      </c>
      <c r="L729" s="27">
        <v>172316</v>
      </c>
      <c r="M729" s="26">
        <v>100063</v>
      </c>
      <c r="N729" s="26">
        <v>62995</v>
      </c>
      <c r="O729" s="27">
        <v>163058</v>
      </c>
      <c r="P729" s="26">
        <v>95817</v>
      </c>
      <c r="Q729" s="26">
        <v>57747</v>
      </c>
      <c r="R729" s="27">
        <v>153564</v>
      </c>
      <c r="S729" s="26">
        <v>95817</v>
      </c>
      <c r="T729" s="26">
        <v>62702</v>
      </c>
      <c r="U729" s="27">
        <v>158519</v>
      </c>
      <c r="V729" s="26">
        <v>90866</v>
      </c>
      <c r="W729" s="26">
        <v>51345</v>
      </c>
      <c r="X729" s="31">
        <v>142211</v>
      </c>
      <c r="Y729" s="16">
        <v>93784</v>
      </c>
      <c r="Z729" s="16">
        <v>47413</v>
      </c>
      <c r="AA729" s="31">
        <v>141197</v>
      </c>
      <c r="AB729" s="32">
        <v>99434</v>
      </c>
      <c r="AC729" s="16">
        <v>43227</v>
      </c>
      <c r="AD729" s="31">
        <v>142661</v>
      </c>
      <c r="AE729" s="16">
        <v>89496</v>
      </c>
      <c r="AF729" s="16">
        <v>50673</v>
      </c>
      <c r="AG729" s="31">
        <v>140169</v>
      </c>
      <c r="AH729" s="16">
        <v>90647</v>
      </c>
      <c r="AI729" s="16">
        <v>42868</v>
      </c>
      <c r="AJ729" s="31">
        <v>133515</v>
      </c>
      <c r="AK729" s="16">
        <v>91014</v>
      </c>
      <c r="AL729" s="16">
        <v>44879</v>
      </c>
      <c r="AM729" s="31">
        <v>135893</v>
      </c>
      <c r="AN729" s="16">
        <v>95242</v>
      </c>
      <c r="AO729" s="16">
        <v>36462</v>
      </c>
      <c r="AP729" s="31">
        <v>131704</v>
      </c>
      <c r="AQ729" s="42"/>
      <c r="AR729" s="43"/>
      <c r="AS729" s="42"/>
      <c r="AT729" s="42"/>
    </row>
    <row r="730" spans="1:46" ht="12.9" customHeight="1" x14ac:dyDescent="0.25">
      <c r="A730" s="28" t="s">
        <v>1491</v>
      </c>
      <c r="B730" s="29" t="s">
        <v>1492</v>
      </c>
      <c r="C730" s="30" t="s">
        <v>113</v>
      </c>
      <c r="D730" s="40">
        <v>73920</v>
      </c>
      <c r="E730" s="26">
        <v>87201</v>
      </c>
      <c r="F730" s="26">
        <f t="shared" si="22"/>
        <v>161121</v>
      </c>
      <c r="G730" s="40">
        <v>78894</v>
      </c>
      <c r="H730" s="26">
        <v>88789</v>
      </c>
      <c r="I730" s="27">
        <f t="shared" si="23"/>
        <v>167683</v>
      </c>
      <c r="J730" s="40">
        <v>83945</v>
      </c>
      <c r="K730" s="26">
        <v>105671</v>
      </c>
      <c r="L730" s="27">
        <v>189616</v>
      </c>
      <c r="M730" s="26">
        <v>86827</v>
      </c>
      <c r="N730" s="26">
        <v>85137</v>
      </c>
      <c r="O730" s="27">
        <v>171964</v>
      </c>
      <c r="P730" s="26">
        <v>84024</v>
      </c>
      <c r="Q730" s="26">
        <v>73031</v>
      </c>
      <c r="R730" s="27">
        <v>157055</v>
      </c>
      <c r="S730" s="26">
        <v>78311</v>
      </c>
      <c r="T730" s="26">
        <v>104325</v>
      </c>
      <c r="U730" s="27">
        <v>182636</v>
      </c>
      <c r="V730" s="26">
        <v>73210</v>
      </c>
      <c r="W730" s="26">
        <v>101946</v>
      </c>
      <c r="X730" s="31">
        <v>175156</v>
      </c>
      <c r="Y730" s="16">
        <v>78379</v>
      </c>
      <c r="Z730" s="16">
        <v>108535</v>
      </c>
      <c r="AA730" s="31">
        <v>186914</v>
      </c>
      <c r="AB730" s="32">
        <v>77340</v>
      </c>
      <c r="AC730" s="16">
        <v>99093</v>
      </c>
      <c r="AD730" s="31">
        <v>176433</v>
      </c>
      <c r="AE730" s="16">
        <v>77098</v>
      </c>
      <c r="AF730" s="16">
        <v>104508</v>
      </c>
      <c r="AG730" s="31">
        <v>181606</v>
      </c>
      <c r="AH730" s="16">
        <v>74213</v>
      </c>
      <c r="AI730" s="16">
        <v>78064</v>
      </c>
      <c r="AJ730" s="31">
        <v>152277</v>
      </c>
      <c r="AK730" s="16">
        <v>76387</v>
      </c>
      <c r="AL730" s="16">
        <v>72226</v>
      </c>
      <c r="AM730" s="31">
        <v>148613</v>
      </c>
      <c r="AN730" s="16">
        <v>87065</v>
      </c>
      <c r="AO730" s="16">
        <v>152657</v>
      </c>
      <c r="AP730" s="31">
        <v>239722</v>
      </c>
      <c r="AQ730" s="42"/>
      <c r="AR730" s="43"/>
      <c r="AS730" s="42"/>
      <c r="AT730" s="42"/>
    </row>
    <row r="731" spans="1:46" ht="12.9" customHeight="1" x14ac:dyDescent="0.25">
      <c r="A731" s="28" t="s">
        <v>1493</v>
      </c>
      <c r="B731" s="29" t="s">
        <v>1494</v>
      </c>
      <c r="C731" s="30" t="s">
        <v>26</v>
      </c>
      <c r="D731" s="40">
        <v>193508</v>
      </c>
      <c r="E731" s="26">
        <v>67266</v>
      </c>
      <c r="F731" s="26">
        <f t="shared" si="22"/>
        <v>260774</v>
      </c>
      <c r="G731" s="40">
        <v>216436</v>
      </c>
      <c r="H731" s="26">
        <v>73962</v>
      </c>
      <c r="I731" s="27">
        <f t="shared" si="23"/>
        <v>290398</v>
      </c>
      <c r="J731" s="40">
        <v>238434</v>
      </c>
      <c r="K731" s="26">
        <v>102154</v>
      </c>
      <c r="L731" s="27">
        <v>340588</v>
      </c>
      <c r="M731" s="26">
        <v>235192</v>
      </c>
      <c r="N731" s="26">
        <v>118396</v>
      </c>
      <c r="O731" s="27">
        <v>353588</v>
      </c>
      <c r="P731" s="26">
        <v>235801</v>
      </c>
      <c r="Q731" s="26">
        <v>89470</v>
      </c>
      <c r="R731" s="27">
        <v>325271</v>
      </c>
      <c r="S731" s="26">
        <v>221845</v>
      </c>
      <c r="T731" s="26">
        <v>116927</v>
      </c>
      <c r="U731" s="27">
        <v>338772</v>
      </c>
      <c r="V731" s="26">
        <v>228115</v>
      </c>
      <c r="W731" s="26">
        <v>89911</v>
      </c>
      <c r="X731" s="31">
        <v>318026</v>
      </c>
      <c r="Y731" s="16">
        <v>222056</v>
      </c>
      <c r="Z731" s="16">
        <v>87256</v>
      </c>
      <c r="AA731" s="31">
        <v>309312</v>
      </c>
      <c r="AB731" s="32">
        <v>212001</v>
      </c>
      <c r="AC731" s="16">
        <v>102747</v>
      </c>
      <c r="AD731" s="31">
        <v>314748</v>
      </c>
      <c r="AE731" s="16">
        <v>223538</v>
      </c>
      <c r="AF731" s="16">
        <v>100779</v>
      </c>
      <c r="AG731" s="31">
        <v>324317</v>
      </c>
      <c r="AH731" s="16">
        <v>203745</v>
      </c>
      <c r="AI731" s="16">
        <v>150932</v>
      </c>
      <c r="AJ731" s="31">
        <v>354677</v>
      </c>
      <c r="AK731" s="16">
        <v>203763</v>
      </c>
      <c r="AL731" s="16">
        <v>104862</v>
      </c>
      <c r="AM731" s="31">
        <v>308625</v>
      </c>
      <c r="AN731" s="16">
        <v>244375</v>
      </c>
      <c r="AO731" s="16">
        <v>145282</v>
      </c>
      <c r="AP731" s="31">
        <v>389657</v>
      </c>
      <c r="AQ731" s="42"/>
      <c r="AR731" s="43"/>
      <c r="AS731" s="42"/>
      <c r="AT731" s="42"/>
    </row>
    <row r="732" spans="1:46" ht="12.9" customHeight="1" x14ac:dyDescent="0.25">
      <c r="A732" s="28" t="s">
        <v>1495</v>
      </c>
      <c r="B732" s="29" t="s">
        <v>1496</v>
      </c>
      <c r="C732" s="30" t="s">
        <v>23</v>
      </c>
      <c r="D732" s="40">
        <v>98237</v>
      </c>
      <c r="E732" s="26">
        <v>259136</v>
      </c>
      <c r="F732" s="26">
        <f t="shared" si="22"/>
        <v>357373</v>
      </c>
      <c r="G732" s="40">
        <v>96033</v>
      </c>
      <c r="H732" s="26">
        <v>275534</v>
      </c>
      <c r="I732" s="27">
        <f t="shared" si="23"/>
        <v>371567</v>
      </c>
      <c r="J732" s="40">
        <v>101806</v>
      </c>
      <c r="K732" s="26">
        <v>378110</v>
      </c>
      <c r="L732" s="27">
        <v>479916</v>
      </c>
      <c r="M732" s="26">
        <v>99074</v>
      </c>
      <c r="N732" s="26">
        <v>317356</v>
      </c>
      <c r="O732" s="27">
        <v>416430</v>
      </c>
      <c r="P732" s="26">
        <v>105516</v>
      </c>
      <c r="Q732" s="26">
        <v>202189</v>
      </c>
      <c r="R732" s="27">
        <v>307705</v>
      </c>
      <c r="S732" s="26">
        <v>87874</v>
      </c>
      <c r="T732" s="26">
        <v>321883</v>
      </c>
      <c r="U732" s="27">
        <v>409757</v>
      </c>
      <c r="V732" s="26">
        <v>81101</v>
      </c>
      <c r="W732" s="26">
        <v>294136</v>
      </c>
      <c r="X732" s="31">
        <v>375237</v>
      </c>
      <c r="Y732" s="16">
        <v>79770</v>
      </c>
      <c r="Z732" s="16">
        <v>316689</v>
      </c>
      <c r="AA732" s="31">
        <v>396459</v>
      </c>
      <c r="AB732" s="32">
        <v>84044</v>
      </c>
      <c r="AC732" s="16">
        <v>306803</v>
      </c>
      <c r="AD732" s="31">
        <v>390847</v>
      </c>
      <c r="AE732" s="16">
        <v>81433</v>
      </c>
      <c r="AF732" s="16">
        <v>289390</v>
      </c>
      <c r="AG732" s="31">
        <v>370823</v>
      </c>
      <c r="AH732" s="16">
        <v>77076</v>
      </c>
      <c r="AI732" s="16">
        <v>300362</v>
      </c>
      <c r="AJ732" s="31">
        <v>377438</v>
      </c>
      <c r="AK732" s="16">
        <v>73540</v>
      </c>
      <c r="AL732" s="16">
        <v>260748</v>
      </c>
      <c r="AM732" s="31">
        <v>334288</v>
      </c>
      <c r="AN732" s="16">
        <v>80054</v>
      </c>
      <c r="AO732" s="16">
        <v>341686</v>
      </c>
      <c r="AP732" s="31">
        <v>421740</v>
      </c>
      <c r="AQ732" s="42"/>
      <c r="AR732" s="43"/>
      <c r="AS732" s="42"/>
      <c r="AT732" s="42"/>
    </row>
    <row r="733" spans="1:46" ht="12.9" customHeight="1" x14ac:dyDescent="0.25">
      <c r="A733" s="28" t="s">
        <v>1497</v>
      </c>
      <c r="B733" s="29" t="s">
        <v>1498</v>
      </c>
      <c r="C733" s="30" t="s">
        <v>153</v>
      </c>
      <c r="D733" s="40">
        <v>8646</v>
      </c>
      <c r="E733" s="26">
        <v>21880</v>
      </c>
      <c r="F733" s="26">
        <f t="shared" si="22"/>
        <v>30526</v>
      </c>
      <c r="G733" s="40">
        <v>7282</v>
      </c>
      <c r="H733" s="26">
        <v>16114</v>
      </c>
      <c r="I733" s="27">
        <f t="shared" si="23"/>
        <v>23396</v>
      </c>
      <c r="J733" s="40">
        <v>8639</v>
      </c>
      <c r="K733" s="26">
        <v>20901</v>
      </c>
      <c r="L733" s="27">
        <v>29540</v>
      </c>
      <c r="M733" s="26">
        <v>8714</v>
      </c>
      <c r="N733" s="26">
        <v>26484</v>
      </c>
      <c r="O733" s="27">
        <v>35198</v>
      </c>
      <c r="P733" s="26">
        <v>8296</v>
      </c>
      <c r="Q733" s="26">
        <v>21299</v>
      </c>
      <c r="R733" s="27">
        <v>29595</v>
      </c>
      <c r="S733" s="26">
        <v>8370</v>
      </c>
      <c r="T733" s="26">
        <v>22499</v>
      </c>
      <c r="U733" s="27">
        <v>30869</v>
      </c>
      <c r="V733" s="26">
        <v>7227</v>
      </c>
      <c r="W733" s="26">
        <v>21249</v>
      </c>
      <c r="X733" s="31">
        <v>28476</v>
      </c>
      <c r="Y733" s="16">
        <v>8598</v>
      </c>
      <c r="Z733" s="16">
        <v>17070</v>
      </c>
      <c r="AA733" s="31">
        <v>25668</v>
      </c>
      <c r="AB733" s="32">
        <v>8696</v>
      </c>
      <c r="AC733" s="16">
        <v>15034</v>
      </c>
      <c r="AD733" s="31">
        <v>23730</v>
      </c>
      <c r="AE733" s="16">
        <v>6897</v>
      </c>
      <c r="AF733" s="16">
        <v>14359</v>
      </c>
      <c r="AG733" s="31">
        <v>21256</v>
      </c>
      <c r="AH733" s="16">
        <v>7400</v>
      </c>
      <c r="AI733" s="16">
        <v>19904</v>
      </c>
      <c r="AJ733" s="31">
        <v>27304</v>
      </c>
      <c r="AK733" s="16">
        <v>6996</v>
      </c>
      <c r="AL733" s="16">
        <v>19003</v>
      </c>
      <c r="AM733" s="31">
        <v>25999</v>
      </c>
      <c r="AN733" s="16">
        <v>8865</v>
      </c>
      <c r="AO733" s="16">
        <v>27947</v>
      </c>
      <c r="AP733" s="31">
        <v>36812</v>
      </c>
      <c r="AQ733" s="42"/>
      <c r="AR733" s="43"/>
      <c r="AS733" s="42"/>
      <c r="AT733" s="42"/>
    </row>
    <row r="734" spans="1:46" ht="12.9" customHeight="1" x14ac:dyDescent="0.25">
      <c r="A734" s="28" t="s">
        <v>1499</v>
      </c>
      <c r="B734" s="29" t="s">
        <v>1500</v>
      </c>
      <c r="C734" s="30" t="s">
        <v>80</v>
      </c>
      <c r="D734" s="40">
        <v>325301</v>
      </c>
      <c r="E734" s="26">
        <v>79505</v>
      </c>
      <c r="F734" s="26">
        <f t="shared" si="22"/>
        <v>404806</v>
      </c>
      <c r="G734" s="40">
        <v>343182</v>
      </c>
      <c r="H734" s="26">
        <v>85877</v>
      </c>
      <c r="I734" s="27">
        <f t="shared" si="23"/>
        <v>429059</v>
      </c>
      <c r="J734" s="40">
        <v>376304</v>
      </c>
      <c r="K734" s="26">
        <v>87715</v>
      </c>
      <c r="L734" s="27">
        <v>464019</v>
      </c>
      <c r="M734" s="26">
        <v>372631</v>
      </c>
      <c r="N734" s="26">
        <v>87806</v>
      </c>
      <c r="O734" s="27">
        <v>460437</v>
      </c>
      <c r="P734" s="26">
        <v>361795</v>
      </c>
      <c r="Q734" s="26">
        <v>72516</v>
      </c>
      <c r="R734" s="27">
        <v>434311</v>
      </c>
      <c r="S734" s="26">
        <v>354875</v>
      </c>
      <c r="T734" s="26">
        <v>103118</v>
      </c>
      <c r="U734" s="27">
        <v>457993</v>
      </c>
      <c r="V734" s="26">
        <v>340348</v>
      </c>
      <c r="W734" s="26">
        <v>110290</v>
      </c>
      <c r="X734" s="31">
        <v>450638</v>
      </c>
      <c r="Y734" s="16">
        <v>375178</v>
      </c>
      <c r="Z734" s="16">
        <v>108497</v>
      </c>
      <c r="AA734" s="31">
        <v>483675</v>
      </c>
      <c r="AB734" s="32">
        <v>366506</v>
      </c>
      <c r="AC734" s="16">
        <v>107342</v>
      </c>
      <c r="AD734" s="31">
        <v>473848</v>
      </c>
      <c r="AE734" s="16">
        <v>345519</v>
      </c>
      <c r="AF734" s="16">
        <v>107468</v>
      </c>
      <c r="AG734" s="31">
        <v>452987</v>
      </c>
      <c r="AH734" s="16">
        <v>334203</v>
      </c>
      <c r="AI734" s="16">
        <v>101688</v>
      </c>
      <c r="AJ734" s="31">
        <v>435891</v>
      </c>
      <c r="AK734" s="16">
        <v>340414</v>
      </c>
      <c r="AL734" s="16">
        <v>104336</v>
      </c>
      <c r="AM734" s="31">
        <v>444750</v>
      </c>
      <c r="AN734" s="16">
        <v>366633</v>
      </c>
      <c r="AO734" s="16">
        <v>112406</v>
      </c>
      <c r="AP734" s="31">
        <v>479039</v>
      </c>
      <c r="AQ734" s="42"/>
      <c r="AR734" s="43"/>
      <c r="AS734" s="42"/>
      <c r="AT734" s="42"/>
    </row>
    <row r="735" spans="1:46" ht="12.9" customHeight="1" x14ac:dyDescent="0.25">
      <c r="A735" s="28" t="s">
        <v>1501</v>
      </c>
      <c r="B735" s="29" t="s">
        <v>1502</v>
      </c>
      <c r="C735" s="30" t="s">
        <v>191</v>
      </c>
      <c r="D735" s="40">
        <v>79337</v>
      </c>
      <c r="E735" s="26">
        <v>85130</v>
      </c>
      <c r="F735" s="26">
        <f t="shared" si="22"/>
        <v>164467</v>
      </c>
      <c r="G735" s="40">
        <v>84798</v>
      </c>
      <c r="H735" s="26">
        <v>69084</v>
      </c>
      <c r="I735" s="27">
        <f t="shared" si="23"/>
        <v>153882</v>
      </c>
      <c r="J735" s="40">
        <v>96332</v>
      </c>
      <c r="K735" s="26">
        <v>72831</v>
      </c>
      <c r="L735" s="27">
        <v>169163</v>
      </c>
      <c r="M735" s="26">
        <v>93590</v>
      </c>
      <c r="N735" s="26">
        <v>59255</v>
      </c>
      <c r="O735" s="27">
        <v>152845</v>
      </c>
      <c r="P735" s="26">
        <v>100896</v>
      </c>
      <c r="Q735" s="26">
        <v>40716</v>
      </c>
      <c r="R735" s="27">
        <v>141612</v>
      </c>
      <c r="S735" s="26">
        <v>83696</v>
      </c>
      <c r="T735" s="26">
        <v>34050</v>
      </c>
      <c r="U735" s="27">
        <v>117746</v>
      </c>
      <c r="V735" s="26">
        <v>80902</v>
      </c>
      <c r="W735" s="26">
        <v>35503</v>
      </c>
      <c r="X735" s="31">
        <v>116405</v>
      </c>
      <c r="Y735" s="16">
        <v>85176</v>
      </c>
      <c r="Z735" s="16">
        <v>35683</v>
      </c>
      <c r="AA735" s="31">
        <v>120859</v>
      </c>
      <c r="AB735" s="32">
        <v>84015</v>
      </c>
      <c r="AC735" s="16">
        <v>40883</v>
      </c>
      <c r="AD735" s="31">
        <v>124898</v>
      </c>
      <c r="AE735" s="16">
        <v>82105</v>
      </c>
      <c r="AF735" s="16">
        <v>40371</v>
      </c>
      <c r="AG735" s="31">
        <v>122476</v>
      </c>
      <c r="AH735" s="16">
        <v>82059</v>
      </c>
      <c r="AI735" s="16">
        <v>38081</v>
      </c>
      <c r="AJ735" s="31">
        <v>120140</v>
      </c>
      <c r="AK735" s="16">
        <v>86790</v>
      </c>
      <c r="AL735" s="16">
        <v>48666</v>
      </c>
      <c r="AM735" s="31">
        <v>135456</v>
      </c>
      <c r="AN735" s="16">
        <v>88321</v>
      </c>
      <c r="AO735" s="16">
        <v>46206</v>
      </c>
      <c r="AP735" s="31">
        <v>134527</v>
      </c>
      <c r="AQ735" s="42"/>
      <c r="AR735" s="43"/>
      <c r="AS735" s="42"/>
      <c r="AT735" s="42"/>
    </row>
    <row r="736" spans="1:46" ht="12.9" customHeight="1" x14ac:dyDescent="0.25">
      <c r="A736" s="28" t="s">
        <v>1503</v>
      </c>
      <c r="B736" s="29" t="s">
        <v>1504</v>
      </c>
      <c r="C736" s="30" t="s">
        <v>113</v>
      </c>
      <c r="D736" s="40">
        <v>76882</v>
      </c>
      <c r="E736" s="26">
        <v>24372</v>
      </c>
      <c r="F736" s="26">
        <f t="shared" si="22"/>
        <v>101254</v>
      </c>
      <c r="G736" s="40">
        <v>80398</v>
      </c>
      <c r="H736" s="26">
        <v>24868</v>
      </c>
      <c r="I736" s="27">
        <f t="shared" si="23"/>
        <v>105266</v>
      </c>
      <c r="J736" s="40">
        <v>82932</v>
      </c>
      <c r="K736" s="26">
        <v>24450</v>
      </c>
      <c r="L736" s="27">
        <v>107382</v>
      </c>
      <c r="M736" s="26">
        <v>85176</v>
      </c>
      <c r="N736" s="26">
        <v>13026</v>
      </c>
      <c r="O736" s="27">
        <v>98202</v>
      </c>
      <c r="P736" s="26">
        <v>80840</v>
      </c>
      <c r="Q736" s="26">
        <v>14951</v>
      </c>
      <c r="R736" s="27">
        <v>95791</v>
      </c>
      <c r="S736" s="26">
        <v>80840</v>
      </c>
      <c r="T736" s="26">
        <v>15094</v>
      </c>
      <c r="U736" s="27">
        <v>95934</v>
      </c>
      <c r="V736" s="26">
        <v>81314</v>
      </c>
      <c r="W736" s="26">
        <v>19572</v>
      </c>
      <c r="X736" s="31">
        <v>100886</v>
      </c>
      <c r="Y736" s="16">
        <v>81314</v>
      </c>
      <c r="Z736" s="16">
        <v>20462</v>
      </c>
      <c r="AA736" s="31">
        <v>101776</v>
      </c>
      <c r="AB736" s="32">
        <v>76096</v>
      </c>
      <c r="AC736" s="16">
        <v>17824</v>
      </c>
      <c r="AD736" s="31">
        <v>93920</v>
      </c>
      <c r="AE736" s="16">
        <v>76096</v>
      </c>
      <c r="AF736" s="16">
        <v>17937</v>
      </c>
      <c r="AG736" s="31">
        <v>94033</v>
      </c>
      <c r="AH736" s="16">
        <v>91689</v>
      </c>
      <c r="AI736" s="16">
        <v>26551</v>
      </c>
      <c r="AJ736" s="31">
        <v>118240</v>
      </c>
      <c r="AK736" s="16">
        <v>91689</v>
      </c>
      <c r="AL736" s="16">
        <v>25919</v>
      </c>
      <c r="AM736" s="31">
        <v>117608</v>
      </c>
      <c r="AN736" s="16">
        <v>91689</v>
      </c>
      <c r="AO736" s="16">
        <v>23188</v>
      </c>
      <c r="AP736" s="31">
        <v>114877</v>
      </c>
      <c r="AQ736" s="42"/>
      <c r="AR736" s="43"/>
      <c r="AS736" s="42"/>
      <c r="AT736" s="42"/>
    </row>
    <row r="737" spans="1:46" ht="12.9" customHeight="1" x14ac:dyDescent="0.25">
      <c r="A737" s="28" t="s">
        <v>1505</v>
      </c>
      <c r="B737" s="29" t="s">
        <v>1506</v>
      </c>
      <c r="C737" s="30" t="s">
        <v>197</v>
      </c>
      <c r="D737" s="40">
        <v>764589</v>
      </c>
      <c r="E737" s="26">
        <v>278773</v>
      </c>
      <c r="F737" s="26">
        <f t="shared" si="22"/>
        <v>1043362</v>
      </c>
      <c r="G737" s="40">
        <v>885550</v>
      </c>
      <c r="H737" s="26">
        <v>399163</v>
      </c>
      <c r="I737" s="27">
        <f t="shared" si="23"/>
        <v>1284713</v>
      </c>
      <c r="J737" s="40">
        <v>963968</v>
      </c>
      <c r="K737" s="26">
        <v>374400</v>
      </c>
      <c r="L737" s="27">
        <v>1338368</v>
      </c>
      <c r="M737" s="26">
        <v>1015304</v>
      </c>
      <c r="N737" s="26">
        <v>346003</v>
      </c>
      <c r="O737" s="27">
        <v>1361307</v>
      </c>
      <c r="P737" s="26">
        <v>1042806</v>
      </c>
      <c r="Q737" s="26">
        <v>317117</v>
      </c>
      <c r="R737" s="27">
        <v>1359923</v>
      </c>
      <c r="S737" s="26">
        <v>979579</v>
      </c>
      <c r="T737" s="26">
        <v>417882</v>
      </c>
      <c r="U737" s="27">
        <v>1397461</v>
      </c>
      <c r="V737" s="26">
        <v>932072</v>
      </c>
      <c r="W737" s="26">
        <v>431725</v>
      </c>
      <c r="X737" s="31">
        <v>1363797</v>
      </c>
      <c r="Y737" s="16">
        <v>967265</v>
      </c>
      <c r="Z737" s="16">
        <v>440045</v>
      </c>
      <c r="AA737" s="31">
        <v>1407310</v>
      </c>
      <c r="AB737" s="32">
        <v>971896</v>
      </c>
      <c r="AC737" s="16">
        <v>448007</v>
      </c>
      <c r="AD737" s="31">
        <v>1419903</v>
      </c>
      <c r="AE737" s="16">
        <v>964916</v>
      </c>
      <c r="AF737" s="16">
        <v>427468</v>
      </c>
      <c r="AG737" s="31">
        <v>1392384</v>
      </c>
      <c r="AH737" s="16">
        <v>942091</v>
      </c>
      <c r="AI737" s="16">
        <v>587495</v>
      </c>
      <c r="AJ737" s="31">
        <v>1529586</v>
      </c>
      <c r="AK737" s="16">
        <v>964664</v>
      </c>
      <c r="AL737" s="16">
        <v>485270</v>
      </c>
      <c r="AM737" s="31">
        <v>1449934</v>
      </c>
      <c r="AN737" s="16">
        <v>947822</v>
      </c>
      <c r="AO737" s="16">
        <v>418802</v>
      </c>
      <c r="AP737" s="31">
        <v>1366624</v>
      </c>
      <c r="AQ737" s="42"/>
      <c r="AR737" s="43"/>
      <c r="AS737" s="42"/>
      <c r="AT737" s="42"/>
    </row>
    <row r="738" spans="1:46" ht="12.9" customHeight="1" x14ac:dyDescent="0.25">
      <c r="A738" s="28" t="s">
        <v>1507</v>
      </c>
      <c r="B738" s="29" t="s">
        <v>1508</v>
      </c>
      <c r="C738" s="30" t="s">
        <v>357</v>
      </c>
      <c r="D738" s="40">
        <v>35295</v>
      </c>
      <c r="E738" s="26">
        <v>15301</v>
      </c>
      <c r="F738" s="26">
        <f t="shared" si="22"/>
        <v>50596</v>
      </c>
      <c r="G738" s="40">
        <v>35889</v>
      </c>
      <c r="H738" s="26">
        <v>26512</v>
      </c>
      <c r="I738" s="27">
        <f t="shared" si="23"/>
        <v>62401</v>
      </c>
      <c r="J738" s="40">
        <v>42227</v>
      </c>
      <c r="K738" s="26">
        <v>20093</v>
      </c>
      <c r="L738" s="27">
        <v>62320</v>
      </c>
      <c r="M738" s="26">
        <v>47607</v>
      </c>
      <c r="N738" s="26">
        <v>16579</v>
      </c>
      <c r="O738" s="27">
        <v>64186</v>
      </c>
      <c r="P738" s="26">
        <v>46808</v>
      </c>
      <c r="Q738" s="26">
        <v>15707</v>
      </c>
      <c r="R738" s="27">
        <v>62515</v>
      </c>
      <c r="S738" s="26">
        <v>40566</v>
      </c>
      <c r="T738" s="26">
        <v>18793</v>
      </c>
      <c r="U738" s="27">
        <v>59359</v>
      </c>
      <c r="V738" s="26">
        <v>39695</v>
      </c>
      <c r="W738" s="26">
        <v>20112</v>
      </c>
      <c r="X738" s="31">
        <v>59807</v>
      </c>
      <c r="Y738" s="16">
        <v>42028</v>
      </c>
      <c r="Z738" s="16">
        <v>20433</v>
      </c>
      <c r="AA738" s="31">
        <v>62461</v>
      </c>
      <c r="AB738" s="32">
        <v>40360</v>
      </c>
      <c r="AC738" s="16">
        <v>14951</v>
      </c>
      <c r="AD738" s="31">
        <v>55311</v>
      </c>
      <c r="AE738" s="16">
        <v>41539</v>
      </c>
      <c r="AF738" s="16">
        <v>15098</v>
      </c>
      <c r="AG738" s="31">
        <v>56637</v>
      </c>
      <c r="AH738" s="16">
        <v>39066</v>
      </c>
      <c r="AI738" s="16">
        <v>14033</v>
      </c>
      <c r="AJ738" s="31">
        <v>53099</v>
      </c>
      <c r="AK738" s="16">
        <v>38670</v>
      </c>
      <c r="AL738" s="16">
        <v>13370</v>
      </c>
      <c r="AM738" s="31">
        <v>52040</v>
      </c>
      <c r="AN738" s="16">
        <v>54135</v>
      </c>
      <c r="AO738" s="16">
        <v>14289</v>
      </c>
      <c r="AP738" s="31">
        <v>68424</v>
      </c>
      <c r="AQ738" s="42"/>
      <c r="AR738" s="43"/>
      <c r="AS738" s="42"/>
      <c r="AT738" s="42"/>
    </row>
    <row r="739" spans="1:46" ht="12.9" customHeight="1" x14ac:dyDescent="0.25">
      <c r="A739" s="28" t="s">
        <v>1509</v>
      </c>
      <c r="B739" s="29" t="s">
        <v>1510</v>
      </c>
      <c r="C739" s="30" t="s">
        <v>281</v>
      </c>
      <c r="D739" s="40">
        <v>18382</v>
      </c>
      <c r="E739" s="26">
        <v>96856</v>
      </c>
      <c r="F739" s="26">
        <f t="shared" si="22"/>
        <v>115238</v>
      </c>
      <c r="G739" s="40">
        <v>18224</v>
      </c>
      <c r="H739" s="26">
        <v>102167</v>
      </c>
      <c r="I739" s="27">
        <f t="shared" si="23"/>
        <v>120391</v>
      </c>
      <c r="J739" s="40">
        <v>19598</v>
      </c>
      <c r="K739" s="26">
        <v>116194</v>
      </c>
      <c r="L739" s="27">
        <v>135792</v>
      </c>
      <c r="M739" s="26">
        <v>18600</v>
      </c>
      <c r="N739" s="26">
        <v>104711</v>
      </c>
      <c r="O739" s="27">
        <v>123311</v>
      </c>
      <c r="P739" s="26">
        <v>19058</v>
      </c>
      <c r="Q739" s="26">
        <v>94529</v>
      </c>
      <c r="R739" s="27">
        <v>113587</v>
      </c>
      <c r="S739" s="26">
        <v>19030</v>
      </c>
      <c r="T739" s="26">
        <v>101632</v>
      </c>
      <c r="U739" s="27">
        <v>120662</v>
      </c>
      <c r="V739" s="26">
        <v>17137</v>
      </c>
      <c r="W739" s="26">
        <v>97058</v>
      </c>
      <c r="X739" s="31">
        <v>114195</v>
      </c>
      <c r="Y739" s="16">
        <v>18742</v>
      </c>
      <c r="Z739" s="16">
        <v>94869</v>
      </c>
      <c r="AA739" s="31">
        <v>113611</v>
      </c>
      <c r="AB739" s="32">
        <v>17730</v>
      </c>
      <c r="AC739" s="16">
        <v>85818</v>
      </c>
      <c r="AD739" s="31">
        <v>103548</v>
      </c>
      <c r="AE739" s="16">
        <v>20430</v>
      </c>
      <c r="AF739" s="16">
        <v>21120</v>
      </c>
      <c r="AG739" s="31">
        <v>41550</v>
      </c>
      <c r="AH739" s="16">
        <v>21420</v>
      </c>
      <c r="AI739" s="16">
        <v>18057</v>
      </c>
      <c r="AJ739" s="31">
        <v>39477</v>
      </c>
      <c r="AK739" s="16">
        <v>18140</v>
      </c>
      <c r="AL739" s="16">
        <v>16489</v>
      </c>
      <c r="AM739" s="31">
        <v>34629</v>
      </c>
      <c r="AN739" s="16">
        <v>22245</v>
      </c>
      <c r="AO739" s="16">
        <v>16811</v>
      </c>
      <c r="AP739" s="31">
        <v>39056</v>
      </c>
      <c r="AQ739" s="42"/>
      <c r="AR739" s="43"/>
      <c r="AS739" s="42"/>
      <c r="AT739" s="42"/>
    </row>
    <row r="740" spans="1:46" ht="12.9" customHeight="1" x14ac:dyDescent="0.25">
      <c r="A740" s="28" t="s">
        <v>1511</v>
      </c>
      <c r="B740" s="29" t="s">
        <v>1512</v>
      </c>
      <c r="C740" s="30" t="s">
        <v>191</v>
      </c>
      <c r="D740" s="40">
        <v>436379</v>
      </c>
      <c r="E740" s="26">
        <v>356706</v>
      </c>
      <c r="F740" s="26">
        <f t="shared" si="22"/>
        <v>793085</v>
      </c>
      <c r="G740" s="40">
        <v>462761</v>
      </c>
      <c r="H740" s="26">
        <v>424449</v>
      </c>
      <c r="I740" s="27">
        <f t="shared" si="23"/>
        <v>887210</v>
      </c>
      <c r="J740" s="40">
        <v>477263</v>
      </c>
      <c r="K740" s="26">
        <v>474103</v>
      </c>
      <c r="L740" s="27">
        <v>951366</v>
      </c>
      <c r="M740" s="26">
        <v>510145</v>
      </c>
      <c r="N740" s="26">
        <v>417979</v>
      </c>
      <c r="O740" s="27">
        <v>928124</v>
      </c>
      <c r="P740" s="26">
        <v>497272</v>
      </c>
      <c r="Q740" s="26">
        <v>411535</v>
      </c>
      <c r="R740" s="27">
        <v>908807</v>
      </c>
      <c r="S740" s="26">
        <v>465885</v>
      </c>
      <c r="T740" s="26">
        <v>425709</v>
      </c>
      <c r="U740" s="27">
        <v>891594</v>
      </c>
      <c r="V740" s="26">
        <v>461278</v>
      </c>
      <c r="W740" s="26">
        <v>491202</v>
      </c>
      <c r="X740" s="31">
        <v>952480</v>
      </c>
      <c r="Y740" s="16">
        <v>470200</v>
      </c>
      <c r="Z740" s="16">
        <v>457678</v>
      </c>
      <c r="AA740" s="31">
        <v>927878</v>
      </c>
      <c r="AB740" s="32">
        <v>467594</v>
      </c>
      <c r="AC740" s="16">
        <v>475393</v>
      </c>
      <c r="AD740" s="31">
        <v>942987</v>
      </c>
      <c r="AE740" s="16">
        <v>461211</v>
      </c>
      <c r="AF740" s="16">
        <v>562323</v>
      </c>
      <c r="AG740" s="31">
        <v>1023534</v>
      </c>
      <c r="AH740" s="16">
        <v>471367</v>
      </c>
      <c r="AI740" s="16">
        <v>520108</v>
      </c>
      <c r="AJ740" s="31">
        <v>991475</v>
      </c>
      <c r="AK740" s="16">
        <v>463233</v>
      </c>
      <c r="AL740" s="16">
        <v>530475</v>
      </c>
      <c r="AM740" s="31">
        <v>993708</v>
      </c>
      <c r="AN740" s="16">
        <v>483056</v>
      </c>
      <c r="AO740" s="16">
        <v>533919</v>
      </c>
      <c r="AP740" s="31">
        <v>1016975</v>
      </c>
      <c r="AQ740" s="42"/>
      <c r="AR740" s="43"/>
      <c r="AS740" s="42"/>
      <c r="AT740" s="42"/>
    </row>
    <row r="741" spans="1:46" ht="12.9" customHeight="1" x14ac:dyDescent="0.25">
      <c r="A741" s="28" t="s">
        <v>1513</v>
      </c>
      <c r="B741" s="29" t="s">
        <v>1514</v>
      </c>
      <c r="C741" s="30" t="s">
        <v>113</v>
      </c>
      <c r="D741" s="40">
        <v>0</v>
      </c>
      <c r="E741" s="26">
        <v>3629</v>
      </c>
      <c r="F741" s="26">
        <f t="shared" si="22"/>
        <v>3629</v>
      </c>
      <c r="G741" s="40">
        <v>0</v>
      </c>
      <c r="H741" s="26">
        <v>4784</v>
      </c>
      <c r="I741" s="27">
        <f t="shared" si="23"/>
        <v>4784</v>
      </c>
      <c r="J741" s="40">
        <v>0</v>
      </c>
      <c r="K741" s="26">
        <v>3118</v>
      </c>
      <c r="L741" s="27">
        <v>3118</v>
      </c>
      <c r="M741" s="26">
        <v>0</v>
      </c>
      <c r="N741" s="26">
        <v>804</v>
      </c>
      <c r="O741" s="27">
        <v>804</v>
      </c>
      <c r="P741" s="26">
        <v>0</v>
      </c>
      <c r="Q741" s="26">
        <v>3495</v>
      </c>
      <c r="R741" s="27">
        <v>3495</v>
      </c>
      <c r="S741" s="26">
        <v>0</v>
      </c>
      <c r="T741" s="26">
        <v>3073</v>
      </c>
      <c r="U741" s="27">
        <v>3073</v>
      </c>
      <c r="V741" s="26" t="s">
        <v>1362</v>
      </c>
      <c r="W741" s="26">
        <v>2474</v>
      </c>
      <c r="X741" s="31">
        <v>2474</v>
      </c>
      <c r="Y741" s="32" t="s">
        <v>1362</v>
      </c>
      <c r="Z741" s="16">
        <v>475</v>
      </c>
      <c r="AA741" s="31">
        <v>475</v>
      </c>
      <c r="AB741" s="32" t="s">
        <v>1362</v>
      </c>
      <c r="AC741" s="16">
        <v>730</v>
      </c>
      <c r="AD741" s="31">
        <v>730</v>
      </c>
      <c r="AE741" s="16">
        <v>0</v>
      </c>
      <c r="AF741" s="16">
        <v>951</v>
      </c>
      <c r="AG741" s="31">
        <v>951</v>
      </c>
      <c r="AH741" s="32" t="s">
        <v>160</v>
      </c>
      <c r="AI741" s="16">
        <v>1399</v>
      </c>
      <c r="AJ741" s="31">
        <v>1399</v>
      </c>
      <c r="AK741" s="32" t="s">
        <v>160</v>
      </c>
      <c r="AL741" s="16">
        <v>1455</v>
      </c>
      <c r="AM741" s="31">
        <v>1455</v>
      </c>
      <c r="AN741" s="32" t="s">
        <v>160</v>
      </c>
      <c r="AO741" s="16">
        <v>1673</v>
      </c>
      <c r="AP741" s="31">
        <v>1673</v>
      </c>
      <c r="AQ741" s="42"/>
      <c r="AR741" s="43"/>
      <c r="AS741" s="42"/>
      <c r="AT741" s="42"/>
    </row>
    <row r="742" spans="1:46" ht="12.9" customHeight="1" x14ac:dyDescent="0.25">
      <c r="A742" s="28" t="s">
        <v>1515</v>
      </c>
      <c r="B742" s="29" t="s">
        <v>1516</v>
      </c>
      <c r="C742" s="30" t="s">
        <v>20</v>
      </c>
      <c r="D742" s="40">
        <v>144381</v>
      </c>
      <c r="E742" s="26">
        <v>46800</v>
      </c>
      <c r="F742" s="26">
        <f t="shared" si="22"/>
        <v>191181</v>
      </c>
      <c r="G742" s="40">
        <v>156737</v>
      </c>
      <c r="H742" s="26">
        <v>53364</v>
      </c>
      <c r="I742" s="27">
        <f t="shared" si="23"/>
        <v>210101</v>
      </c>
      <c r="J742" s="40">
        <v>169317</v>
      </c>
      <c r="K742" s="26">
        <v>55415</v>
      </c>
      <c r="L742" s="27">
        <v>224732</v>
      </c>
      <c r="M742" s="26">
        <v>173328</v>
      </c>
      <c r="N742" s="26">
        <v>48911</v>
      </c>
      <c r="O742" s="27">
        <v>222239</v>
      </c>
      <c r="P742" s="26">
        <v>161772</v>
      </c>
      <c r="Q742" s="26">
        <v>45038</v>
      </c>
      <c r="R742" s="27">
        <v>206810</v>
      </c>
      <c r="S742" s="26">
        <v>162910</v>
      </c>
      <c r="T742" s="26">
        <v>46469</v>
      </c>
      <c r="U742" s="27">
        <v>209379</v>
      </c>
      <c r="V742" s="26">
        <v>162679</v>
      </c>
      <c r="W742" s="26">
        <v>42152</v>
      </c>
      <c r="X742" s="31">
        <v>204831</v>
      </c>
      <c r="Y742" s="16">
        <v>181098</v>
      </c>
      <c r="Z742" s="16">
        <v>40439</v>
      </c>
      <c r="AA742" s="31">
        <v>221537</v>
      </c>
      <c r="AB742" s="32">
        <v>173055</v>
      </c>
      <c r="AC742" s="16">
        <v>42429</v>
      </c>
      <c r="AD742" s="31">
        <v>215484</v>
      </c>
      <c r="AE742" s="16">
        <v>176132</v>
      </c>
      <c r="AF742" s="16">
        <v>37538</v>
      </c>
      <c r="AG742" s="31">
        <v>213670</v>
      </c>
      <c r="AH742" s="16">
        <v>173199</v>
      </c>
      <c r="AI742" s="16">
        <v>33143</v>
      </c>
      <c r="AJ742" s="31">
        <v>206342</v>
      </c>
      <c r="AK742" s="16">
        <v>173677</v>
      </c>
      <c r="AL742" s="16">
        <v>34773</v>
      </c>
      <c r="AM742" s="31">
        <v>208450</v>
      </c>
      <c r="AN742" s="16">
        <v>193985</v>
      </c>
      <c r="AO742" s="16">
        <v>33467</v>
      </c>
      <c r="AP742" s="31">
        <v>227452</v>
      </c>
      <c r="AQ742" s="42"/>
      <c r="AR742" s="43"/>
      <c r="AS742" s="42"/>
      <c r="AT742" s="42"/>
    </row>
    <row r="743" spans="1:46" ht="12.9" customHeight="1" x14ac:dyDescent="0.25">
      <c r="A743" s="28" t="s">
        <v>1517</v>
      </c>
      <c r="B743" s="29" t="s">
        <v>1518</v>
      </c>
      <c r="C743" s="30" t="s">
        <v>20</v>
      </c>
      <c r="D743" s="40">
        <v>287972</v>
      </c>
      <c r="E743" s="26">
        <v>157025</v>
      </c>
      <c r="F743" s="26">
        <f t="shared" si="22"/>
        <v>444997</v>
      </c>
      <c r="G743" s="40">
        <v>370700</v>
      </c>
      <c r="H743" s="26">
        <v>313025</v>
      </c>
      <c r="I743" s="27">
        <f t="shared" si="23"/>
        <v>683725</v>
      </c>
      <c r="J743" s="40">
        <v>375176</v>
      </c>
      <c r="K743" s="26">
        <v>337395</v>
      </c>
      <c r="L743" s="27">
        <v>712571</v>
      </c>
      <c r="M743" s="26">
        <v>456627</v>
      </c>
      <c r="N743" s="26">
        <v>244227</v>
      </c>
      <c r="O743" s="27">
        <v>700854</v>
      </c>
      <c r="P743" s="26">
        <v>387882</v>
      </c>
      <c r="Q743" s="26">
        <v>196222</v>
      </c>
      <c r="R743" s="27">
        <v>584104</v>
      </c>
      <c r="S743" s="26">
        <v>356061</v>
      </c>
      <c r="T743" s="26">
        <v>199828</v>
      </c>
      <c r="U743" s="27">
        <v>555889</v>
      </c>
      <c r="V743" s="26">
        <v>341260</v>
      </c>
      <c r="W743" s="26">
        <v>201478</v>
      </c>
      <c r="X743" s="31">
        <v>542738</v>
      </c>
      <c r="Y743" s="16">
        <v>376370.66666666663</v>
      </c>
      <c r="Z743" s="16">
        <v>162231</v>
      </c>
      <c r="AA743" s="31">
        <v>538601.66666666663</v>
      </c>
      <c r="AB743" s="32">
        <v>357526</v>
      </c>
      <c r="AC743" s="16">
        <v>210531</v>
      </c>
      <c r="AD743" s="31">
        <v>568057</v>
      </c>
      <c r="AE743" s="16">
        <v>372576</v>
      </c>
      <c r="AF743" s="16">
        <v>267211</v>
      </c>
      <c r="AG743" s="31">
        <v>639787</v>
      </c>
      <c r="AH743" s="16">
        <v>345271</v>
      </c>
      <c r="AI743" s="16">
        <v>190142</v>
      </c>
      <c r="AJ743" s="31">
        <v>535413</v>
      </c>
      <c r="AK743" s="16">
        <v>363048</v>
      </c>
      <c r="AL743" s="16">
        <v>222589</v>
      </c>
      <c r="AM743" s="31">
        <v>585637</v>
      </c>
      <c r="AN743" s="16">
        <v>404026</v>
      </c>
      <c r="AO743" s="16">
        <v>200519</v>
      </c>
      <c r="AP743" s="31">
        <v>604545</v>
      </c>
      <c r="AQ743" s="42"/>
      <c r="AR743" s="43"/>
      <c r="AS743" s="42"/>
      <c r="AT743" s="42"/>
    </row>
    <row r="744" spans="1:46" ht="12.9" customHeight="1" x14ac:dyDescent="0.25">
      <c r="A744" s="28" t="s">
        <v>1519</v>
      </c>
      <c r="B744" s="29" t="s">
        <v>1520</v>
      </c>
      <c r="C744" s="30" t="s">
        <v>80</v>
      </c>
      <c r="D744" s="40">
        <v>487198</v>
      </c>
      <c r="E744" s="26">
        <v>76340</v>
      </c>
      <c r="F744" s="26">
        <f t="shared" si="22"/>
        <v>563538</v>
      </c>
      <c r="G744" s="40">
        <v>549674</v>
      </c>
      <c r="H744" s="26">
        <v>252604</v>
      </c>
      <c r="I744" s="27">
        <f t="shared" si="23"/>
        <v>802278</v>
      </c>
      <c r="J744" s="40">
        <v>638839</v>
      </c>
      <c r="K744" s="26">
        <v>331118</v>
      </c>
      <c r="L744" s="27">
        <v>969957</v>
      </c>
      <c r="M744" s="26">
        <v>629422</v>
      </c>
      <c r="N744" s="26">
        <v>291967</v>
      </c>
      <c r="O744" s="27">
        <v>921389</v>
      </c>
      <c r="P744" s="26">
        <v>598681</v>
      </c>
      <c r="Q744" s="26">
        <v>238810</v>
      </c>
      <c r="R744" s="27">
        <v>837491</v>
      </c>
      <c r="S744" s="26">
        <v>612179</v>
      </c>
      <c r="T744" s="26">
        <v>298916</v>
      </c>
      <c r="U744" s="27">
        <v>911095</v>
      </c>
      <c r="V744" s="26">
        <v>565635</v>
      </c>
      <c r="W744" s="26">
        <v>244768</v>
      </c>
      <c r="X744" s="31">
        <v>810403</v>
      </c>
      <c r="Y744" s="16">
        <v>646155</v>
      </c>
      <c r="Z744" s="16">
        <v>317045</v>
      </c>
      <c r="AA744" s="31">
        <v>963200</v>
      </c>
      <c r="AB744" s="32">
        <v>718475</v>
      </c>
      <c r="AC744" s="16">
        <v>344868</v>
      </c>
      <c r="AD744" s="31">
        <v>1063343</v>
      </c>
      <c r="AE744" s="16">
        <v>659839</v>
      </c>
      <c r="AF744" s="16">
        <v>284484</v>
      </c>
      <c r="AG744" s="31">
        <v>944323</v>
      </c>
      <c r="AH744" s="16">
        <v>659839</v>
      </c>
      <c r="AI744" s="16">
        <v>271245</v>
      </c>
      <c r="AJ744" s="31">
        <v>931084</v>
      </c>
      <c r="AK744" s="16">
        <v>588805</v>
      </c>
      <c r="AL744" s="16">
        <v>292763</v>
      </c>
      <c r="AM744" s="31">
        <v>881568</v>
      </c>
      <c r="AN744" s="16">
        <v>691885</v>
      </c>
      <c r="AO744" s="16">
        <v>323496</v>
      </c>
      <c r="AP744" s="31">
        <v>1015381</v>
      </c>
      <c r="AQ744" s="42"/>
      <c r="AR744" s="43"/>
      <c r="AS744" s="42"/>
      <c r="AT744" s="42"/>
    </row>
    <row r="745" spans="1:46" ht="12.9" customHeight="1" x14ac:dyDescent="0.25">
      <c r="A745" s="28" t="s">
        <v>1521</v>
      </c>
      <c r="B745" s="29" t="s">
        <v>1522</v>
      </c>
      <c r="C745" s="30" t="s">
        <v>113</v>
      </c>
      <c r="D745" s="40">
        <v>69641</v>
      </c>
      <c r="E745" s="26">
        <v>168905</v>
      </c>
      <c r="F745" s="26">
        <f t="shared" si="22"/>
        <v>238546</v>
      </c>
      <c r="G745" s="40">
        <v>72198</v>
      </c>
      <c r="H745" s="26">
        <v>172515</v>
      </c>
      <c r="I745" s="27">
        <f t="shared" si="23"/>
        <v>244713</v>
      </c>
      <c r="J745" s="40">
        <v>85496</v>
      </c>
      <c r="K745" s="26">
        <v>220921</v>
      </c>
      <c r="L745" s="27">
        <v>306417</v>
      </c>
      <c r="M745" s="26">
        <v>85752</v>
      </c>
      <c r="N745" s="26">
        <v>201784</v>
      </c>
      <c r="O745" s="27">
        <v>287536</v>
      </c>
      <c r="P745" s="26">
        <v>85290</v>
      </c>
      <c r="Q745" s="26">
        <v>213725</v>
      </c>
      <c r="R745" s="27">
        <v>299015</v>
      </c>
      <c r="S745" s="26">
        <v>82061</v>
      </c>
      <c r="T745" s="26">
        <v>211173</v>
      </c>
      <c r="U745" s="27">
        <v>293234</v>
      </c>
      <c r="V745" s="26">
        <v>77059</v>
      </c>
      <c r="W745" s="26">
        <v>204289</v>
      </c>
      <c r="X745" s="31">
        <v>281348</v>
      </c>
      <c r="Y745" s="16">
        <v>80674</v>
      </c>
      <c r="Z745" s="16">
        <v>210456</v>
      </c>
      <c r="AA745" s="31">
        <v>291130</v>
      </c>
      <c r="AB745" s="32">
        <v>82632</v>
      </c>
      <c r="AC745" s="16">
        <v>236387</v>
      </c>
      <c r="AD745" s="31">
        <v>319019</v>
      </c>
      <c r="AE745" s="16">
        <v>74140</v>
      </c>
      <c r="AF745" s="16">
        <v>236965</v>
      </c>
      <c r="AG745" s="31">
        <v>311105</v>
      </c>
      <c r="AH745" s="16">
        <v>68610</v>
      </c>
      <c r="AI745" s="16">
        <v>202208</v>
      </c>
      <c r="AJ745" s="31">
        <v>270818</v>
      </c>
      <c r="AK745" s="16">
        <v>66909</v>
      </c>
      <c r="AL745" s="16">
        <v>181616</v>
      </c>
      <c r="AM745" s="31">
        <v>248525</v>
      </c>
      <c r="AN745" s="16">
        <v>76432</v>
      </c>
      <c r="AO745" s="16">
        <v>183214</v>
      </c>
      <c r="AP745" s="31">
        <v>259646</v>
      </c>
      <c r="AQ745" s="42"/>
      <c r="AR745" s="43"/>
      <c r="AS745" s="42"/>
      <c r="AT745" s="42"/>
    </row>
    <row r="746" spans="1:46" ht="12.9" customHeight="1" x14ac:dyDescent="0.25">
      <c r="A746" s="28" t="s">
        <v>1523</v>
      </c>
      <c r="B746" s="29" t="s">
        <v>1524</v>
      </c>
      <c r="C746" s="30" t="s">
        <v>11</v>
      </c>
      <c r="D746" s="40">
        <v>946388</v>
      </c>
      <c r="E746" s="26">
        <v>622445</v>
      </c>
      <c r="F746" s="26">
        <f t="shared" si="22"/>
        <v>1568833</v>
      </c>
      <c r="G746" s="40">
        <v>1108326</v>
      </c>
      <c r="H746" s="26">
        <v>621515</v>
      </c>
      <c r="I746" s="27">
        <f t="shared" si="23"/>
        <v>1729841</v>
      </c>
      <c r="J746" s="40">
        <v>1098418</v>
      </c>
      <c r="K746" s="26">
        <v>705526</v>
      </c>
      <c r="L746" s="27">
        <v>1803944</v>
      </c>
      <c r="M746" s="26">
        <v>1134134</v>
      </c>
      <c r="N746" s="26">
        <v>675315</v>
      </c>
      <c r="O746" s="27">
        <v>1809449</v>
      </c>
      <c r="P746" s="26">
        <v>1198055</v>
      </c>
      <c r="Q746" s="26">
        <v>616235</v>
      </c>
      <c r="R746" s="27">
        <v>1814290</v>
      </c>
      <c r="S746" s="26">
        <v>1126980</v>
      </c>
      <c r="T746" s="26">
        <v>679128</v>
      </c>
      <c r="U746" s="27">
        <v>1806108</v>
      </c>
      <c r="V746" s="26">
        <v>1053810</v>
      </c>
      <c r="W746" s="26">
        <v>670847</v>
      </c>
      <c r="X746" s="31">
        <v>1724657</v>
      </c>
      <c r="Y746" s="16">
        <v>1116311</v>
      </c>
      <c r="Z746" s="16">
        <v>665882</v>
      </c>
      <c r="AA746" s="31">
        <v>1782193</v>
      </c>
      <c r="AB746" s="32">
        <v>1297064</v>
      </c>
      <c r="AC746" s="16">
        <v>889961</v>
      </c>
      <c r="AD746" s="31">
        <v>2187025</v>
      </c>
      <c r="AE746" s="16">
        <v>1191200</v>
      </c>
      <c r="AF746" s="16">
        <v>640382</v>
      </c>
      <c r="AG746" s="31">
        <v>1831582</v>
      </c>
      <c r="AH746" s="16">
        <v>1191200</v>
      </c>
      <c r="AI746" s="16">
        <v>839158</v>
      </c>
      <c r="AJ746" s="31">
        <v>2030358</v>
      </c>
      <c r="AK746" s="16">
        <v>1112680.1919355886</v>
      </c>
      <c r="AL746" s="16">
        <v>787083</v>
      </c>
      <c r="AM746" s="31">
        <v>1899763.1919355886</v>
      </c>
      <c r="AN746" s="16">
        <v>1132517</v>
      </c>
      <c r="AO746" s="16">
        <v>999719</v>
      </c>
      <c r="AP746" s="31">
        <v>2132236</v>
      </c>
      <c r="AQ746" s="42"/>
      <c r="AR746" s="43"/>
      <c r="AS746" s="42"/>
      <c r="AT746" s="42"/>
    </row>
    <row r="747" spans="1:46" ht="12.9" customHeight="1" x14ac:dyDescent="0.25">
      <c r="A747" s="28" t="s">
        <v>1525</v>
      </c>
      <c r="B747" s="29" t="s">
        <v>1526</v>
      </c>
      <c r="C747" s="30" t="s">
        <v>62</v>
      </c>
      <c r="D747" s="40">
        <v>143212</v>
      </c>
      <c r="E747" s="26">
        <v>58828</v>
      </c>
      <c r="F747" s="26">
        <f t="shared" si="22"/>
        <v>202040</v>
      </c>
      <c r="G747" s="40">
        <v>136215</v>
      </c>
      <c r="H747" s="26">
        <v>63953</v>
      </c>
      <c r="I747" s="27">
        <f t="shared" si="23"/>
        <v>200168</v>
      </c>
      <c r="J747" s="40">
        <v>139216</v>
      </c>
      <c r="K747" s="26">
        <v>52143</v>
      </c>
      <c r="L747" s="27">
        <v>191359</v>
      </c>
      <c r="M747" s="26">
        <v>139464</v>
      </c>
      <c r="N747" s="26">
        <v>57945</v>
      </c>
      <c r="O747" s="27">
        <v>197409</v>
      </c>
      <c r="P747" s="26">
        <v>142534</v>
      </c>
      <c r="Q747" s="26">
        <v>64559</v>
      </c>
      <c r="R747" s="27">
        <v>207093</v>
      </c>
      <c r="S747" s="26">
        <v>144185</v>
      </c>
      <c r="T747" s="26">
        <v>82365</v>
      </c>
      <c r="U747" s="27">
        <v>226550</v>
      </c>
      <c r="V747" s="26">
        <v>138333</v>
      </c>
      <c r="W747" s="26">
        <v>79987</v>
      </c>
      <c r="X747" s="31">
        <v>218320</v>
      </c>
      <c r="Y747" s="16">
        <v>140432</v>
      </c>
      <c r="Z747" s="16">
        <v>75175</v>
      </c>
      <c r="AA747" s="31">
        <v>215607</v>
      </c>
      <c r="AB747" s="32">
        <v>141080</v>
      </c>
      <c r="AC747" s="16">
        <v>61341</v>
      </c>
      <c r="AD747" s="31">
        <v>202421</v>
      </c>
      <c r="AE747" s="16">
        <v>141739</v>
      </c>
      <c r="AF747" s="16">
        <v>61727</v>
      </c>
      <c r="AG747" s="31">
        <v>203466</v>
      </c>
      <c r="AH747" s="16">
        <v>138038</v>
      </c>
      <c r="AI747" s="16">
        <v>53158</v>
      </c>
      <c r="AJ747" s="31">
        <v>191196</v>
      </c>
      <c r="AK747" s="16">
        <v>144639</v>
      </c>
      <c r="AL747" s="16">
        <v>59543</v>
      </c>
      <c r="AM747" s="31">
        <v>204182</v>
      </c>
      <c r="AN747" s="16">
        <v>148047</v>
      </c>
      <c r="AO747" s="16">
        <v>56161</v>
      </c>
      <c r="AP747" s="31">
        <v>204208</v>
      </c>
      <c r="AQ747" s="42"/>
      <c r="AR747" s="43"/>
      <c r="AS747" s="42"/>
      <c r="AT747" s="42"/>
    </row>
    <row r="748" spans="1:46" ht="12.9" customHeight="1" x14ac:dyDescent="0.25">
      <c r="A748" s="28" t="s">
        <v>1527</v>
      </c>
      <c r="B748" s="29" t="s">
        <v>1528</v>
      </c>
      <c r="C748" s="30" t="s">
        <v>113</v>
      </c>
      <c r="D748" s="40">
        <v>4988</v>
      </c>
      <c r="E748" s="26">
        <v>35343</v>
      </c>
      <c r="F748" s="26">
        <f t="shared" si="22"/>
        <v>40331</v>
      </c>
      <c r="G748" s="40">
        <v>6114</v>
      </c>
      <c r="H748" s="26">
        <v>35868</v>
      </c>
      <c r="I748" s="27">
        <f t="shared" si="23"/>
        <v>41982</v>
      </c>
      <c r="J748" s="40">
        <v>6611</v>
      </c>
      <c r="K748" s="26">
        <v>37568</v>
      </c>
      <c r="L748" s="27">
        <v>44179</v>
      </c>
      <c r="M748" s="26">
        <v>6672</v>
      </c>
      <c r="N748" s="26">
        <v>36866</v>
      </c>
      <c r="O748" s="27">
        <v>43538</v>
      </c>
      <c r="P748" s="26">
        <v>6591</v>
      </c>
      <c r="Q748" s="26">
        <v>33565</v>
      </c>
      <c r="R748" s="27">
        <v>40156</v>
      </c>
      <c r="S748" s="26">
        <v>5726</v>
      </c>
      <c r="T748" s="26">
        <v>36193</v>
      </c>
      <c r="U748" s="27">
        <v>41919</v>
      </c>
      <c r="V748" s="26">
        <v>6835</v>
      </c>
      <c r="W748" s="26">
        <v>36413</v>
      </c>
      <c r="X748" s="31">
        <v>43248</v>
      </c>
      <c r="Y748" s="16">
        <v>4469</v>
      </c>
      <c r="Z748" s="16">
        <v>37096</v>
      </c>
      <c r="AA748" s="31">
        <v>41565</v>
      </c>
      <c r="AB748" s="32">
        <v>5963</v>
      </c>
      <c r="AC748" s="16">
        <v>36119</v>
      </c>
      <c r="AD748" s="31">
        <v>42082</v>
      </c>
      <c r="AE748" s="16">
        <v>5554</v>
      </c>
      <c r="AF748" s="16">
        <v>36629</v>
      </c>
      <c r="AG748" s="31">
        <v>42183</v>
      </c>
      <c r="AH748" s="16">
        <v>6490</v>
      </c>
      <c r="AI748" s="16">
        <v>30682</v>
      </c>
      <c r="AJ748" s="31">
        <v>37172</v>
      </c>
      <c r="AK748" s="16">
        <v>3802</v>
      </c>
      <c r="AL748" s="16">
        <v>24750</v>
      </c>
      <c r="AM748" s="31">
        <v>28552</v>
      </c>
      <c r="AN748" s="16">
        <v>5450</v>
      </c>
      <c r="AO748" s="16">
        <v>24468</v>
      </c>
      <c r="AP748" s="31">
        <v>29918</v>
      </c>
      <c r="AQ748" s="42"/>
      <c r="AR748" s="43"/>
      <c r="AS748" s="42"/>
      <c r="AT748" s="42"/>
    </row>
    <row r="749" spans="1:46" ht="12.9" customHeight="1" x14ac:dyDescent="0.25">
      <c r="A749" s="28" t="s">
        <v>1529</v>
      </c>
      <c r="B749" s="29" t="s">
        <v>1530</v>
      </c>
      <c r="C749" s="30" t="s">
        <v>11</v>
      </c>
      <c r="D749" s="40">
        <v>288685</v>
      </c>
      <c r="E749" s="26">
        <v>98301</v>
      </c>
      <c r="F749" s="26">
        <f t="shared" si="22"/>
        <v>386986</v>
      </c>
      <c r="G749" s="40">
        <v>306545</v>
      </c>
      <c r="H749" s="26">
        <v>142744</v>
      </c>
      <c r="I749" s="27">
        <f t="shared" si="23"/>
        <v>449289</v>
      </c>
      <c r="J749" s="40">
        <v>325241</v>
      </c>
      <c r="K749" s="26">
        <v>134244</v>
      </c>
      <c r="L749" s="27">
        <v>459485</v>
      </c>
      <c r="M749" s="26">
        <v>337941</v>
      </c>
      <c r="N749" s="26">
        <v>109764</v>
      </c>
      <c r="O749" s="27">
        <v>447705</v>
      </c>
      <c r="P749" s="26">
        <v>343448</v>
      </c>
      <c r="Q749" s="26">
        <v>91085</v>
      </c>
      <c r="R749" s="27">
        <v>434533</v>
      </c>
      <c r="S749" s="26">
        <v>307324</v>
      </c>
      <c r="T749" s="26">
        <v>134233</v>
      </c>
      <c r="U749" s="27">
        <v>441557</v>
      </c>
      <c r="V749" s="26">
        <v>310653</v>
      </c>
      <c r="W749" s="26">
        <v>129557</v>
      </c>
      <c r="X749" s="31">
        <v>440210</v>
      </c>
      <c r="Y749" s="16">
        <v>305693</v>
      </c>
      <c r="Z749" s="16">
        <v>127899</v>
      </c>
      <c r="AA749" s="31">
        <v>433592</v>
      </c>
      <c r="AB749" s="32">
        <v>302691</v>
      </c>
      <c r="AC749" s="16">
        <v>136686</v>
      </c>
      <c r="AD749" s="31">
        <v>439377</v>
      </c>
      <c r="AE749" s="16">
        <v>300482</v>
      </c>
      <c r="AF749" s="16">
        <v>126886</v>
      </c>
      <c r="AG749" s="31">
        <v>427368</v>
      </c>
      <c r="AH749" s="16">
        <v>293334</v>
      </c>
      <c r="AI749" s="16">
        <v>118342</v>
      </c>
      <c r="AJ749" s="31">
        <v>411676</v>
      </c>
      <c r="AK749" s="16">
        <v>308274</v>
      </c>
      <c r="AL749" s="16">
        <v>111182</v>
      </c>
      <c r="AM749" s="31">
        <v>419456</v>
      </c>
      <c r="AN749" s="16">
        <v>317211</v>
      </c>
      <c r="AO749" s="16">
        <v>128232</v>
      </c>
      <c r="AP749" s="31">
        <v>445443</v>
      </c>
      <c r="AQ749" s="42"/>
      <c r="AR749" s="43"/>
      <c r="AS749" s="42"/>
      <c r="AT749" s="42"/>
    </row>
    <row r="750" spans="1:46" ht="12.9" customHeight="1" x14ac:dyDescent="0.25">
      <c r="A750" s="28" t="s">
        <v>1531</v>
      </c>
      <c r="B750" s="29" t="s">
        <v>1532</v>
      </c>
      <c r="C750" s="30" t="s">
        <v>123</v>
      </c>
      <c r="D750" s="40">
        <v>503666</v>
      </c>
      <c r="E750" s="26">
        <v>160795</v>
      </c>
      <c r="F750" s="26">
        <f t="shared" si="22"/>
        <v>664461</v>
      </c>
      <c r="G750" s="40">
        <v>536064</v>
      </c>
      <c r="H750" s="26">
        <v>146716</v>
      </c>
      <c r="I750" s="27">
        <f t="shared" si="23"/>
        <v>682780</v>
      </c>
      <c r="J750" s="40">
        <v>560595</v>
      </c>
      <c r="K750" s="26">
        <v>166856</v>
      </c>
      <c r="L750" s="27">
        <v>727451</v>
      </c>
      <c r="M750" s="26">
        <v>579653</v>
      </c>
      <c r="N750" s="26">
        <v>154109</v>
      </c>
      <c r="O750" s="27">
        <v>733762</v>
      </c>
      <c r="P750" s="26">
        <v>583093</v>
      </c>
      <c r="Q750" s="26">
        <v>165989</v>
      </c>
      <c r="R750" s="27">
        <v>749082</v>
      </c>
      <c r="S750" s="26">
        <v>548634</v>
      </c>
      <c r="T750" s="26">
        <v>198939</v>
      </c>
      <c r="U750" s="27">
        <v>747573</v>
      </c>
      <c r="V750" s="26">
        <v>529623</v>
      </c>
      <c r="W750" s="26">
        <v>204734</v>
      </c>
      <c r="X750" s="31">
        <v>734357</v>
      </c>
      <c r="Y750" s="16">
        <v>535668</v>
      </c>
      <c r="Z750" s="16">
        <v>193872</v>
      </c>
      <c r="AA750" s="31">
        <v>729540</v>
      </c>
      <c r="AB750" s="32">
        <v>525222</v>
      </c>
      <c r="AC750" s="16">
        <v>206007</v>
      </c>
      <c r="AD750" s="31">
        <v>731229</v>
      </c>
      <c r="AE750" s="16">
        <v>527825</v>
      </c>
      <c r="AF750" s="16">
        <v>219099</v>
      </c>
      <c r="AG750" s="31">
        <v>746924</v>
      </c>
      <c r="AH750" s="16">
        <v>499098</v>
      </c>
      <c r="AI750" s="16">
        <v>184208</v>
      </c>
      <c r="AJ750" s="31">
        <v>683306</v>
      </c>
      <c r="AK750" s="16">
        <v>502447</v>
      </c>
      <c r="AL750" s="16">
        <v>186070.87356870229</v>
      </c>
      <c r="AM750" s="31">
        <v>688517.87356870226</v>
      </c>
      <c r="AN750" s="16">
        <v>472954</v>
      </c>
      <c r="AO750" s="16">
        <v>188745</v>
      </c>
      <c r="AP750" s="31">
        <v>661699</v>
      </c>
      <c r="AQ750" s="42"/>
      <c r="AR750" s="43"/>
      <c r="AS750" s="42"/>
      <c r="AT750" s="42"/>
    </row>
    <row r="751" spans="1:46" ht="12.9" customHeight="1" x14ac:dyDescent="0.25">
      <c r="A751" s="28" t="s">
        <v>1533</v>
      </c>
      <c r="B751" s="29" t="s">
        <v>1534</v>
      </c>
      <c r="C751" s="30" t="s">
        <v>194</v>
      </c>
      <c r="D751" s="40">
        <v>4014093</v>
      </c>
      <c r="E751" s="26">
        <v>1095842</v>
      </c>
      <c r="F751" s="26">
        <f t="shared" si="22"/>
        <v>5109935</v>
      </c>
      <c r="G751" s="40">
        <v>4049550</v>
      </c>
      <c r="H751" s="26">
        <v>1186092</v>
      </c>
      <c r="I751" s="27">
        <f t="shared" si="23"/>
        <v>5235642</v>
      </c>
      <c r="J751" s="40">
        <v>4040574</v>
      </c>
      <c r="K751" s="26">
        <v>1179177</v>
      </c>
      <c r="L751" s="27">
        <v>5219751</v>
      </c>
      <c r="M751" s="26">
        <v>4257072</v>
      </c>
      <c r="N751" s="26">
        <v>1075284</v>
      </c>
      <c r="O751" s="27">
        <v>5332356</v>
      </c>
      <c r="P751" s="26">
        <v>4408628</v>
      </c>
      <c r="Q751" s="26">
        <v>1076227</v>
      </c>
      <c r="R751" s="27">
        <v>5484855</v>
      </c>
      <c r="S751" s="26">
        <v>4052937</v>
      </c>
      <c r="T751" s="26">
        <v>1275807</v>
      </c>
      <c r="U751" s="27">
        <v>5328744</v>
      </c>
      <c r="V751" s="26">
        <v>4051035</v>
      </c>
      <c r="W751" s="26">
        <v>1282497</v>
      </c>
      <c r="X751" s="31">
        <v>5333532</v>
      </c>
      <c r="Y751" s="16">
        <v>3972978</v>
      </c>
      <c r="Z751" s="16">
        <v>1291907</v>
      </c>
      <c r="AA751" s="31">
        <v>5264885</v>
      </c>
      <c r="AB751" s="32">
        <v>3938077</v>
      </c>
      <c r="AC751" s="16">
        <v>1240952</v>
      </c>
      <c r="AD751" s="31">
        <v>5179029</v>
      </c>
      <c r="AE751" s="16">
        <v>3837442</v>
      </c>
      <c r="AF751" s="16">
        <v>1073178</v>
      </c>
      <c r="AG751" s="31">
        <v>4910620</v>
      </c>
      <c r="AH751" s="16">
        <v>3849904</v>
      </c>
      <c r="AI751" s="16">
        <v>978422</v>
      </c>
      <c r="AJ751" s="31">
        <v>4828326</v>
      </c>
      <c r="AK751" s="16">
        <v>3985486</v>
      </c>
      <c r="AL751" s="16">
        <v>886812</v>
      </c>
      <c r="AM751" s="31">
        <v>4872298</v>
      </c>
      <c r="AN751" s="16">
        <v>4096347</v>
      </c>
      <c r="AO751" s="16">
        <v>638560</v>
      </c>
      <c r="AP751" s="31">
        <v>4734907</v>
      </c>
      <c r="AQ751" s="42"/>
      <c r="AR751" s="43"/>
      <c r="AS751" s="42"/>
      <c r="AT751" s="42"/>
    </row>
    <row r="752" spans="1:46" ht="12.9" customHeight="1" x14ac:dyDescent="0.25">
      <c r="A752" s="28" t="s">
        <v>1535</v>
      </c>
      <c r="B752" s="29" t="s">
        <v>1536</v>
      </c>
      <c r="C752" s="30" t="s">
        <v>218</v>
      </c>
      <c r="D752" s="40">
        <v>82681</v>
      </c>
      <c r="E752" s="26">
        <v>46658</v>
      </c>
      <c r="F752" s="26">
        <f t="shared" si="22"/>
        <v>129339</v>
      </c>
      <c r="G752" s="40">
        <v>84848</v>
      </c>
      <c r="H752" s="26">
        <v>53712</v>
      </c>
      <c r="I752" s="27">
        <f t="shared" si="23"/>
        <v>138560</v>
      </c>
      <c r="J752" s="40">
        <v>90519</v>
      </c>
      <c r="K752" s="26">
        <v>47609</v>
      </c>
      <c r="L752" s="27">
        <v>138128</v>
      </c>
      <c r="M752" s="26">
        <v>99596</v>
      </c>
      <c r="N752" s="26">
        <v>18567</v>
      </c>
      <c r="O752" s="27">
        <v>118163</v>
      </c>
      <c r="P752" s="26">
        <v>103115</v>
      </c>
      <c r="Q752" s="26">
        <v>19103</v>
      </c>
      <c r="R752" s="27">
        <v>122218</v>
      </c>
      <c r="S752" s="26">
        <v>93271</v>
      </c>
      <c r="T752" s="26">
        <v>43492</v>
      </c>
      <c r="U752" s="27">
        <v>136763</v>
      </c>
      <c r="V752" s="26">
        <v>97533</v>
      </c>
      <c r="W752" s="26">
        <v>37801</v>
      </c>
      <c r="X752" s="31">
        <v>135334</v>
      </c>
      <c r="Y752" s="16">
        <v>113642</v>
      </c>
      <c r="Z752" s="16">
        <v>38654</v>
      </c>
      <c r="AA752" s="31">
        <v>152296</v>
      </c>
      <c r="AB752" s="32">
        <v>117932</v>
      </c>
      <c r="AC752" s="16">
        <v>25823</v>
      </c>
      <c r="AD752" s="31">
        <v>143755</v>
      </c>
      <c r="AE752" s="16">
        <v>124898</v>
      </c>
      <c r="AF752" s="16">
        <v>29959</v>
      </c>
      <c r="AG752" s="31">
        <v>154857</v>
      </c>
      <c r="AH752" s="16">
        <v>108599</v>
      </c>
      <c r="AI752" s="16">
        <v>28017</v>
      </c>
      <c r="AJ752" s="31">
        <v>136616</v>
      </c>
      <c r="AK752" s="16">
        <v>124763</v>
      </c>
      <c r="AL752" s="16">
        <v>34170</v>
      </c>
      <c r="AM752" s="31">
        <v>158933</v>
      </c>
      <c r="AN752" s="16">
        <v>124763</v>
      </c>
      <c r="AO752" s="16">
        <v>33092</v>
      </c>
      <c r="AP752" s="31">
        <v>157855</v>
      </c>
      <c r="AQ752" s="42"/>
      <c r="AR752" s="43"/>
      <c r="AS752" s="42"/>
      <c r="AT752" s="42"/>
    </row>
    <row r="753" spans="1:46" ht="12.9" customHeight="1" x14ac:dyDescent="0.25">
      <c r="A753" s="28" t="s">
        <v>1537</v>
      </c>
      <c r="B753" s="29" t="s">
        <v>1538</v>
      </c>
      <c r="C753" s="30" t="s">
        <v>59</v>
      </c>
      <c r="D753" s="40">
        <v>396590</v>
      </c>
      <c r="E753" s="26">
        <v>295045</v>
      </c>
      <c r="F753" s="26">
        <f t="shared" si="22"/>
        <v>691635</v>
      </c>
      <c r="G753" s="40">
        <v>425376</v>
      </c>
      <c r="H753" s="26">
        <v>822546</v>
      </c>
      <c r="I753" s="27">
        <f t="shared" si="23"/>
        <v>1247922</v>
      </c>
      <c r="J753" s="40">
        <v>522011</v>
      </c>
      <c r="K753" s="26">
        <v>432787</v>
      </c>
      <c r="L753" s="27">
        <v>954798</v>
      </c>
      <c r="M753" s="26">
        <v>485186</v>
      </c>
      <c r="N753" s="26">
        <v>399720</v>
      </c>
      <c r="O753" s="27">
        <v>884906</v>
      </c>
      <c r="P753" s="26">
        <v>457291</v>
      </c>
      <c r="Q753" s="26">
        <v>232998</v>
      </c>
      <c r="R753" s="27">
        <v>690289</v>
      </c>
      <c r="S753" s="26">
        <v>453682</v>
      </c>
      <c r="T753" s="26">
        <v>503035</v>
      </c>
      <c r="U753" s="27">
        <v>956717</v>
      </c>
      <c r="V753" s="26">
        <v>442161</v>
      </c>
      <c r="W753" s="26">
        <v>331621</v>
      </c>
      <c r="X753" s="31">
        <v>773782</v>
      </c>
      <c r="Y753" s="16">
        <v>468207</v>
      </c>
      <c r="Z753" s="16">
        <v>334393</v>
      </c>
      <c r="AA753" s="31">
        <v>802600</v>
      </c>
      <c r="AB753" s="32">
        <v>456219</v>
      </c>
      <c r="AC753" s="16">
        <v>438627</v>
      </c>
      <c r="AD753" s="31">
        <v>894846</v>
      </c>
      <c r="AE753" s="16">
        <v>448056</v>
      </c>
      <c r="AF753" s="16">
        <v>349725</v>
      </c>
      <c r="AG753" s="31">
        <v>797781</v>
      </c>
      <c r="AH753" s="16">
        <v>402663</v>
      </c>
      <c r="AI753" s="16">
        <v>291201</v>
      </c>
      <c r="AJ753" s="31">
        <v>693864</v>
      </c>
      <c r="AK753" s="16">
        <v>423994</v>
      </c>
      <c r="AL753" s="16">
        <v>381646</v>
      </c>
      <c r="AM753" s="31">
        <v>805640</v>
      </c>
      <c r="AN753" s="16">
        <v>497007</v>
      </c>
      <c r="AO753" s="16">
        <v>416498</v>
      </c>
      <c r="AP753" s="31">
        <v>913505</v>
      </c>
      <c r="AQ753" s="42"/>
      <c r="AR753" s="43"/>
      <c r="AS753" s="42"/>
      <c r="AT753" s="42"/>
    </row>
    <row r="754" spans="1:46" ht="12.9" customHeight="1" x14ac:dyDescent="0.25">
      <c r="A754" s="28" t="s">
        <v>1539</v>
      </c>
      <c r="B754" s="29" t="s">
        <v>1540</v>
      </c>
      <c r="C754" s="30" t="s">
        <v>113</v>
      </c>
      <c r="D754" s="40">
        <v>75720</v>
      </c>
      <c r="E754" s="26">
        <v>616967</v>
      </c>
      <c r="F754" s="26">
        <f t="shared" si="22"/>
        <v>692687</v>
      </c>
      <c r="G754" s="40">
        <v>76455</v>
      </c>
      <c r="H754" s="26">
        <v>646571</v>
      </c>
      <c r="I754" s="27">
        <f t="shared" si="23"/>
        <v>723026</v>
      </c>
      <c r="J754" s="40">
        <v>81423</v>
      </c>
      <c r="K754" s="26">
        <v>704615</v>
      </c>
      <c r="L754" s="27">
        <v>786038</v>
      </c>
      <c r="M754" s="26">
        <v>84475</v>
      </c>
      <c r="N754" s="26">
        <v>695924</v>
      </c>
      <c r="O754" s="27">
        <v>780399</v>
      </c>
      <c r="P754" s="26">
        <v>86164</v>
      </c>
      <c r="Q754" s="26">
        <v>721122</v>
      </c>
      <c r="R754" s="27">
        <v>807286</v>
      </c>
      <c r="S754" s="26">
        <v>82169</v>
      </c>
      <c r="T754" s="26">
        <v>727896</v>
      </c>
      <c r="U754" s="27">
        <v>810065</v>
      </c>
      <c r="V754" s="26">
        <v>79134</v>
      </c>
      <c r="W754" s="26">
        <v>650629</v>
      </c>
      <c r="X754" s="31">
        <v>729763</v>
      </c>
      <c r="Y754" s="16">
        <v>80559</v>
      </c>
      <c r="Z754" s="16">
        <v>707183</v>
      </c>
      <c r="AA754" s="31">
        <v>787742</v>
      </c>
      <c r="AB754" s="32">
        <v>83185</v>
      </c>
      <c r="AC754" s="16">
        <v>673782</v>
      </c>
      <c r="AD754" s="31">
        <v>756967</v>
      </c>
      <c r="AE754" s="16">
        <v>77675</v>
      </c>
      <c r="AF754" s="16">
        <v>532618</v>
      </c>
      <c r="AG754" s="31">
        <v>610293</v>
      </c>
      <c r="AH754" s="16">
        <v>74578</v>
      </c>
      <c r="AI754" s="16">
        <v>362754</v>
      </c>
      <c r="AJ754" s="31">
        <v>437332</v>
      </c>
      <c r="AK754" s="16">
        <v>79624.822510822516</v>
      </c>
      <c r="AL754" s="16">
        <v>393342.31274131278</v>
      </c>
      <c r="AM754" s="31">
        <v>472967.13525213528</v>
      </c>
      <c r="AN754" s="16">
        <v>83463</v>
      </c>
      <c r="AO754" s="16">
        <v>314417</v>
      </c>
      <c r="AP754" s="31">
        <v>397880</v>
      </c>
      <c r="AQ754" s="42"/>
      <c r="AR754" s="43"/>
      <c r="AS754" s="42"/>
      <c r="AT754" s="42"/>
    </row>
    <row r="755" spans="1:46" ht="12.9" customHeight="1" x14ac:dyDescent="0.25">
      <c r="A755" s="28" t="s">
        <v>1541</v>
      </c>
      <c r="B755" s="29" t="s">
        <v>1542</v>
      </c>
      <c r="C755" s="30" t="s">
        <v>113</v>
      </c>
      <c r="D755" s="40">
        <v>48132</v>
      </c>
      <c r="E755" s="26">
        <v>24878</v>
      </c>
      <c r="F755" s="26">
        <f t="shared" si="22"/>
        <v>73010</v>
      </c>
      <c r="G755" s="40">
        <v>48960</v>
      </c>
      <c r="H755" s="26">
        <v>26220</v>
      </c>
      <c r="I755" s="27">
        <f t="shared" si="23"/>
        <v>75180</v>
      </c>
      <c r="J755" s="40">
        <v>57687</v>
      </c>
      <c r="K755" s="26">
        <v>28844</v>
      </c>
      <c r="L755" s="27">
        <v>86531</v>
      </c>
      <c r="M755" s="26">
        <v>61380</v>
      </c>
      <c r="N755" s="26">
        <v>34053</v>
      </c>
      <c r="O755" s="27">
        <v>95433</v>
      </c>
      <c r="P755" s="26">
        <v>54807</v>
      </c>
      <c r="Q755" s="26">
        <v>27471</v>
      </c>
      <c r="R755" s="27">
        <v>82278</v>
      </c>
      <c r="S755" s="26">
        <v>51440</v>
      </c>
      <c r="T755" s="26">
        <v>24514</v>
      </c>
      <c r="U755" s="27">
        <v>75954</v>
      </c>
      <c r="V755" s="26">
        <v>50162</v>
      </c>
      <c r="W755" s="26">
        <v>17191</v>
      </c>
      <c r="X755" s="31">
        <v>67353</v>
      </c>
      <c r="Y755" s="16">
        <v>48314</v>
      </c>
      <c r="Z755" s="16">
        <v>12791</v>
      </c>
      <c r="AA755" s="31">
        <v>61105</v>
      </c>
      <c r="AB755" s="32">
        <v>49015</v>
      </c>
      <c r="AC755" s="16">
        <v>12421</v>
      </c>
      <c r="AD755" s="31">
        <v>61436</v>
      </c>
      <c r="AE755" s="16">
        <v>47852</v>
      </c>
      <c r="AF755" s="16">
        <v>16518</v>
      </c>
      <c r="AG755" s="31">
        <v>64370</v>
      </c>
      <c r="AH755" s="16">
        <v>47320</v>
      </c>
      <c r="AI755" s="16">
        <v>9668</v>
      </c>
      <c r="AJ755" s="31">
        <v>56988</v>
      </c>
      <c r="AK755" s="16">
        <v>45205</v>
      </c>
      <c r="AL755" s="16">
        <v>17502</v>
      </c>
      <c r="AM755" s="31">
        <v>62707</v>
      </c>
      <c r="AN755" s="16">
        <v>41430</v>
      </c>
      <c r="AO755" s="16">
        <v>7367</v>
      </c>
      <c r="AP755" s="31">
        <v>48797</v>
      </c>
      <c r="AQ755" s="42"/>
      <c r="AR755" s="43"/>
      <c r="AS755" s="42"/>
      <c r="AT755" s="42"/>
    </row>
    <row r="756" spans="1:46" ht="12.9" customHeight="1" x14ac:dyDescent="0.25">
      <c r="A756" s="28" t="s">
        <v>1543</v>
      </c>
      <c r="B756" s="29" t="s">
        <v>1544</v>
      </c>
      <c r="C756" s="30" t="s">
        <v>26</v>
      </c>
      <c r="D756" s="40">
        <v>280069</v>
      </c>
      <c r="E756" s="26">
        <v>49911</v>
      </c>
      <c r="F756" s="26">
        <f t="shared" si="22"/>
        <v>329980</v>
      </c>
      <c r="G756" s="40">
        <v>276970</v>
      </c>
      <c r="H756" s="26">
        <v>83900</v>
      </c>
      <c r="I756" s="27">
        <f t="shared" si="23"/>
        <v>360870</v>
      </c>
      <c r="J756" s="40">
        <v>310515</v>
      </c>
      <c r="K756" s="26">
        <v>64580</v>
      </c>
      <c r="L756" s="27">
        <v>375095</v>
      </c>
      <c r="M756" s="26">
        <v>314496</v>
      </c>
      <c r="N756" s="26">
        <v>54178</v>
      </c>
      <c r="O756" s="27">
        <v>368674</v>
      </c>
      <c r="P756" s="26">
        <v>305525</v>
      </c>
      <c r="Q756" s="26">
        <v>58149</v>
      </c>
      <c r="R756" s="27">
        <v>363674</v>
      </c>
      <c r="S756" s="26">
        <v>285045</v>
      </c>
      <c r="T756" s="26">
        <v>51670</v>
      </c>
      <c r="U756" s="27">
        <v>336715</v>
      </c>
      <c r="V756" s="26">
        <v>278260</v>
      </c>
      <c r="W756" s="26">
        <v>50835</v>
      </c>
      <c r="X756" s="31">
        <v>329095</v>
      </c>
      <c r="Y756" s="16">
        <v>282720</v>
      </c>
      <c r="Z756" s="16">
        <v>47524</v>
      </c>
      <c r="AA756" s="31">
        <v>330244</v>
      </c>
      <c r="AB756" s="32">
        <v>288460</v>
      </c>
      <c r="AC756" s="16">
        <v>64546</v>
      </c>
      <c r="AD756" s="31">
        <v>353006</v>
      </c>
      <c r="AE756" s="16">
        <v>278965</v>
      </c>
      <c r="AF756" s="16">
        <v>44620</v>
      </c>
      <c r="AG756" s="31">
        <v>323585</v>
      </c>
      <c r="AH756" s="16">
        <v>268806.44359534205</v>
      </c>
      <c r="AI756" s="16">
        <v>42101</v>
      </c>
      <c r="AJ756" s="31">
        <v>310907.44359534205</v>
      </c>
      <c r="AK756" s="16">
        <v>265717.44359534205</v>
      </c>
      <c r="AL756" s="16">
        <v>42162</v>
      </c>
      <c r="AM756" s="31">
        <v>307879.44359534205</v>
      </c>
      <c r="AN756" s="16">
        <v>298450.44359534205</v>
      </c>
      <c r="AO756" s="16">
        <v>51895</v>
      </c>
      <c r="AP756" s="31">
        <v>350345.44359534205</v>
      </c>
      <c r="AQ756" s="42"/>
      <c r="AR756" s="43"/>
      <c r="AS756" s="42"/>
      <c r="AT756" s="42"/>
    </row>
    <row r="757" spans="1:46" ht="12.9" customHeight="1" x14ac:dyDescent="0.25">
      <c r="A757" s="28" t="s">
        <v>1545</v>
      </c>
      <c r="B757" s="29" t="s">
        <v>1546</v>
      </c>
      <c r="C757" s="30" t="s">
        <v>191</v>
      </c>
      <c r="D757" s="40">
        <v>13483</v>
      </c>
      <c r="E757" s="26">
        <v>4326</v>
      </c>
      <c r="F757" s="26">
        <f t="shared" si="22"/>
        <v>17809</v>
      </c>
      <c r="G757" s="40">
        <v>14057</v>
      </c>
      <c r="H757" s="26">
        <v>2275</v>
      </c>
      <c r="I757" s="27">
        <f t="shared" si="23"/>
        <v>16332</v>
      </c>
      <c r="J757" s="40">
        <v>14444</v>
      </c>
      <c r="K757" s="26">
        <v>3019</v>
      </c>
      <c r="L757" s="27">
        <v>17463</v>
      </c>
      <c r="M757" s="26">
        <v>14084</v>
      </c>
      <c r="N757" s="26">
        <v>4771</v>
      </c>
      <c r="O757" s="27">
        <v>18855</v>
      </c>
      <c r="P757" s="26">
        <v>14342</v>
      </c>
      <c r="Q757" s="26">
        <v>3388</v>
      </c>
      <c r="R757" s="27">
        <v>17730</v>
      </c>
      <c r="S757" s="26">
        <v>13279</v>
      </c>
      <c r="T757" s="26">
        <v>3866</v>
      </c>
      <c r="U757" s="27">
        <v>17145</v>
      </c>
      <c r="V757" s="26">
        <v>11877</v>
      </c>
      <c r="W757" s="26">
        <v>4658</v>
      </c>
      <c r="X757" s="31">
        <v>16535</v>
      </c>
      <c r="Y757" s="16">
        <v>13473</v>
      </c>
      <c r="Z757" s="16">
        <v>3673</v>
      </c>
      <c r="AA757" s="31">
        <v>17146</v>
      </c>
      <c r="AB757" s="32">
        <v>14944</v>
      </c>
      <c r="AC757" s="16">
        <v>3370</v>
      </c>
      <c r="AD757" s="31">
        <v>18314</v>
      </c>
      <c r="AE757" s="16">
        <v>14378</v>
      </c>
      <c r="AF757" s="16">
        <v>2874</v>
      </c>
      <c r="AG757" s="31">
        <v>17252</v>
      </c>
      <c r="AH757" s="16">
        <v>13080</v>
      </c>
      <c r="AI757" s="16">
        <v>2666</v>
      </c>
      <c r="AJ757" s="31">
        <v>15746</v>
      </c>
      <c r="AK757" s="16">
        <v>11940</v>
      </c>
      <c r="AL757" s="16">
        <v>2465</v>
      </c>
      <c r="AM757" s="31">
        <v>14405</v>
      </c>
      <c r="AN757" s="16">
        <v>13093</v>
      </c>
      <c r="AO757" s="16">
        <v>1670</v>
      </c>
      <c r="AP757" s="31">
        <v>14763</v>
      </c>
      <c r="AQ757" s="42"/>
      <c r="AR757" s="43"/>
      <c r="AS757" s="42"/>
      <c r="AT757" s="42"/>
    </row>
    <row r="758" spans="1:46" ht="12.9" customHeight="1" x14ac:dyDescent="0.25">
      <c r="A758" s="28" t="s">
        <v>1547</v>
      </c>
      <c r="B758" s="29" t="s">
        <v>1548</v>
      </c>
      <c r="C758" s="30" t="s">
        <v>23</v>
      </c>
      <c r="D758" s="40">
        <v>13247</v>
      </c>
      <c r="E758" s="26">
        <v>11413</v>
      </c>
      <c r="F758" s="26">
        <f t="shared" si="22"/>
        <v>24660</v>
      </c>
      <c r="G758" s="40">
        <v>14049</v>
      </c>
      <c r="H758" s="26">
        <v>24150</v>
      </c>
      <c r="I758" s="27">
        <f t="shared" si="23"/>
        <v>38199</v>
      </c>
      <c r="J758" s="40">
        <v>14603</v>
      </c>
      <c r="K758" s="26">
        <v>22992</v>
      </c>
      <c r="L758" s="27">
        <v>37595</v>
      </c>
      <c r="M758" s="26">
        <v>14573</v>
      </c>
      <c r="N758" s="26">
        <v>14902</v>
      </c>
      <c r="O758" s="27">
        <v>29475</v>
      </c>
      <c r="P758" s="26">
        <v>14118</v>
      </c>
      <c r="Q758" s="26">
        <v>12709</v>
      </c>
      <c r="R758" s="27">
        <v>26827</v>
      </c>
      <c r="S758" s="26">
        <v>13370</v>
      </c>
      <c r="T758" s="26">
        <v>11050</v>
      </c>
      <c r="U758" s="27">
        <v>24420</v>
      </c>
      <c r="V758" s="26">
        <v>12230</v>
      </c>
      <c r="W758" s="26">
        <v>10179</v>
      </c>
      <c r="X758" s="31">
        <v>22409</v>
      </c>
      <c r="Y758" s="16">
        <v>12727</v>
      </c>
      <c r="Z758" s="16">
        <v>23234</v>
      </c>
      <c r="AA758" s="31">
        <v>35961</v>
      </c>
      <c r="AB758" s="32">
        <v>12513</v>
      </c>
      <c r="AC758" s="16">
        <v>19092</v>
      </c>
      <c r="AD758" s="31">
        <v>31605</v>
      </c>
      <c r="AE758" s="16">
        <v>12945</v>
      </c>
      <c r="AF758" s="16">
        <v>18138</v>
      </c>
      <c r="AG758" s="31">
        <v>31083</v>
      </c>
      <c r="AH758" s="16">
        <v>13413</v>
      </c>
      <c r="AI758" s="16">
        <v>19463</v>
      </c>
      <c r="AJ758" s="31">
        <v>32876</v>
      </c>
      <c r="AK758" s="16">
        <v>13590</v>
      </c>
      <c r="AL758" s="16">
        <v>14669</v>
      </c>
      <c r="AM758" s="31">
        <v>28259</v>
      </c>
      <c r="AN758" s="16">
        <v>13442</v>
      </c>
      <c r="AO758" s="16">
        <v>17015</v>
      </c>
      <c r="AP758" s="31">
        <v>30457</v>
      </c>
      <c r="AQ758" s="42"/>
      <c r="AR758" s="43"/>
      <c r="AS758" s="42"/>
      <c r="AT758" s="42"/>
    </row>
    <row r="759" spans="1:46" ht="18.600000000000001" customHeight="1" x14ac:dyDescent="0.25">
      <c r="A759" s="28" t="s">
        <v>1549</v>
      </c>
      <c r="B759" s="29" t="s">
        <v>1550</v>
      </c>
      <c r="C759" s="30" t="s">
        <v>153</v>
      </c>
      <c r="D759" s="40">
        <v>285065</v>
      </c>
      <c r="E759" s="26">
        <v>78793</v>
      </c>
      <c r="F759" s="26">
        <f t="shared" si="22"/>
        <v>363858</v>
      </c>
      <c r="G759" s="40">
        <v>339897</v>
      </c>
      <c r="H759" s="26">
        <v>72311</v>
      </c>
      <c r="I759" s="27">
        <f t="shared" si="23"/>
        <v>412208</v>
      </c>
      <c r="J759" s="40">
        <v>329027</v>
      </c>
      <c r="K759" s="26">
        <v>56240</v>
      </c>
      <c r="L759" s="27">
        <v>385267</v>
      </c>
      <c r="M759" s="26">
        <v>355223</v>
      </c>
      <c r="N759" s="26">
        <v>57266</v>
      </c>
      <c r="O759" s="27">
        <v>412489</v>
      </c>
      <c r="P759" s="26">
        <v>367062</v>
      </c>
      <c r="Q759" s="26">
        <v>50281</v>
      </c>
      <c r="R759" s="27">
        <v>417343</v>
      </c>
      <c r="S759" s="26">
        <v>328849</v>
      </c>
      <c r="T759" s="26">
        <v>77730</v>
      </c>
      <c r="U759" s="27">
        <v>406579</v>
      </c>
      <c r="V759" s="26">
        <v>330379</v>
      </c>
      <c r="W759" s="26">
        <v>55748</v>
      </c>
      <c r="X759" s="31">
        <v>386127</v>
      </c>
      <c r="Y759" s="16">
        <v>341548</v>
      </c>
      <c r="Z759" s="16">
        <v>64716</v>
      </c>
      <c r="AA759" s="31">
        <v>406264</v>
      </c>
      <c r="AB759" s="32">
        <v>331982</v>
      </c>
      <c r="AC759" s="16">
        <v>66089</v>
      </c>
      <c r="AD759" s="31">
        <v>398071</v>
      </c>
      <c r="AE759" s="16">
        <v>342828</v>
      </c>
      <c r="AF759" s="16">
        <v>67214</v>
      </c>
      <c r="AG759" s="31">
        <v>410042</v>
      </c>
      <c r="AH759" s="16">
        <v>340483</v>
      </c>
      <c r="AI759" s="16">
        <v>65364</v>
      </c>
      <c r="AJ759" s="31">
        <v>405847</v>
      </c>
      <c r="AK759" s="16">
        <v>336535</v>
      </c>
      <c r="AL759" s="16">
        <v>68504</v>
      </c>
      <c r="AM759" s="31">
        <v>405039</v>
      </c>
      <c r="AN759" s="16">
        <v>359243</v>
      </c>
      <c r="AO759" s="16">
        <v>77298</v>
      </c>
      <c r="AP759" s="31">
        <v>436541</v>
      </c>
      <c r="AQ759" s="42"/>
      <c r="AR759" s="43"/>
      <c r="AS759" s="42"/>
      <c r="AT759" s="42"/>
    </row>
    <row r="760" spans="1:46" ht="20.399999999999999" customHeight="1" x14ac:dyDescent="0.25">
      <c r="A760" s="28" t="s">
        <v>1551</v>
      </c>
      <c r="B760" s="29" t="s">
        <v>1552</v>
      </c>
      <c r="C760" s="30" t="s">
        <v>191</v>
      </c>
      <c r="D760" s="40">
        <v>262237</v>
      </c>
      <c r="E760" s="26">
        <v>410651</v>
      </c>
      <c r="F760" s="26">
        <f t="shared" si="22"/>
        <v>672888</v>
      </c>
      <c r="G760" s="40">
        <v>280321</v>
      </c>
      <c r="H760" s="26">
        <v>427712</v>
      </c>
      <c r="I760" s="27">
        <f t="shared" si="23"/>
        <v>708033</v>
      </c>
      <c r="J760" s="40">
        <v>259924</v>
      </c>
      <c r="K760" s="26">
        <v>438268</v>
      </c>
      <c r="L760" s="27">
        <v>698192</v>
      </c>
      <c r="M760" s="26">
        <v>269472</v>
      </c>
      <c r="N760" s="26">
        <v>405742</v>
      </c>
      <c r="O760" s="27">
        <v>675214</v>
      </c>
      <c r="P760" s="26">
        <v>277188</v>
      </c>
      <c r="Q760" s="26">
        <v>423561</v>
      </c>
      <c r="R760" s="27">
        <v>700749</v>
      </c>
      <c r="S760" s="26">
        <v>258372</v>
      </c>
      <c r="T760" s="26">
        <v>435175</v>
      </c>
      <c r="U760" s="27">
        <v>693547</v>
      </c>
      <c r="V760" s="26">
        <v>251588</v>
      </c>
      <c r="W760" s="26">
        <v>417837</v>
      </c>
      <c r="X760" s="31">
        <v>669425</v>
      </c>
      <c r="Y760" s="16">
        <v>249605</v>
      </c>
      <c r="Z760" s="16">
        <v>397689</v>
      </c>
      <c r="AA760" s="31">
        <v>647294</v>
      </c>
      <c r="AB760" s="32">
        <v>249990</v>
      </c>
      <c r="AC760" s="16">
        <v>409623</v>
      </c>
      <c r="AD760" s="31">
        <v>659613</v>
      </c>
      <c r="AE760" s="16">
        <v>242069</v>
      </c>
      <c r="AF760" s="16">
        <v>390769</v>
      </c>
      <c r="AG760" s="31">
        <v>632838</v>
      </c>
      <c r="AH760" s="16">
        <v>242902</v>
      </c>
      <c r="AI760" s="16">
        <v>386199</v>
      </c>
      <c r="AJ760" s="31">
        <v>629101</v>
      </c>
      <c r="AK760" s="16">
        <v>242802</v>
      </c>
      <c r="AL760" s="16">
        <v>390384</v>
      </c>
      <c r="AM760" s="31">
        <v>633186</v>
      </c>
      <c r="AN760" s="16">
        <v>250319</v>
      </c>
      <c r="AO760" s="16">
        <v>419459</v>
      </c>
      <c r="AP760" s="31">
        <v>669778</v>
      </c>
      <c r="AQ760" s="42"/>
      <c r="AR760" s="43"/>
      <c r="AS760" s="42"/>
      <c r="AT760" s="42"/>
    </row>
    <row r="761" spans="1:46" ht="12.9" customHeight="1" x14ac:dyDescent="0.25">
      <c r="A761" s="28" t="s">
        <v>1553</v>
      </c>
      <c r="B761" s="29" t="s">
        <v>1554</v>
      </c>
      <c r="C761" s="30" t="s">
        <v>113</v>
      </c>
      <c r="D761" s="40">
        <v>7088</v>
      </c>
      <c r="E761" s="26">
        <v>13840</v>
      </c>
      <c r="F761" s="26">
        <f t="shared" si="22"/>
        <v>20928</v>
      </c>
      <c r="G761" s="40">
        <v>7729</v>
      </c>
      <c r="H761" s="26">
        <v>16309</v>
      </c>
      <c r="I761" s="27">
        <f t="shared" si="23"/>
        <v>24038</v>
      </c>
      <c r="J761" s="40">
        <v>14011</v>
      </c>
      <c r="K761" s="26">
        <v>12547</v>
      </c>
      <c r="L761" s="27">
        <v>26558</v>
      </c>
      <c r="M761" s="26">
        <v>7331</v>
      </c>
      <c r="N761" s="26">
        <v>6627</v>
      </c>
      <c r="O761" s="27">
        <v>13958</v>
      </c>
      <c r="P761" s="26">
        <v>5329</v>
      </c>
      <c r="Q761" s="26">
        <v>5485</v>
      </c>
      <c r="R761" s="27">
        <v>10814</v>
      </c>
      <c r="S761" s="26">
        <v>6901</v>
      </c>
      <c r="T761" s="26">
        <v>6691</v>
      </c>
      <c r="U761" s="27">
        <v>13592</v>
      </c>
      <c r="V761" s="26">
        <v>4860</v>
      </c>
      <c r="W761" s="26">
        <v>6363</v>
      </c>
      <c r="X761" s="31">
        <v>11223</v>
      </c>
      <c r="Y761" s="16">
        <v>4879</v>
      </c>
      <c r="Z761" s="16">
        <v>6493</v>
      </c>
      <c r="AA761" s="31">
        <v>11372</v>
      </c>
      <c r="AB761" s="32">
        <v>4355</v>
      </c>
      <c r="AC761" s="16">
        <v>5093</v>
      </c>
      <c r="AD761" s="31">
        <v>9448</v>
      </c>
      <c r="AE761" s="16">
        <v>4335</v>
      </c>
      <c r="AF761" s="16">
        <v>4284</v>
      </c>
      <c r="AG761" s="31">
        <v>8619</v>
      </c>
      <c r="AH761" s="16">
        <v>4335</v>
      </c>
      <c r="AI761" s="16">
        <v>4284</v>
      </c>
      <c r="AJ761" s="31">
        <v>8619</v>
      </c>
      <c r="AK761" s="16">
        <v>4968</v>
      </c>
      <c r="AL761" s="16">
        <v>4862</v>
      </c>
      <c r="AM761" s="31">
        <v>9830</v>
      </c>
      <c r="AN761" s="16">
        <v>9960</v>
      </c>
      <c r="AO761" s="16">
        <v>9734</v>
      </c>
      <c r="AP761" s="31">
        <v>19694</v>
      </c>
      <c r="AQ761" s="42"/>
      <c r="AR761" s="43"/>
      <c r="AS761" s="42"/>
      <c r="AT761" s="42"/>
    </row>
    <row r="762" spans="1:46" ht="12.9" customHeight="1" x14ac:dyDescent="0.25">
      <c r="A762" s="28" t="s">
        <v>1555</v>
      </c>
      <c r="B762" s="29" t="s">
        <v>1556</v>
      </c>
      <c r="C762" s="30" t="s">
        <v>26</v>
      </c>
      <c r="D762" s="40">
        <v>32826</v>
      </c>
      <c r="E762" s="26">
        <v>4318</v>
      </c>
      <c r="F762" s="26">
        <f t="shared" si="22"/>
        <v>37144</v>
      </c>
      <c r="G762" s="40">
        <v>34535</v>
      </c>
      <c r="H762" s="26">
        <v>5438</v>
      </c>
      <c r="I762" s="27">
        <f t="shared" si="23"/>
        <v>39973</v>
      </c>
      <c r="J762" s="40">
        <v>39289</v>
      </c>
      <c r="K762" s="26">
        <v>5863</v>
      </c>
      <c r="L762" s="27">
        <v>45152</v>
      </c>
      <c r="M762" s="26">
        <v>38447</v>
      </c>
      <c r="N762" s="26">
        <v>6570</v>
      </c>
      <c r="O762" s="27">
        <v>45017</v>
      </c>
      <c r="P762" s="26">
        <v>39279</v>
      </c>
      <c r="Q762" s="26">
        <v>9936</v>
      </c>
      <c r="R762" s="27">
        <v>49215</v>
      </c>
      <c r="S762" s="26">
        <v>35506</v>
      </c>
      <c r="T762" s="26">
        <v>7814</v>
      </c>
      <c r="U762" s="27">
        <v>43320</v>
      </c>
      <c r="V762" s="26">
        <v>35096</v>
      </c>
      <c r="W762" s="26">
        <v>9383</v>
      </c>
      <c r="X762" s="31">
        <v>44479</v>
      </c>
      <c r="Y762" s="16">
        <v>36917</v>
      </c>
      <c r="Z762" s="16">
        <v>9252</v>
      </c>
      <c r="AA762" s="31">
        <v>46169</v>
      </c>
      <c r="AB762" s="32">
        <v>35367</v>
      </c>
      <c r="AC762" s="16">
        <v>10587</v>
      </c>
      <c r="AD762" s="31">
        <v>45954</v>
      </c>
      <c r="AE762" s="16">
        <v>34335</v>
      </c>
      <c r="AF762" s="16">
        <v>9705</v>
      </c>
      <c r="AG762" s="31">
        <v>44040</v>
      </c>
      <c r="AH762" s="16">
        <v>35070</v>
      </c>
      <c r="AI762" s="16">
        <v>8409</v>
      </c>
      <c r="AJ762" s="31">
        <v>43479</v>
      </c>
      <c r="AK762" s="16">
        <v>34786</v>
      </c>
      <c r="AL762" s="16">
        <v>11431</v>
      </c>
      <c r="AM762" s="31">
        <v>46217</v>
      </c>
      <c r="AN762" s="16">
        <v>38056</v>
      </c>
      <c r="AO762" s="16">
        <v>8419</v>
      </c>
      <c r="AP762" s="31">
        <v>46475</v>
      </c>
      <c r="AQ762" s="42"/>
      <c r="AR762" s="43"/>
      <c r="AS762" s="42"/>
      <c r="AT762" s="42"/>
    </row>
    <row r="763" spans="1:46" ht="12.9" customHeight="1" x14ac:dyDescent="0.25">
      <c r="A763" s="28" t="s">
        <v>1557</v>
      </c>
      <c r="B763" s="29" t="s">
        <v>1558</v>
      </c>
      <c r="C763" s="30" t="s">
        <v>184</v>
      </c>
      <c r="D763" s="40">
        <v>5291</v>
      </c>
      <c r="E763" s="26">
        <v>23492</v>
      </c>
      <c r="F763" s="26">
        <f t="shared" si="22"/>
        <v>28783</v>
      </c>
      <c r="G763" s="40">
        <v>5606</v>
      </c>
      <c r="H763" s="26">
        <v>22343</v>
      </c>
      <c r="I763" s="27">
        <f t="shared" si="23"/>
        <v>27949</v>
      </c>
      <c r="J763" s="40">
        <v>6142</v>
      </c>
      <c r="K763" s="26">
        <v>22303</v>
      </c>
      <c r="L763" s="27">
        <v>28445</v>
      </c>
      <c r="M763" s="26">
        <v>6810</v>
      </c>
      <c r="N763" s="26">
        <v>18880</v>
      </c>
      <c r="O763" s="27">
        <v>25690</v>
      </c>
      <c r="P763" s="26">
        <v>6310</v>
      </c>
      <c r="Q763" s="26">
        <v>12838</v>
      </c>
      <c r="R763" s="27">
        <v>19148</v>
      </c>
      <c r="S763" s="26">
        <v>6510</v>
      </c>
      <c r="T763" s="26">
        <v>15501</v>
      </c>
      <c r="U763" s="27">
        <v>22011</v>
      </c>
      <c r="V763" s="26">
        <v>6131</v>
      </c>
      <c r="W763" s="26">
        <v>9372</v>
      </c>
      <c r="X763" s="31">
        <v>15503</v>
      </c>
      <c r="Y763" s="16">
        <v>7999</v>
      </c>
      <c r="Z763" s="16">
        <v>18933</v>
      </c>
      <c r="AA763" s="31">
        <v>26932</v>
      </c>
      <c r="AB763" s="32">
        <v>6204</v>
      </c>
      <c r="AC763" s="16">
        <v>25476</v>
      </c>
      <c r="AD763" s="31">
        <v>31680</v>
      </c>
      <c r="AE763" s="16">
        <v>6660</v>
      </c>
      <c r="AF763" s="16">
        <v>15904</v>
      </c>
      <c r="AG763" s="31">
        <v>22564</v>
      </c>
      <c r="AH763" s="16">
        <v>6441</v>
      </c>
      <c r="AI763" s="16">
        <v>10946</v>
      </c>
      <c r="AJ763" s="31">
        <v>17387</v>
      </c>
      <c r="AK763" s="16">
        <v>4613</v>
      </c>
      <c r="AL763" s="16">
        <v>6712</v>
      </c>
      <c r="AM763" s="31">
        <v>11325</v>
      </c>
      <c r="AN763" s="16">
        <v>4991</v>
      </c>
      <c r="AO763" s="16">
        <v>14148</v>
      </c>
      <c r="AP763" s="31">
        <v>19139</v>
      </c>
      <c r="AQ763" s="42"/>
      <c r="AR763" s="43"/>
      <c r="AS763" s="42"/>
      <c r="AT763" s="42"/>
    </row>
    <row r="764" spans="1:46" ht="12.9" customHeight="1" x14ac:dyDescent="0.25">
      <c r="A764" s="28" t="s">
        <v>1559</v>
      </c>
      <c r="B764" s="29" t="s">
        <v>1560</v>
      </c>
      <c r="C764" s="30" t="s">
        <v>153</v>
      </c>
      <c r="D764" s="40">
        <v>8932</v>
      </c>
      <c r="E764" s="26">
        <v>1831</v>
      </c>
      <c r="F764" s="26">
        <f t="shared" si="22"/>
        <v>10763</v>
      </c>
      <c r="G764" s="40">
        <v>9215</v>
      </c>
      <c r="H764" s="26">
        <v>1850</v>
      </c>
      <c r="I764" s="27">
        <f t="shared" si="23"/>
        <v>11065</v>
      </c>
      <c r="J764" s="40">
        <v>9298</v>
      </c>
      <c r="K764" s="26">
        <v>1815</v>
      </c>
      <c r="L764" s="27">
        <v>11113</v>
      </c>
      <c r="M764" s="26">
        <v>10275</v>
      </c>
      <c r="N764" s="26">
        <v>1657</v>
      </c>
      <c r="O764" s="27">
        <v>11932</v>
      </c>
      <c r="P764" s="26">
        <v>8743</v>
      </c>
      <c r="Q764" s="26">
        <v>1468</v>
      </c>
      <c r="R764" s="27">
        <v>10211</v>
      </c>
      <c r="S764" s="26">
        <v>9182</v>
      </c>
      <c r="T764" s="26">
        <v>1874</v>
      </c>
      <c r="U764" s="27">
        <v>11056</v>
      </c>
      <c r="V764" s="26">
        <v>7109</v>
      </c>
      <c r="W764" s="26">
        <v>1468</v>
      </c>
      <c r="X764" s="31">
        <v>8577</v>
      </c>
      <c r="Y764" s="16">
        <v>6900</v>
      </c>
      <c r="Z764" s="16">
        <v>1631</v>
      </c>
      <c r="AA764" s="31">
        <v>8531</v>
      </c>
      <c r="AB764" s="32">
        <v>7023</v>
      </c>
      <c r="AC764" s="16">
        <v>1629</v>
      </c>
      <c r="AD764" s="31">
        <v>8652</v>
      </c>
      <c r="AE764" s="16">
        <v>6054</v>
      </c>
      <c r="AF764" s="16">
        <v>2183</v>
      </c>
      <c r="AG764" s="31">
        <v>8237</v>
      </c>
      <c r="AH764" s="16">
        <v>6196</v>
      </c>
      <c r="AI764" s="16">
        <v>1963</v>
      </c>
      <c r="AJ764" s="31">
        <v>8159</v>
      </c>
      <c r="AK764" s="16">
        <v>11161</v>
      </c>
      <c r="AL764" s="16">
        <v>1429</v>
      </c>
      <c r="AM764" s="31">
        <v>12590</v>
      </c>
      <c r="AN764" s="16">
        <v>10560</v>
      </c>
      <c r="AO764" s="16">
        <v>302</v>
      </c>
      <c r="AP764" s="31">
        <v>10862</v>
      </c>
      <c r="AQ764" s="42"/>
      <c r="AR764" s="43"/>
      <c r="AS764" s="42"/>
      <c r="AT764" s="42"/>
    </row>
    <row r="765" spans="1:46" ht="12.9" customHeight="1" x14ac:dyDescent="0.25">
      <c r="A765" s="28" t="s">
        <v>1561</v>
      </c>
      <c r="B765" s="29" t="s">
        <v>1562</v>
      </c>
      <c r="C765" s="30" t="s">
        <v>26</v>
      </c>
      <c r="D765" s="40">
        <v>372435</v>
      </c>
      <c r="E765" s="26">
        <v>162753</v>
      </c>
      <c r="F765" s="26">
        <f t="shared" si="22"/>
        <v>535188</v>
      </c>
      <c r="G765" s="40">
        <v>401009</v>
      </c>
      <c r="H765" s="26">
        <v>174860</v>
      </c>
      <c r="I765" s="27">
        <f t="shared" si="23"/>
        <v>575869</v>
      </c>
      <c r="J765" s="40">
        <v>440925</v>
      </c>
      <c r="K765" s="26">
        <v>209956</v>
      </c>
      <c r="L765" s="27">
        <v>650881</v>
      </c>
      <c r="M765" s="26">
        <v>385586</v>
      </c>
      <c r="N765" s="26">
        <v>162038</v>
      </c>
      <c r="O765" s="27">
        <v>547624</v>
      </c>
      <c r="P765" s="26">
        <v>421864</v>
      </c>
      <c r="Q765" s="26">
        <v>173109</v>
      </c>
      <c r="R765" s="27">
        <v>594973</v>
      </c>
      <c r="S765" s="26">
        <v>412918</v>
      </c>
      <c r="T765" s="26">
        <v>163558</v>
      </c>
      <c r="U765" s="27">
        <v>576476</v>
      </c>
      <c r="V765" s="26">
        <v>399302</v>
      </c>
      <c r="W765" s="26">
        <v>158225</v>
      </c>
      <c r="X765" s="31">
        <v>557527</v>
      </c>
      <c r="Y765" s="16">
        <v>409557</v>
      </c>
      <c r="Z765" s="16">
        <v>155753</v>
      </c>
      <c r="AA765" s="31">
        <v>565310</v>
      </c>
      <c r="AB765" s="32">
        <v>415916</v>
      </c>
      <c r="AC765" s="16">
        <v>185280</v>
      </c>
      <c r="AD765" s="31">
        <v>601196</v>
      </c>
      <c r="AE765" s="16">
        <v>396745</v>
      </c>
      <c r="AF765" s="16">
        <v>142493</v>
      </c>
      <c r="AG765" s="31">
        <v>539238</v>
      </c>
      <c r="AH765" s="16">
        <v>380467.3232876712</v>
      </c>
      <c r="AI765" s="16">
        <v>119851</v>
      </c>
      <c r="AJ765" s="31">
        <v>500318.3232876712</v>
      </c>
      <c r="AK765" s="16">
        <v>390120</v>
      </c>
      <c r="AL765" s="16">
        <v>117122</v>
      </c>
      <c r="AM765" s="31">
        <v>507242</v>
      </c>
      <c r="AN765" s="16">
        <v>437267</v>
      </c>
      <c r="AO765" s="16">
        <v>124533</v>
      </c>
      <c r="AP765" s="31">
        <v>561800</v>
      </c>
      <c r="AQ765" s="42"/>
      <c r="AR765" s="43"/>
      <c r="AS765" s="42"/>
      <c r="AT765" s="42"/>
    </row>
    <row r="766" spans="1:46" ht="12.9" customHeight="1" x14ac:dyDescent="0.25">
      <c r="A766" s="28" t="s">
        <v>1563</v>
      </c>
      <c r="B766" s="29" t="s">
        <v>1564</v>
      </c>
      <c r="C766" s="30" t="s">
        <v>357</v>
      </c>
      <c r="D766" s="40">
        <v>31883</v>
      </c>
      <c r="E766" s="26">
        <v>27600</v>
      </c>
      <c r="F766" s="26">
        <f t="shared" si="22"/>
        <v>59483</v>
      </c>
      <c r="G766" s="40">
        <v>33738</v>
      </c>
      <c r="H766" s="26">
        <v>37241</v>
      </c>
      <c r="I766" s="27">
        <f t="shared" si="23"/>
        <v>70979</v>
      </c>
      <c r="J766" s="40">
        <v>29010</v>
      </c>
      <c r="K766" s="26">
        <v>50312</v>
      </c>
      <c r="L766" s="27">
        <v>79322</v>
      </c>
      <c r="M766" s="26">
        <v>36300</v>
      </c>
      <c r="N766" s="26">
        <v>44497</v>
      </c>
      <c r="O766" s="27">
        <v>80797</v>
      </c>
      <c r="P766" s="26">
        <v>36589</v>
      </c>
      <c r="Q766" s="26">
        <v>37870</v>
      </c>
      <c r="R766" s="27">
        <v>74459</v>
      </c>
      <c r="S766" s="26">
        <v>34185</v>
      </c>
      <c r="T766" s="26">
        <v>38840</v>
      </c>
      <c r="U766" s="27">
        <v>73025</v>
      </c>
      <c r="V766" s="26">
        <v>32554</v>
      </c>
      <c r="W766" s="26">
        <v>36455</v>
      </c>
      <c r="X766" s="31">
        <v>69009</v>
      </c>
      <c r="Y766" s="16">
        <v>35079</v>
      </c>
      <c r="Z766" s="16">
        <v>35861</v>
      </c>
      <c r="AA766" s="31">
        <v>70940</v>
      </c>
      <c r="AB766" s="32">
        <v>35832</v>
      </c>
      <c r="AC766" s="16">
        <v>32704</v>
      </c>
      <c r="AD766" s="31">
        <v>68536</v>
      </c>
      <c r="AE766" s="16">
        <v>25355</v>
      </c>
      <c r="AF766" s="16">
        <v>26905</v>
      </c>
      <c r="AG766" s="31">
        <v>52260</v>
      </c>
      <c r="AH766" s="16">
        <v>33899</v>
      </c>
      <c r="AI766" s="16">
        <v>27763</v>
      </c>
      <c r="AJ766" s="31">
        <v>61662</v>
      </c>
      <c r="AK766" s="16">
        <v>35290</v>
      </c>
      <c r="AL766" s="16">
        <v>26183</v>
      </c>
      <c r="AM766" s="31">
        <v>61473</v>
      </c>
      <c r="AN766" s="16">
        <v>38352</v>
      </c>
      <c r="AO766" s="16">
        <v>39852</v>
      </c>
      <c r="AP766" s="31">
        <v>78204</v>
      </c>
      <c r="AQ766" s="42"/>
      <c r="AR766" s="43"/>
      <c r="AS766" s="42"/>
      <c r="AT766" s="42"/>
    </row>
    <row r="767" spans="1:46" ht="12.9" customHeight="1" x14ac:dyDescent="0.25">
      <c r="A767" s="28" t="s">
        <v>1565</v>
      </c>
      <c r="B767" s="29" t="s">
        <v>1566</v>
      </c>
      <c r="C767" s="30" t="s">
        <v>53</v>
      </c>
      <c r="D767" s="40">
        <v>163217</v>
      </c>
      <c r="E767" s="26">
        <v>395023</v>
      </c>
      <c r="F767" s="26">
        <f t="shared" si="22"/>
        <v>558240</v>
      </c>
      <c r="G767" s="40">
        <v>171194</v>
      </c>
      <c r="H767" s="26">
        <v>512377</v>
      </c>
      <c r="I767" s="27">
        <f t="shared" si="23"/>
        <v>683571</v>
      </c>
      <c r="J767" s="40">
        <v>172783</v>
      </c>
      <c r="K767" s="26">
        <v>518996</v>
      </c>
      <c r="L767" s="27">
        <v>691779</v>
      </c>
      <c r="M767" s="26">
        <v>172256</v>
      </c>
      <c r="N767" s="26">
        <v>511041</v>
      </c>
      <c r="O767" s="27">
        <v>683297</v>
      </c>
      <c r="P767" s="26">
        <v>174402</v>
      </c>
      <c r="Q767" s="26">
        <v>461537</v>
      </c>
      <c r="R767" s="27">
        <v>635939</v>
      </c>
      <c r="S767" s="26">
        <v>164706</v>
      </c>
      <c r="T767" s="26">
        <v>486230</v>
      </c>
      <c r="U767" s="27">
        <v>650936</v>
      </c>
      <c r="V767" s="26">
        <v>152095</v>
      </c>
      <c r="W767" s="26">
        <v>567440</v>
      </c>
      <c r="X767" s="31">
        <v>719535</v>
      </c>
      <c r="Y767" s="16">
        <v>153735</v>
      </c>
      <c r="Z767" s="16">
        <v>573841</v>
      </c>
      <c r="AA767" s="31">
        <v>727576</v>
      </c>
      <c r="AB767" s="32">
        <v>148858</v>
      </c>
      <c r="AC767" s="16">
        <v>532300</v>
      </c>
      <c r="AD767" s="31">
        <v>681158</v>
      </c>
      <c r="AE767" s="16">
        <v>157709</v>
      </c>
      <c r="AF767" s="16">
        <v>619182</v>
      </c>
      <c r="AG767" s="31">
        <v>776891</v>
      </c>
      <c r="AH767" s="16">
        <v>161842</v>
      </c>
      <c r="AI767" s="16">
        <v>558189</v>
      </c>
      <c r="AJ767" s="31">
        <v>720031</v>
      </c>
      <c r="AK767" s="16">
        <v>162209</v>
      </c>
      <c r="AL767" s="16">
        <v>518838</v>
      </c>
      <c r="AM767" s="31">
        <v>681047</v>
      </c>
      <c r="AN767" s="16">
        <v>160448.79999999999</v>
      </c>
      <c r="AO767" s="16">
        <v>506280</v>
      </c>
      <c r="AP767" s="31">
        <v>666728.80000000005</v>
      </c>
      <c r="AQ767" s="42"/>
      <c r="AR767" s="43"/>
      <c r="AS767" s="42"/>
      <c r="AT767" s="42"/>
    </row>
    <row r="768" spans="1:46" ht="12.9" customHeight="1" x14ac:dyDescent="0.25">
      <c r="A768" s="28" t="s">
        <v>1567</v>
      </c>
      <c r="B768" s="29" t="s">
        <v>1568</v>
      </c>
      <c r="C768" s="30" t="s">
        <v>150</v>
      </c>
      <c r="D768" s="40">
        <v>60671</v>
      </c>
      <c r="E768" s="26">
        <v>88896</v>
      </c>
      <c r="F768" s="26">
        <f t="shared" si="22"/>
        <v>149567</v>
      </c>
      <c r="G768" s="40">
        <v>65392</v>
      </c>
      <c r="H768" s="26">
        <v>104165</v>
      </c>
      <c r="I768" s="27">
        <f t="shared" si="23"/>
        <v>169557</v>
      </c>
      <c r="J768" s="40">
        <v>70511</v>
      </c>
      <c r="K768" s="26">
        <v>108348</v>
      </c>
      <c r="L768" s="27">
        <v>178859</v>
      </c>
      <c r="M768" s="26">
        <v>68159</v>
      </c>
      <c r="N768" s="26">
        <v>98858</v>
      </c>
      <c r="O768" s="27">
        <v>167017</v>
      </c>
      <c r="P768" s="26">
        <v>69288</v>
      </c>
      <c r="Q768" s="26">
        <v>105694</v>
      </c>
      <c r="R768" s="27">
        <v>174982</v>
      </c>
      <c r="S768" s="26">
        <v>70428</v>
      </c>
      <c r="T768" s="26">
        <v>97104</v>
      </c>
      <c r="U768" s="27">
        <v>167532</v>
      </c>
      <c r="V768" s="26">
        <v>67882</v>
      </c>
      <c r="W768" s="26">
        <v>89460</v>
      </c>
      <c r="X768" s="31">
        <v>157342</v>
      </c>
      <c r="Y768" s="16">
        <v>72111</v>
      </c>
      <c r="Z768" s="16">
        <v>95901</v>
      </c>
      <c r="AA768" s="31">
        <v>168012</v>
      </c>
      <c r="AB768" s="32">
        <v>66321</v>
      </c>
      <c r="AC768" s="16">
        <v>86402</v>
      </c>
      <c r="AD768" s="31">
        <v>152723</v>
      </c>
      <c r="AE768" s="16">
        <v>70854</v>
      </c>
      <c r="AF768" s="16">
        <v>70840</v>
      </c>
      <c r="AG768" s="31">
        <v>141694</v>
      </c>
      <c r="AH768" s="16">
        <v>67519</v>
      </c>
      <c r="AI768" s="16">
        <v>67825</v>
      </c>
      <c r="AJ768" s="31">
        <v>135344</v>
      </c>
      <c r="AK768" s="16">
        <v>69361</v>
      </c>
      <c r="AL768" s="16">
        <v>56994</v>
      </c>
      <c r="AM768" s="31">
        <v>126355</v>
      </c>
      <c r="AN768" s="16">
        <v>78346</v>
      </c>
      <c r="AO768" s="16">
        <v>64692</v>
      </c>
      <c r="AP768" s="31">
        <v>143038</v>
      </c>
      <c r="AQ768" s="42"/>
      <c r="AR768" s="43"/>
      <c r="AS768" s="42"/>
      <c r="AT768" s="42"/>
    </row>
    <row r="769" spans="1:46" ht="12.9" customHeight="1" x14ac:dyDescent="0.25">
      <c r="A769" s="28" t="s">
        <v>1569</v>
      </c>
      <c r="B769" s="29" t="s">
        <v>1570</v>
      </c>
      <c r="C769" s="30" t="s">
        <v>197</v>
      </c>
      <c r="D769" s="40">
        <v>963442</v>
      </c>
      <c r="E769" s="26">
        <v>1044376</v>
      </c>
      <c r="F769" s="26">
        <f t="shared" si="22"/>
        <v>2007818</v>
      </c>
      <c r="G769" s="40">
        <v>997275</v>
      </c>
      <c r="H769" s="26">
        <v>1091903</v>
      </c>
      <c r="I769" s="27">
        <f t="shared" si="23"/>
        <v>2089178</v>
      </c>
      <c r="J769" s="40">
        <v>1037975</v>
      </c>
      <c r="K769" s="26">
        <v>1101714</v>
      </c>
      <c r="L769" s="27">
        <v>2139689</v>
      </c>
      <c r="M769" s="26">
        <v>1082640</v>
      </c>
      <c r="N769" s="26">
        <v>1030324</v>
      </c>
      <c r="O769" s="27">
        <v>2112964</v>
      </c>
      <c r="P769" s="26">
        <v>1111645</v>
      </c>
      <c r="Q769" s="26">
        <v>956836</v>
      </c>
      <c r="R769" s="27">
        <v>2068481</v>
      </c>
      <c r="S769" s="26">
        <v>1012213</v>
      </c>
      <c r="T769" s="26">
        <v>1075105</v>
      </c>
      <c r="U769" s="27">
        <v>2087318</v>
      </c>
      <c r="V769" s="26">
        <v>976115</v>
      </c>
      <c r="W769" s="26">
        <v>991674</v>
      </c>
      <c r="X769" s="31">
        <v>1967789</v>
      </c>
      <c r="Y769" s="16">
        <v>993594</v>
      </c>
      <c r="Z769" s="16">
        <v>960384</v>
      </c>
      <c r="AA769" s="31">
        <v>1953978</v>
      </c>
      <c r="AB769" s="32">
        <v>985631</v>
      </c>
      <c r="AC769" s="16">
        <v>941425</v>
      </c>
      <c r="AD769" s="31">
        <v>1927056</v>
      </c>
      <c r="AE769" s="16">
        <v>979275</v>
      </c>
      <c r="AF769" s="16">
        <v>906095</v>
      </c>
      <c r="AG769" s="31">
        <v>1885370</v>
      </c>
      <c r="AH769" s="16">
        <v>961712</v>
      </c>
      <c r="AI769" s="16">
        <v>901480</v>
      </c>
      <c r="AJ769" s="31">
        <v>1863192</v>
      </c>
      <c r="AK769" s="16">
        <v>944634</v>
      </c>
      <c r="AL769" s="16">
        <v>1076622</v>
      </c>
      <c r="AM769" s="31">
        <v>2021256</v>
      </c>
      <c r="AN769" s="16">
        <v>983244</v>
      </c>
      <c r="AO769" s="16">
        <v>1095648</v>
      </c>
      <c r="AP769" s="31">
        <v>2078892</v>
      </c>
      <c r="AQ769" s="42"/>
      <c r="AR769" s="43"/>
      <c r="AS769" s="42"/>
      <c r="AT769" s="42"/>
    </row>
    <row r="770" spans="1:46" ht="12.9" customHeight="1" x14ac:dyDescent="0.25">
      <c r="A770" s="28" t="s">
        <v>1571</v>
      </c>
      <c r="B770" s="29" t="s">
        <v>1572</v>
      </c>
      <c r="C770" s="30" t="s">
        <v>80</v>
      </c>
      <c r="D770" s="40">
        <v>200561.53846153847</v>
      </c>
      <c r="E770" s="26">
        <v>469600</v>
      </c>
      <c r="F770" s="26">
        <f t="shared" si="22"/>
        <v>670161.5384615385</v>
      </c>
      <c r="G770" s="40">
        <f>178217*1.09090909090909</f>
        <v>194418.54545454544</v>
      </c>
      <c r="H770" s="26">
        <v>476330</v>
      </c>
      <c r="I770" s="27">
        <f t="shared" si="23"/>
        <v>670748.54545454541</v>
      </c>
      <c r="J770" s="40">
        <v>229835</v>
      </c>
      <c r="K770" s="26">
        <v>461817</v>
      </c>
      <c r="L770" s="27">
        <v>691652</v>
      </c>
      <c r="M770" s="26">
        <v>277219</v>
      </c>
      <c r="N770" s="26">
        <v>285175</v>
      </c>
      <c r="O770" s="27">
        <v>562394</v>
      </c>
      <c r="P770" s="26">
        <v>224801</v>
      </c>
      <c r="Q770" s="26">
        <v>207859</v>
      </c>
      <c r="R770" s="27">
        <v>432660</v>
      </c>
      <c r="S770" s="26">
        <v>226886</v>
      </c>
      <c r="T770" s="26">
        <v>487580</v>
      </c>
      <c r="U770" s="27">
        <v>714466</v>
      </c>
      <c r="V770" s="26">
        <v>222979</v>
      </c>
      <c r="W770" s="26">
        <v>500452</v>
      </c>
      <c r="X770" s="31">
        <v>723431</v>
      </c>
      <c r="Y770" s="16">
        <v>222733</v>
      </c>
      <c r="Z770" s="16">
        <v>485738</v>
      </c>
      <c r="AA770" s="31">
        <v>708471</v>
      </c>
      <c r="AB770" s="32">
        <v>215089</v>
      </c>
      <c r="AC770" s="16">
        <v>470428</v>
      </c>
      <c r="AD770" s="31">
        <v>685517</v>
      </c>
      <c r="AE770" s="16">
        <v>223147</v>
      </c>
      <c r="AF770" s="16">
        <v>458861</v>
      </c>
      <c r="AG770" s="31">
        <v>682008</v>
      </c>
      <c r="AH770" s="16">
        <v>210837</v>
      </c>
      <c r="AI770" s="16">
        <v>420331</v>
      </c>
      <c r="AJ770" s="31">
        <v>631168</v>
      </c>
      <c r="AK770" s="16">
        <v>208892</v>
      </c>
      <c r="AL770" s="16">
        <v>440386</v>
      </c>
      <c r="AM770" s="31">
        <v>649278</v>
      </c>
      <c r="AN770" s="16">
        <v>221424</v>
      </c>
      <c r="AO770" s="16">
        <v>410733</v>
      </c>
      <c r="AP770" s="31">
        <v>632157</v>
      </c>
      <c r="AQ770" s="42"/>
      <c r="AR770" s="43"/>
      <c r="AS770" s="42"/>
      <c r="AT770" s="42"/>
    </row>
    <row r="771" spans="1:46" ht="12.9" customHeight="1" x14ac:dyDescent="0.25">
      <c r="A771" s="28" t="s">
        <v>1573</v>
      </c>
      <c r="B771" s="29" t="s">
        <v>1574</v>
      </c>
      <c r="C771" s="30" t="s">
        <v>20</v>
      </c>
      <c r="D771" s="40">
        <v>267546</v>
      </c>
      <c r="E771" s="26">
        <v>203125</v>
      </c>
      <c r="F771" s="26">
        <f t="shared" si="22"/>
        <v>470671</v>
      </c>
      <c r="G771" s="40">
        <v>288643</v>
      </c>
      <c r="H771" s="26">
        <v>219210</v>
      </c>
      <c r="I771" s="27">
        <f t="shared" si="23"/>
        <v>507853</v>
      </c>
      <c r="J771" s="40">
        <v>310329</v>
      </c>
      <c r="K771" s="26">
        <v>225067</v>
      </c>
      <c r="L771" s="27">
        <v>535396</v>
      </c>
      <c r="M771" s="26">
        <v>323794</v>
      </c>
      <c r="N771" s="26">
        <v>247529</v>
      </c>
      <c r="O771" s="27">
        <v>571323</v>
      </c>
      <c r="P771" s="26">
        <v>329369</v>
      </c>
      <c r="Q771" s="26">
        <v>217461</v>
      </c>
      <c r="R771" s="27">
        <v>546830</v>
      </c>
      <c r="S771" s="26">
        <v>303606</v>
      </c>
      <c r="T771" s="26">
        <v>232625</v>
      </c>
      <c r="U771" s="27">
        <v>536231</v>
      </c>
      <c r="V771" s="26">
        <v>293881</v>
      </c>
      <c r="W771" s="26">
        <v>221412</v>
      </c>
      <c r="X771" s="31">
        <v>515293</v>
      </c>
      <c r="Y771" s="16">
        <v>303588</v>
      </c>
      <c r="Z771" s="16">
        <v>226115</v>
      </c>
      <c r="AA771" s="31">
        <v>529703</v>
      </c>
      <c r="AB771" s="32">
        <v>306781</v>
      </c>
      <c r="AC771" s="16">
        <v>220808</v>
      </c>
      <c r="AD771" s="31">
        <v>527589</v>
      </c>
      <c r="AE771" s="16">
        <v>313441</v>
      </c>
      <c r="AF771" s="16">
        <v>226049</v>
      </c>
      <c r="AG771" s="31">
        <v>539490</v>
      </c>
      <c r="AH771" s="16">
        <v>298694</v>
      </c>
      <c r="AI771" s="16">
        <v>229985</v>
      </c>
      <c r="AJ771" s="31">
        <v>528679</v>
      </c>
      <c r="AK771" s="16">
        <v>297787</v>
      </c>
      <c r="AL771" s="16">
        <v>201529</v>
      </c>
      <c r="AM771" s="31">
        <v>499316</v>
      </c>
      <c r="AN771" s="16">
        <v>319474</v>
      </c>
      <c r="AO771" s="16">
        <v>157405</v>
      </c>
      <c r="AP771" s="31">
        <v>476879</v>
      </c>
      <c r="AQ771" s="42"/>
      <c r="AR771" s="43"/>
      <c r="AS771" s="42"/>
      <c r="AT771" s="42"/>
    </row>
    <row r="772" spans="1:46" ht="12.9" customHeight="1" x14ac:dyDescent="0.25">
      <c r="A772" s="28" t="s">
        <v>1575</v>
      </c>
      <c r="B772" s="29" t="s">
        <v>1576</v>
      </c>
      <c r="C772" s="30" t="s">
        <v>218</v>
      </c>
      <c r="D772" s="40">
        <v>33251</v>
      </c>
      <c r="E772" s="26">
        <v>123235</v>
      </c>
      <c r="F772" s="26">
        <f t="shared" si="22"/>
        <v>156486</v>
      </c>
      <c r="G772" s="40">
        <v>32842</v>
      </c>
      <c r="H772" s="26">
        <v>172907</v>
      </c>
      <c r="I772" s="27">
        <f t="shared" si="23"/>
        <v>205749</v>
      </c>
      <c r="J772" s="40">
        <v>37281</v>
      </c>
      <c r="K772" s="26">
        <v>121960</v>
      </c>
      <c r="L772" s="27">
        <v>159241</v>
      </c>
      <c r="M772" s="26">
        <v>30192</v>
      </c>
      <c r="N772" s="26">
        <v>120168</v>
      </c>
      <c r="O772" s="27">
        <v>150360</v>
      </c>
      <c r="P772" s="26">
        <v>60738</v>
      </c>
      <c r="Q772" s="26">
        <v>106934</v>
      </c>
      <c r="R772" s="27">
        <v>167672</v>
      </c>
      <c r="S772" s="26">
        <v>64820</v>
      </c>
      <c r="T772" s="26">
        <v>126600</v>
      </c>
      <c r="U772" s="27">
        <v>191420</v>
      </c>
      <c r="V772" s="26">
        <v>64820</v>
      </c>
      <c r="W772" s="26">
        <v>94973</v>
      </c>
      <c r="X772" s="31">
        <v>159793</v>
      </c>
      <c r="Y772" s="16">
        <v>64820</v>
      </c>
      <c r="Z772" s="16">
        <v>94309</v>
      </c>
      <c r="AA772" s="31">
        <v>159129</v>
      </c>
      <c r="AB772" s="32">
        <v>31426</v>
      </c>
      <c r="AC772" s="16">
        <v>97522</v>
      </c>
      <c r="AD772" s="31">
        <v>128948</v>
      </c>
      <c r="AE772" s="16">
        <v>88933</v>
      </c>
      <c r="AF772" s="16">
        <v>100879</v>
      </c>
      <c r="AG772" s="31">
        <v>189812</v>
      </c>
      <c r="AH772" s="16">
        <v>88933</v>
      </c>
      <c r="AI772" s="16">
        <v>85912</v>
      </c>
      <c r="AJ772" s="31">
        <v>174845</v>
      </c>
      <c r="AK772" s="16">
        <v>92441.996000000014</v>
      </c>
      <c r="AL772" s="16">
        <v>78769</v>
      </c>
      <c r="AM772" s="31">
        <v>171210.99600000001</v>
      </c>
      <c r="AN772" s="16">
        <v>92441.996000000014</v>
      </c>
      <c r="AO772" s="16">
        <v>85837</v>
      </c>
      <c r="AP772" s="31">
        <v>178278.99600000001</v>
      </c>
      <c r="AQ772" s="42"/>
      <c r="AR772" s="43"/>
      <c r="AS772" s="42"/>
      <c r="AT772" s="42"/>
    </row>
    <row r="773" spans="1:46" ht="12.9" customHeight="1" x14ac:dyDescent="0.25">
      <c r="A773" s="28" t="s">
        <v>1577</v>
      </c>
      <c r="B773" s="29" t="s">
        <v>1578</v>
      </c>
      <c r="C773" s="30" t="s">
        <v>274</v>
      </c>
      <c r="D773" s="40">
        <v>177551</v>
      </c>
      <c r="E773" s="26">
        <v>945056</v>
      </c>
      <c r="F773" s="26">
        <f t="shared" si="22"/>
        <v>1122607</v>
      </c>
      <c r="G773" s="40">
        <v>177209</v>
      </c>
      <c r="H773" s="26">
        <v>1174849</v>
      </c>
      <c r="I773" s="27">
        <f t="shared" si="23"/>
        <v>1352058</v>
      </c>
      <c r="J773" s="40">
        <v>200362</v>
      </c>
      <c r="K773" s="26">
        <v>1212288</v>
      </c>
      <c r="L773" s="27">
        <v>1412650</v>
      </c>
      <c r="M773" s="26">
        <v>214865</v>
      </c>
      <c r="N773" s="26">
        <v>1118361</v>
      </c>
      <c r="O773" s="27">
        <v>1333226</v>
      </c>
      <c r="P773" s="26">
        <v>206686</v>
      </c>
      <c r="Q773" s="26">
        <v>1050872</v>
      </c>
      <c r="R773" s="27">
        <v>1257558</v>
      </c>
      <c r="S773" s="26">
        <v>191854</v>
      </c>
      <c r="T773" s="26">
        <v>1035388</v>
      </c>
      <c r="U773" s="27">
        <v>1227242</v>
      </c>
      <c r="V773" s="26">
        <v>188320</v>
      </c>
      <c r="W773" s="26">
        <v>992134</v>
      </c>
      <c r="X773" s="31">
        <v>1180454</v>
      </c>
      <c r="Y773" s="16">
        <v>193035</v>
      </c>
      <c r="Z773" s="16">
        <v>860068</v>
      </c>
      <c r="AA773" s="31">
        <v>1053103</v>
      </c>
      <c r="AB773" s="32">
        <v>188836</v>
      </c>
      <c r="AC773" s="16">
        <v>327751</v>
      </c>
      <c r="AD773" s="31">
        <v>516587</v>
      </c>
      <c r="AE773" s="16">
        <v>187651</v>
      </c>
      <c r="AF773" s="16">
        <v>59477</v>
      </c>
      <c r="AG773" s="31">
        <v>247128</v>
      </c>
      <c r="AH773" s="16">
        <v>182761</v>
      </c>
      <c r="AI773" s="16">
        <v>842882</v>
      </c>
      <c r="AJ773" s="31">
        <v>1025643</v>
      </c>
      <c r="AK773" s="16">
        <v>180917</v>
      </c>
      <c r="AL773" s="16">
        <v>1179082</v>
      </c>
      <c r="AM773" s="31">
        <v>1359999</v>
      </c>
      <c r="AN773" s="16">
        <v>150502</v>
      </c>
      <c r="AO773" s="16">
        <v>1131523</v>
      </c>
      <c r="AP773" s="31">
        <v>1282025</v>
      </c>
      <c r="AQ773" s="42"/>
      <c r="AR773" s="43"/>
      <c r="AS773" s="42"/>
      <c r="AT773" s="42"/>
    </row>
    <row r="774" spans="1:46" ht="12.9" customHeight="1" x14ac:dyDescent="0.25">
      <c r="A774" s="28" t="s">
        <v>1579</v>
      </c>
      <c r="B774" s="29" t="s">
        <v>1580</v>
      </c>
      <c r="C774" s="30" t="s">
        <v>8</v>
      </c>
      <c r="D774" s="40">
        <v>17820</v>
      </c>
      <c r="E774" s="26">
        <v>1593</v>
      </c>
      <c r="F774" s="26">
        <f t="shared" si="22"/>
        <v>19413</v>
      </c>
      <c r="G774" s="40">
        <v>21384</v>
      </c>
      <c r="H774" s="26">
        <v>1899</v>
      </c>
      <c r="I774" s="27">
        <f t="shared" si="23"/>
        <v>23283</v>
      </c>
      <c r="J774" s="40">
        <v>21384</v>
      </c>
      <c r="K774" s="26">
        <v>1268</v>
      </c>
      <c r="L774" s="27">
        <v>22652</v>
      </c>
      <c r="M774" s="26">
        <v>21384</v>
      </c>
      <c r="N774" s="26">
        <v>1788</v>
      </c>
      <c r="O774" s="27">
        <v>23172</v>
      </c>
      <c r="P774" s="26">
        <v>21384</v>
      </c>
      <c r="Q774" s="26">
        <v>1115</v>
      </c>
      <c r="R774" s="27">
        <v>22499</v>
      </c>
      <c r="S774" s="26">
        <v>21600</v>
      </c>
      <c r="T774" s="26">
        <v>1140</v>
      </c>
      <c r="U774" s="27">
        <v>22740</v>
      </c>
      <c r="V774" s="26">
        <v>21600</v>
      </c>
      <c r="W774" s="26">
        <v>1140</v>
      </c>
      <c r="X774" s="31">
        <v>22740</v>
      </c>
      <c r="Y774" s="16">
        <v>21600</v>
      </c>
      <c r="Z774" s="16">
        <v>1140</v>
      </c>
      <c r="AA774" s="31">
        <v>22740</v>
      </c>
      <c r="AB774" s="32">
        <v>21600</v>
      </c>
      <c r="AC774" s="16">
        <v>1140</v>
      </c>
      <c r="AD774" s="31">
        <v>22740</v>
      </c>
      <c r="AE774" s="16">
        <v>21600</v>
      </c>
      <c r="AF774" s="16">
        <v>918</v>
      </c>
      <c r="AG774" s="31">
        <v>22518</v>
      </c>
      <c r="AH774" s="16">
        <v>21492</v>
      </c>
      <c r="AI774" s="16">
        <v>894</v>
      </c>
      <c r="AJ774" s="31">
        <v>22386</v>
      </c>
      <c r="AK774" s="16">
        <v>21600</v>
      </c>
      <c r="AL774" s="16">
        <v>1140</v>
      </c>
      <c r="AM774" s="31">
        <v>22740</v>
      </c>
      <c r="AN774" s="16">
        <v>21600</v>
      </c>
      <c r="AO774" s="16">
        <v>1032</v>
      </c>
      <c r="AP774" s="31">
        <v>22632</v>
      </c>
      <c r="AQ774" s="42"/>
      <c r="AR774" s="43"/>
      <c r="AS774" s="42"/>
      <c r="AT774" s="42"/>
    </row>
    <row r="775" spans="1:46" ht="12.9" customHeight="1" x14ac:dyDescent="0.25">
      <c r="A775" s="28" t="s">
        <v>1581</v>
      </c>
      <c r="B775" s="29" t="s">
        <v>1582</v>
      </c>
      <c r="C775" s="30" t="s">
        <v>34</v>
      </c>
      <c r="D775" s="40">
        <v>14778</v>
      </c>
      <c r="E775" s="26">
        <v>1041</v>
      </c>
      <c r="F775" s="26">
        <f t="shared" si="22"/>
        <v>15819</v>
      </c>
      <c r="G775" s="40">
        <v>14628</v>
      </c>
      <c r="H775" s="26">
        <v>1102</v>
      </c>
      <c r="I775" s="27">
        <f t="shared" si="23"/>
        <v>15730</v>
      </c>
      <c r="J775" s="40">
        <v>13587</v>
      </c>
      <c r="K775" s="26">
        <v>1771</v>
      </c>
      <c r="L775" s="27">
        <v>15358</v>
      </c>
      <c r="M775" s="26">
        <v>14611</v>
      </c>
      <c r="N775" s="26">
        <v>1484</v>
      </c>
      <c r="O775" s="27">
        <v>16095</v>
      </c>
      <c r="P775" s="26">
        <v>15003</v>
      </c>
      <c r="Q775" s="26">
        <v>1799</v>
      </c>
      <c r="R775" s="27">
        <v>16802</v>
      </c>
      <c r="S775" s="26">
        <v>14040</v>
      </c>
      <c r="T775" s="26">
        <v>1606</v>
      </c>
      <c r="U775" s="27">
        <v>15646</v>
      </c>
      <c r="V775" s="26">
        <v>13670</v>
      </c>
      <c r="W775" s="26">
        <v>1728</v>
      </c>
      <c r="X775" s="31">
        <v>15398</v>
      </c>
      <c r="Y775" s="16">
        <v>10464</v>
      </c>
      <c r="Z775" s="16">
        <v>724</v>
      </c>
      <c r="AA775" s="31">
        <v>11188</v>
      </c>
      <c r="AB775" s="32">
        <v>14025</v>
      </c>
      <c r="AC775" s="16">
        <v>1910</v>
      </c>
      <c r="AD775" s="31">
        <v>15935</v>
      </c>
      <c r="AE775" s="16">
        <v>14981</v>
      </c>
      <c r="AF775" s="16">
        <v>1968</v>
      </c>
      <c r="AG775" s="31">
        <v>16949</v>
      </c>
      <c r="AH775" s="16">
        <v>12360</v>
      </c>
      <c r="AI775" s="16">
        <v>83051</v>
      </c>
      <c r="AJ775" s="31">
        <v>95411</v>
      </c>
      <c r="AK775" s="16">
        <v>12360</v>
      </c>
      <c r="AL775" s="16">
        <v>83051</v>
      </c>
      <c r="AM775" s="31">
        <v>95411</v>
      </c>
      <c r="AN775" s="16">
        <v>12360</v>
      </c>
      <c r="AO775" s="16">
        <v>83051</v>
      </c>
      <c r="AP775" s="31">
        <v>95411</v>
      </c>
      <c r="AQ775" s="42"/>
      <c r="AR775" s="43"/>
      <c r="AS775" s="42"/>
      <c r="AT775" s="42"/>
    </row>
    <row r="776" spans="1:46" ht="12.9" customHeight="1" x14ac:dyDescent="0.25">
      <c r="A776" s="28" t="s">
        <v>1583</v>
      </c>
      <c r="B776" s="29" t="s">
        <v>1584</v>
      </c>
      <c r="C776" s="30" t="s">
        <v>23</v>
      </c>
      <c r="D776" s="40">
        <v>46641</v>
      </c>
      <c r="E776" s="26">
        <v>7395</v>
      </c>
      <c r="F776" s="26">
        <f t="shared" si="22"/>
        <v>54036</v>
      </c>
      <c r="G776" s="40">
        <v>55492</v>
      </c>
      <c r="H776" s="26">
        <v>18558</v>
      </c>
      <c r="I776" s="27">
        <f t="shared" si="23"/>
        <v>74050</v>
      </c>
      <c r="J776" s="40">
        <v>55042</v>
      </c>
      <c r="K776" s="26">
        <v>7126</v>
      </c>
      <c r="L776" s="27">
        <v>62168</v>
      </c>
      <c r="M776" s="26">
        <v>61765</v>
      </c>
      <c r="N776" s="26">
        <v>8201</v>
      </c>
      <c r="O776" s="27">
        <v>69966</v>
      </c>
      <c r="P776" s="26">
        <v>54797</v>
      </c>
      <c r="Q776" s="26">
        <v>8789</v>
      </c>
      <c r="R776" s="27">
        <v>63586</v>
      </c>
      <c r="S776" s="26">
        <v>53896</v>
      </c>
      <c r="T776" s="26">
        <v>8651</v>
      </c>
      <c r="U776" s="27">
        <v>62547</v>
      </c>
      <c r="V776" s="26">
        <v>49269</v>
      </c>
      <c r="W776" s="26">
        <v>9273</v>
      </c>
      <c r="X776" s="31">
        <v>58542</v>
      </c>
      <c r="Y776" s="16">
        <v>54348</v>
      </c>
      <c r="Z776" s="16">
        <v>10578</v>
      </c>
      <c r="AA776" s="31">
        <v>64926</v>
      </c>
      <c r="AB776" s="32">
        <v>53565</v>
      </c>
      <c r="AC776" s="16">
        <v>11907</v>
      </c>
      <c r="AD776" s="31">
        <v>65472</v>
      </c>
      <c r="AE776" s="16">
        <v>50437</v>
      </c>
      <c r="AF776" s="16">
        <v>11378</v>
      </c>
      <c r="AG776" s="31">
        <v>61815</v>
      </c>
      <c r="AH776" s="16">
        <v>45036</v>
      </c>
      <c r="AI776" s="16">
        <v>11823</v>
      </c>
      <c r="AJ776" s="31">
        <v>56859</v>
      </c>
      <c r="AK776" s="16">
        <v>48447</v>
      </c>
      <c r="AL776" s="16">
        <v>10330</v>
      </c>
      <c r="AM776" s="31">
        <v>58777</v>
      </c>
      <c r="AN776" s="16">
        <v>54416</v>
      </c>
      <c r="AO776" s="16">
        <v>10461</v>
      </c>
      <c r="AP776" s="31">
        <v>64877</v>
      </c>
      <c r="AQ776" s="42"/>
      <c r="AR776" s="43"/>
      <c r="AS776" s="42"/>
      <c r="AT776" s="42"/>
    </row>
    <row r="777" spans="1:46" ht="12.9" customHeight="1" x14ac:dyDescent="0.25">
      <c r="A777" s="28" t="s">
        <v>1585</v>
      </c>
      <c r="B777" s="29" t="s">
        <v>1586</v>
      </c>
      <c r="C777" s="30" t="s">
        <v>218</v>
      </c>
      <c r="D777" s="40">
        <v>6082</v>
      </c>
      <c r="E777" s="26">
        <v>0</v>
      </c>
      <c r="F777" s="26">
        <f t="shared" ref="F777:F840" si="24">+D777+E777</f>
        <v>6082</v>
      </c>
      <c r="G777" s="40">
        <v>4261</v>
      </c>
      <c r="H777" s="26">
        <v>0</v>
      </c>
      <c r="I777" s="27">
        <f t="shared" si="23"/>
        <v>4261</v>
      </c>
      <c r="J777" s="40">
        <v>4095</v>
      </c>
      <c r="K777" s="26">
        <v>0</v>
      </c>
      <c r="L777" s="27">
        <v>4095</v>
      </c>
      <c r="M777" s="26">
        <v>3200</v>
      </c>
      <c r="N777" s="26">
        <v>0</v>
      </c>
      <c r="O777" s="27">
        <v>3200</v>
      </c>
      <c r="P777" s="26">
        <v>3191</v>
      </c>
      <c r="Q777" s="26">
        <v>0</v>
      </c>
      <c r="R777" s="27">
        <v>3191</v>
      </c>
      <c r="S777" s="26">
        <v>3472</v>
      </c>
      <c r="T777" s="26">
        <v>0</v>
      </c>
      <c r="U777" s="27">
        <v>3472</v>
      </c>
      <c r="V777" s="26">
        <v>3859</v>
      </c>
      <c r="W777" s="26">
        <v>0</v>
      </c>
      <c r="X777" s="31">
        <v>3859</v>
      </c>
      <c r="Y777" s="16">
        <v>4228</v>
      </c>
      <c r="Z777" s="16">
        <v>0</v>
      </c>
      <c r="AA777" s="31">
        <v>4228</v>
      </c>
      <c r="AB777" s="32">
        <v>5358</v>
      </c>
      <c r="AC777" s="16">
        <v>0</v>
      </c>
      <c r="AD777" s="31">
        <v>5358</v>
      </c>
      <c r="AE777" s="16">
        <v>2605</v>
      </c>
      <c r="AF777" s="16">
        <v>0</v>
      </c>
      <c r="AG777" s="31">
        <v>2605</v>
      </c>
      <c r="AH777" s="16">
        <v>2373</v>
      </c>
      <c r="AI777" s="16">
        <v>0</v>
      </c>
      <c r="AJ777" s="31">
        <v>2373</v>
      </c>
      <c r="AK777" s="16">
        <v>3381</v>
      </c>
      <c r="AL777" s="16">
        <v>0</v>
      </c>
      <c r="AM777" s="31">
        <v>3381</v>
      </c>
      <c r="AN777" s="16">
        <v>3381</v>
      </c>
      <c r="AO777" s="16">
        <v>0</v>
      </c>
      <c r="AP777" s="31">
        <v>3381</v>
      </c>
      <c r="AQ777" s="42"/>
      <c r="AR777" s="43"/>
      <c r="AS777" s="42"/>
      <c r="AT777" s="42"/>
    </row>
    <row r="778" spans="1:46" ht="12.9" customHeight="1" x14ac:dyDescent="0.25">
      <c r="A778" s="28" t="s">
        <v>1587</v>
      </c>
      <c r="B778" s="29" t="s">
        <v>1588</v>
      </c>
      <c r="C778" s="30" t="s">
        <v>120</v>
      </c>
      <c r="D778" s="40">
        <v>75215</v>
      </c>
      <c r="E778" s="26">
        <v>3566</v>
      </c>
      <c r="F778" s="26">
        <f t="shared" si="24"/>
        <v>78781</v>
      </c>
      <c r="G778" s="40">
        <v>73936</v>
      </c>
      <c r="H778" s="26">
        <v>3177</v>
      </c>
      <c r="I778" s="27">
        <f t="shared" ref="I778:I841" si="25">+G778+H778</f>
        <v>77113</v>
      </c>
      <c r="J778" s="40">
        <v>78639</v>
      </c>
      <c r="K778" s="26">
        <v>4074</v>
      </c>
      <c r="L778" s="27">
        <v>82713</v>
      </c>
      <c r="M778" s="26">
        <v>74705</v>
      </c>
      <c r="N778" s="26">
        <v>4120</v>
      </c>
      <c r="O778" s="27">
        <v>78825</v>
      </c>
      <c r="P778" s="26">
        <v>79717</v>
      </c>
      <c r="Q778" s="26">
        <v>4730</v>
      </c>
      <c r="R778" s="27">
        <v>84447</v>
      </c>
      <c r="S778" s="26">
        <v>77285</v>
      </c>
      <c r="T778" s="26">
        <v>3507</v>
      </c>
      <c r="U778" s="27">
        <v>80792</v>
      </c>
      <c r="V778" s="26">
        <v>80702</v>
      </c>
      <c r="W778" s="26">
        <v>2289</v>
      </c>
      <c r="X778" s="31">
        <v>82991</v>
      </c>
      <c r="Y778" s="16">
        <v>79213</v>
      </c>
      <c r="Z778" s="16">
        <v>1954</v>
      </c>
      <c r="AA778" s="31">
        <v>81167</v>
      </c>
      <c r="AB778" s="32">
        <v>81000</v>
      </c>
      <c r="AC778" s="16">
        <v>1301</v>
      </c>
      <c r="AD778" s="31">
        <v>82301</v>
      </c>
      <c r="AE778" s="16">
        <v>79002</v>
      </c>
      <c r="AF778" s="16">
        <v>1455</v>
      </c>
      <c r="AG778" s="31">
        <v>80457</v>
      </c>
      <c r="AH778" s="16">
        <v>74181</v>
      </c>
      <c r="AI778" s="16">
        <v>1468</v>
      </c>
      <c r="AJ778" s="31">
        <v>75649</v>
      </c>
      <c r="AK778" s="16">
        <v>85412</v>
      </c>
      <c r="AL778" s="16">
        <v>1202</v>
      </c>
      <c r="AM778" s="31">
        <v>86614</v>
      </c>
      <c r="AN778" s="16">
        <v>85412</v>
      </c>
      <c r="AO778" s="16">
        <v>1202</v>
      </c>
      <c r="AP778" s="31">
        <v>86614</v>
      </c>
      <c r="AQ778" s="42"/>
      <c r="AR778" s="43"/>
      <c r="AS778" s="42"/>
      <c r="AT778" s="42"/>
    </row>
    <row r="779" spans="1:46" ht="12.9" customHeight="1" x14ac:dyDescent="0.25">
      <c r="A779" s="28" t="s">
        <v>1589</v>
      </c>
      <c r="B779" s="29" t="s">
        <v>1590</v>
      </c>
      <c r="C779" s="30" t="s">
        <v>23</v>
      </c>
      <c r="D779" s="40">
        <v>14818</v>
      </c>
      <c r="E779" s="26">
        <v>4212</v>
      </c>
      <c r="F779" s="26">
        <f t="shared" si="24"/>
        <v>19030</v>
      </c>
      <c r="G779" s="40">
        <v>16476</v>
      </c>
      <c r="H779" s="26">
        <v>4101</v>
      </c>
      <c r="I779" s="27">
        <f t="shared" si="25"/>
        <v>20577</v>
      </c>
      <c r="J779" s="40">
        <v>18465</v>
      </c>
      <c r="K779" s="26">
        <v>5328</v>
      </c>
      <c r="L779" s="27">
        <v>23793</v>
      </c>
      <c r="M779" s="26">
        <v>18756</v>
      </c>
      <c r="N779" s="26">
        <v>9977</v>
      </c>
      <c r="O779" s="27">
        <v>28733</v>
      </c>
      <c r="P779" s="26">
        <v>16975</v>
      </c>
      <c r="Q779" s="26">
        <v>4171</v>
      </c>
      <c r="R779" s="27">
        <v>21146</v>
      </c>
      <c r="S779" s="26">
        <v>16157</v>
      </c>
      <c r="T779" s="26">
        <v>4444</v>
      </c>
      <c r="U779" s="27">
        <v>20601</v>
      </c>
      <c r="V779" s="26">
        <v>16883</v>
      </c>
      <c r="W779" s="26">
        <v>6607</v>
      </c>
      <c r="X779" s="31">
        <v>23490</v>
      </c>
      <c r="Y779" s="16">
        <v>22108</v>
      </c>
      <c r="Z779" s="16">
        <v>4208</v>
      </c>
      <c r="AA779" s="31">
        <v>26316</v>
      </c>
      <c r="AB779" s="32">
        <v>18167</v>
      </c>
      <c r="AC779" s="16">
        <v>4110</v>
      </c>
      <c r="AD779" s="31">
        <v>22277</v>
      </c>
      <c r="AE779" s="16">
        <v>17418</v>
      </c>
      <c r="AF779" s="16">
        <v>4809</v>
      </c>
      <c r="AG779" s="31">
        <v>22227</v>
      </c>
      <c r="AH779" s="16">
        <v>17866</v>
      </c>
      <c r="AI779" s="16">
        <v>5259</v>
      </c>
      <c r="AJ779" s="31">
        <v>23125</v>
      </c>
      <c r="AK779" s="16">
        <v>17064</v>
      </c>
      <c r="AL779" s="16">
        <v>5777</v>
      </c>
      <c r="AM779" s="31">
        <v>22841</v>
      </c>
      <c r="AN779" s="16">
        <v>18977</v>
      </c>
      <c r="AO779" s="16">
        <v>5350</v>
      </c>
      <c r="AP779" s="31">
        <v>24327</v>
      </c>
      <c r="AQ779" s="42"/>
      <c r="AR779" s="43"/>
      <c r="AS779" s="42"/>
      <c r="AT779" s="42"/>
    </row>
    <row r="780" spans="1:46" ht="12.9" customHeight="1" x14ac:dyDescent="0.25">
      <c r="A780" s="28" t="s">
        <v>1591</v>
      </c>
      <c r="B780" s="29" t="s">
        <v>1592</v>
      </c>
      <c r="C780" s="30" t="s">
        <v>56</v>
      </c>
      <c r="D780" s="40">
        <v>174220</v>
      </c>
      <c r="E780" s="26">
        <v>601514</v>
      </c>
      <c r="F780" s="26">
        <f t="shared" si="24"/>
        <v>775734</v>
      </c>
      <c r="G780" s="40">
        <v>175127</v>
      </c>
      <c r="H780" s="26">
        <v>621201</v>
      </c>
      <c r="I780" s="27">
        <f t="shared" si="25"/>
        <v>796328</v>
      </c>
      <c r="J780" s="40">
        <v>180651</v>
      </c>
      <c r="K780" s="26">
        <v>617728</v>
      </c>
      <c r="L780" s="27">
        <v>798379</v>
      </c>
      <c r="M780" s="26">
        <v>193142</v>
      </c>
      <c r="N780" s="26">
        <v>681564</v>
      </c>
      <c r="O780" s="27">
        <v>874706</v>
      </c>
      <c r="P780" s="26">
        <v>188860</v>
      </c>
      <c r="Q780" s="26">
        <v>622592</v>
      </c>
      <c r="R780" s="27">
        <v>811452</v>
      </c>
      <c r="S780" s="26">
        <v>176216</v>
      </c>
      <c r="T780" s="26">
        <v>644878</v>
      </c>
      <c r="U780" s="27">
        <v>821094</v>
      </c>
      <c r="V780" s="26">
        <v>171874</v>
      </c>
      <c r="W780" s="26">
        <v>564464</v>
      </c>
      <c r="X780" s="31">
        <v>736338</v>
      </c>
      <c r="Y780" s="16">
        <v>177760</v>
      </c>
      <c r="Z780" s="16">
        <v>584614</v>
      </c>
      <c r="AA780" s="31">
        <v>762374</v>
      </c>
      <c r="AB780" s="32">
        <v>177445</v>
      </c>
      <c r="AC780" s="16">
        <v>527367</v>
      </c>
      <c r="AD780" s="31">
        <v>704812</v>
      </c>
      <c r="AE780" s="16">
        <v>185955</v>
      </c>
      <c r="AF780" s="16">
        <v>515816</v>
      </c>
      <c r="AG780" s="31">
        <v>701771</v>
      </c>
      <c r="AH780" s="16">
        <v>168311</v>
      </c>
      <c r="AI780" s="16">
        <v>393543</v>
      </c>
      <c r="AJ780" s="31">
        <v>561854</v>
      </c>
      <c r="AK780" s="16">
        <v>164987</v>
      </c>
      <c r="AL780" s="16">
        <v>348227</v>
      </c>
      <c r="AM780" s="31">
        <v>513214</v>
      </c>
      <c r="AN780" s="16">
        <v>216859</v>
      </c>
      <c r="AO780" s="16">
        <v>441625</v>
      </c>
      <c r="AP780" s="31">
        <v>658484</v>
      </c>
      <c r="AQ780" s="42"/>
      <c r="AR780" s="43"/>
      <c r="AS780" s="42"/>
      <c r="AT780" s="42"/>
    </row>
    <row r="781" spans="1:46" ht="12.9" customHeight="1" x14ac:dyDescent="0.25">
      <c r="A781" s="28" t="s">
        <v>1593</v>
      </c>
      <c r="B781" s="29" t="s">
        <v>1594</v>
      </c>
      <c r="C781" s="30" t="s">
        <v>218</v>
      </c>
      <c r="D781" s="40">
        <v>2380</v>
      </c>
      <c r="E781" s="26">
        <v>251</v>
      </c>
      <c r="F781" s="26">
        <f t="shared" si="24"/>
        <v>2631</v>
      </c>
      <c r="G781" s="40">
        <v>1741</v>
      </c>
      <c r="H781" s="26">
        <v>109</v>
      </c>
      <c r="I781" s="27">
        <f t="shared" si="25"/>
        <v>1850</v>
      </c>
      <c r="J781" s="40">
        <v>1821</v>
      </c>
      <c r="K781" s="26">
        <v>98</v>
      </c>
      <c r="L781" s="27">
        <v>1919</v>
      </c>
      <c r="M781" s="26">
        <v>1731</v>
      </c>
      <c r="N781" s="26">
        <v>8</v>
      </c>
      <c r="O781" s="27">
        <v>1739</v>
      </c>
      <c r="P781" s="26">
        <v>1257</v>
      </c>
      <c r="Q781" s="26">
        <v>8</v>
      </c>
      <c r="R781" s="27">
        <v>1265</v>
      </c>
      <c r="S781" s="26">
        <v>2045</v>
      </c>
      <c r="T781" s="26">
        <v>56</v>
      </c>
      <c r="U781" s="27">
        <v>2101</v>
      </c>
      <c r="V781" s="26">
        <v>1871</v>
      </c>
      <c r="W781" s="26">
        <v>72</v>
      </c>
      <c r="X781" s="31">
        <v>1943</v>
      </c>
      <c r="Y781" s="16">
        <v>1086</v>
      </c>
      <c r="Z781" s="16">
        <v>77</v>
      </c>
      <c r="AA781" s="31">
        <v>1163</v>
      </c>
      <c r="AB781" s="32">
        <v>1467</v>
      </c>
      <c r="AC781" s="16">
        <v>59</v>
      </c>
      <c r="AD781" s="31">
        <v>1526</v>
      </c>
      <c r="AE781" s="16">
        <v>1978</v>
      </c>
      <c r="AF781" s="16">
        <v>81</v>
      </c>
      <c r="AG781" s="31">
        <v>2059</v>
      </c>
      <c r="AH781" s="16">
        <v>1622</v>
      </c>
      <c r="AI781" s="16">
        <v>69</v>
      </c>
      <c r="AJ781" s="31">
        <v>1691</v>
      </c>
      <c r="AK781" s="16">
        <v>2051</v>
      </c>
      <c r="AL781" s="16">
        <v>64</v>
      </c>
      <c r="AM781" s="31">
        <v>2115</v>
      </c>
      <c r="AN781" s="16">
        <v>2051</v>
      </c>
      <c r="AO781" s="16">
        <v>64</v>
      </c>
      <c r="AP781" s="31">
        <v>2115</v>
      </c>
      <c r="AQ781" s="42"/>
      <c r="AR781" s="43"/>
      <c r="AS781" s="42"/>
      <c r="AT781" s="42"/>
    </row>
    <row r="782" spans="1:46" ht="12.9" customHeight="1" x14ac:dyDescent="0.25">
      <c r="A782" s="28" t="s">
        <v>1595</v>
      </c>
      <c r="B782" s="29" t="s">
        <v>1596</v>
      </c>
      <c r="C782" s="30" t="s">
        <v>62</v>
      </c>
      <c r="D782" s="40">
        <v>205703</v>
      </c>
      <c r="E782" s="26">
        <v>54012</v>
      </c>
      <c r="F782" s="26">
        <f t="shared" si="24"/>
        <v>259715</v>
      </c>
      <c r="G782" s="40">
        <v>192984</v>
      </c>
      <c r="H782" s="26">
        <v>15776</v>
      </c>
      <c r="I782" s="27">
        <f t="shared" si="25"/>
        <v>208760</v>
      </c>
      <c r="J782" s="40">
        <v>190578</v>
      </c>
      <c r="K782" s="26">
        <v>20258</v>
      </c>
      <c r="L782" s="27">
        <v>210836</v>
      </c>
      <c r="M782" s="26">
        <v>203372</v>
      </c>
      <c r="N782" s="26">
        <v>17540</v>
      </c>
      <c r="O782" s="27">
        <v>220912</v>
      </c>
      <c r="P782" s="26">
        <v>208911</v>
      </c>
      <c r="Q782" s="26">
        <v>16393</v>
      </c>
      <c r="R782" s="27">
        <v>225304</v>
      </c>
      <c r="S782" s="26">
        <v>200749</v>
      </c>
      <c r="T782" s="26">
        <v>16346</v>
      </c>
      <c r="U782" s="27">
        <v>217095</v>
      </c>
      <c r="V782" s="26">
        <v>201026</v>
      </c>
      <c r="W782" s="26">
        <v>17411</v>
      </c>
      <c r="X782" s="31">
        <v>218437</v>
      </c>
      <c r="Y782" s="16">
        <v>198546</v>
      </c>
      <c r="Z782" s="16">
        <v>17084</v>
      </c>
      <c r="AA782" s="31">
        <v>215630</v>
      </c>
      <c r="AB782" s="32">
        <v>201267</v>
      </c>
      <c r="AC782" s="16">
        <v>19706</v>
      </c>
      <c r="AD782" s="31">
        <v>220973</v>
      </c>
      <c r="AE782" s="16">
        <v>199040</v>
      </c>
      <c r="AF782" s="16">
        <v>20022</v>
      </c>
      <c r="AG782" s="31">
        <v>219062</v>
      </c>
      <c r="AH782" s="16">
        <v>204359</v>
      </c>
      <c r="AI782" s="16">
        <v>64310</v>
      </c>
      <c r="AJ782" s="31">
        <v>268669</v>
      </c>
      <c r="AK782" s="16">
        <v>218524</v>
      </c>
      <c r="AL782" s="16">
        <v>76709</v>
      </c>
      <c r="AM782" s="31">
        <v>295233</v>
      </c>
      <c r="AN782" s="16">
        <v>218524</v>
      </c>
      <c r="AO782" s="16">
        <v>77718</v>
      </c>
      <c r="AP782" s="31">
        <v>296242</v>
      </c>
      <c r="AQ782" s="42"/>
      <c r="AR782" s="43"/>
      <c r="AS782" s="42"/>
      <c r="AT782" s="42"/>
    </row>
    <row r="783" spans="1:46" ht="12.9" customHeight="1" x14ac:dyDescent="0.25">
      <c r="A783" s="28" t="s">
        <v>1597</v>
      </c>
      <c r="B783" s="29" t="s">
        <v>1598</v>
      </c>
      <c r="C783" s="30" t="s">
        <v>8</v>
      </c>
      <c r="D783" s="40">
        <v>24156</v>
      </c>
      <c r="E783" s="26">
        <v>6869</v>
      </c>
      <c r="F783" s="26">
        <f t="shared" si="24"/>
        <v>31025</v>
      </c>
      <c r="G783" s="40">
        <v>24156</v>
      </c>
      <c r="H783" s="26">
        <v>6312</v>
      </c>
      <c r="I783" s="27">
        <f t="shared" si="25"/>
        <v>30468</v>
      </c>
      <c r="J783" s="40">
        <v>22204</v>
      </c>
      <c r="K783" s="26">
        <v>4441</v>
      </c>
      <c r="L783" s="27">
        <v>26645</v>
      </c>
      <c r="M783" s="26">
        <v>22204</v>
      </c>
      <c r="N783" s="26">
        <v>3478</v>
      </c>
      <c r="O783" s="27">
        <v>25682</v>
      </c>
      <c r="P783" s="26">
        <v>22204</v>
      </c>
      <c r="Q783" s="26">
        <v>3101</v>
      </c>
      <c r="R783" s="27">
        <v>25305</v>
      </c>
      <c r="S783" s="26">
        <v>26352</v>
      </c>
      <c r="T783" s="26">
        <v>3082</v>
      </c>
      <c r="U783" s="27">
        <v>29434</v>
      </c>
      <c r="V783" s="26">
        <v>18768</v>
      </c>
      <c r="W783" s="26">
        <v>7344</v>
      </c>
      <c r="X783" s="31">
        <v>26112</v>
      </c>
      <c r="Y783" s="16">
        <v>12539</v>
      </c>
      <c r="Z783" s="16">
        <v>4147</v>
      </c>
      <c r="AA783" s="31">
        <v>16686</v>
      </c>
      <c r="AB783" s="32">
        <v>12539</v>
      </c>
      <c r="AC783" s="16">
        <v>3568</v>
      </c>
      <c r="AD783" s="31">
        <v>16107</v>
      </c>
      <c r="AE783" s="16">
        <v>12539</v>
      </c>
      <c r="AF783" s="16">
        <v>3383</v>
      </c>
      <c r="AG783" s="31">
        <v>15922</v>
      </c>
      <c r="AH783" s="16">
        <v>21816</v>
      </c>
      <c r="AI783" s="16">
        <v>1168</v>
      </c>
      <c r="AJ783" s="31">
        <v>22984</v>
      </c>
      <c r="AK783" s="16">
        <v>20412</v>
      </c>
      <c r="AL783" s="16">
        <v>1379</v>
      </c>
      <c r="AM783" s="31">
        <v>21791</v>
      </c>
      <c r="AN783" s="16">
        <v>20412</v>
      </c>
      <c r="AO783" s="16">
        <v>3512</v>
      </c>
      <c r="AP783" s="31">
        <v>23924</v>
      </c>
      <c r="AQ783" s="42"/>
      <c r="AR783" s="43"/>
      <c r="AS783" s="42"/>
      <c r="AT783" s="42"/>
    </row>
    <row r="784" spans="1:46" ht="12.9" customHeight="1" x14ac:dyDescent="0.25">
      <c r="A784" s="28" t="s">
        <v>1599</v>
      </c>
      <c r="B784" s="29" t="s">
        <v>1600</v>
      </c>
      <c r="C784" s="30" t="s">
        <v>14</v>
      </c>
      <c r="D784" s="40">
        <v>31500</v>
      </c>
      <c r="E784" s="26">
        <v>2152</v>
      </c>
      <c r="F784" s="26">
        <f t="shared" si="24"/>
        <v>33652</v>
      </c>
      <c r="G784" s="40">
        <v>31500</v>
      </c>
      <c r="H784" s="26">
        <v>2152</v>
      </c>
      <c r="I784" s="27">
        <f t="shared" si="25"/>
        <v>33652</v>
      </c>
      <c r="J784" s="40">
        <v>31710</v>
      </c>
      <c r="K784" s="26">
        <v>2020</v>
      </c>
      <c r="L784" s="27">
        <v>33730</v>
      </c>
      <c r="M784" s="26">
        <v>32130</v>
      </c>
      <c r="N784" s="26">
        <v>2152</v>
      </c>
      <c r="O784" s="27">
        <v>34282</v>
      </c>
      <c r="P784" s="26">
        <v>32130</v>
      </c>
      <c r="Q784" s="26">
        <v>2039</v>
      </c>
      <c r="R784" s="27">
        <v>34169</v>
      </c>
      <c r="S784" s="26">
        <v>32130</v>
      </c>
      <c r="T784" s="26">
        <v>2039</v>
      </c>
      <c r="U784" s="27">
        <v>34169</v>
      </c>
      <c r="V784" s="26">
        <v>33372</v>
      </c>
      <c r="W784" s="26">
        <v>1372</v>
      </c>
      <c r="X784" s="31">
        <v>34744</v>
      </c>
      <c r="Y784" s="16">
        <v>33264</v>
      </c>
      <c r="Z784" s="16">
        <v>1372</v>
      </c>
      <c r="AA784" s="31">
        <v>34636</v>
      </c>
      <c r="AB784" s="32">
        <v>32940</v>
      </c>
      <c r="AC784" s="16">
        <v>1372</v>
      </c>
      <c r="AD784" s="31">
        <v>34312</v>
      </c>
      <c r="AE784" s="16">
        <v>30024</v>
      </c>
      <c r="AF784" s="16">
        <v>1264</v>
      </c>
      <c r="AG784" s="31">
        <v>31288</v>
      </c>
      <c r="AH784" s="16">
        <v>30024</v>
      </c>
      <c r="AI784" s="16">
        <v>1264</v>
      </c>
      <c r="AJ784" s="31">
        <v>31288</v>
      </c>
      <c r="AK784" s="16">
        <v>29916</v>
      </c>
      <c r="AL784" s="16">
        <v>1264</v>
      </c>
      <c r="AM784" s="31">
        <v>31180</v>
      </c>
      <c r="AN784" s="16">
        <v>29916</v>
      </c>
      <c r="AO784" s="16">
        <v>1480</v>
      </c>
      <c r="AP784" s="31">
        <v>31396</v>
      </c>
      <c r="AQ784" s="42"/>
      <c r="AR784" s="43"/>
      <c r="AS784" s="42"/>
      <c r="AT784" s="42"/>
    </row>
    <row r="785" spans="1:46" ht="12.9" customHeight="1" x14ac:dyDescent="0.25">
      <c r="A785" s="28" t="s">
        <v>1601</v>
      </c>
      <c r="B785" s="29" t="s">
        <v>1602</v>
      </c>
      <c r="C785" s="30" t="s">
        <v>197</v>
      </c>
      <c r="D785" s="40">
        <v>334416</v>
      </c>
      <c r="E785" s="26">
        <v>95443</v>
      </c>
      <c r="F785" s="26">
        <f t="shared" si="24"/>
        <v>429859</v>
      </c>
      <c r="G785" s="40">
        <v>351050</v>
      </c>
      <c r="H785" s="26">
        <v>115526</v>
      </c>
      <c r="I785" s="27">
        <f t="shared" si="25"/>
        <v>466576</v>
      </c>
      <c r="J785" s="40">
        <v>369769</v>
      </c>
      <c r="K785" s="26">
        <v>111273</v>
      </c>
      <c r="L785" s="27">
        <v>481042</v>
      </c>
      <c r="M785" s="26">
        <v>383424</v>
      </c>
      <c r="N785" s="26">
        <v>114882</v>
      </c>
      <c r="O785" s="27">
        <v>498306</v>
      </c>
      <c r="P785" s="26">
        <v>417330</v>
      </c>
      <c r="Q785" s="26">
        <v>124309</v>
      </c>
      <c r="R785" s="27">
        <v>541639</v>
      </c>
      <c r="S785" s="26">
        <v>353068</v>
      </c>
      <c r="T785" s="26">
        <v>108758</v>
      </c>
      <c r="U785" s="27">
        <v>461826</v>
      </c>
      <c r="V785" s="26">
        <v>349028</v>
      </c>
      <c r="W785" s="26">
        <v>120647</v>
      </c>
      <c r="X785" s="31">
        <v>469675</v>
      </c>
      <c r="Y785" s="16">
        <v>342084</v>
      </c>
      <c r="Z785" s="16">
        <v>164270</v>
      </c>
      <c r="AA785" s="31">
        <v>506354</v>
      </c>
      <c r="AB785" s="32">
        <v>337430</v>
      </c>
      <c r="AC785" s="16">
        <v>146340</v>
      </c>
      <c r="AD785" s="31">
        <v>483770</v>
      </c>
      <c r="AE785" s="16">
        <v>325372</v>
      </c>
      <c r="AF785" s="16">
        <v>128462</v>
      </c>
      <c r="AG785" s="31">
        <v>453834</v>
      </c>
      <c r="AH785" s="16">
        <v>315656</v>
      </c>
      <c r="AI785" s="16">
        <v>116107</v>
      </c>
      <c r="AJ785" s="31">
        <v>431763</v>
      </c>
      <c r="AK785" s="16">
        <v>314655</v>
      </c>
      <c r="AL785" s="16">
        <v>102473</v>
      </c>
      <c r="AM785" s="31">
        <v>417128</v>
      </c>
      <c r="AN785" s="16">
        <v>335496</v>
      </c>
      <c r="AO785" s="16">
        <v>99277</v>
      </c>
      <c r="AP785" s="31">
        <v>434773</v>
      </c>
      <c r="AQ785" s="42"/>
      <c r="AR785" s="43"/>
      <c r="AS785" s="42"/>
      <c r="AT785" s="42"/>
    </row>
    <row r="786" spans="1:46" ht="12.9" customHeight="1" x14ac:dyDescent="0.25">
      <c r="A786" s="28" t="s">
        <v>1603</v>
      </c>
      <c r="B786" s="29" t="s">
        <v>1604</v>
      </c>
      <c r="C786" s="30" t="s">
        <v>212</v>
      </c>
      <c r="D786" s="40">
        <v>42230</v>
      </c>
      <c r="E786" s="26">
        <v>42095</v>
      </c>
      <c r="F786" s="26">
        <f t="shared" si="24"/>
        <v>84325</v>
      </c>
      <c r="G786" s="40">
        <v>46142</v>
      </c>
      <c r="H786" s="26">
        <v>43911</v>
      </c>
      <c r="I786" s="27">
        <f t="shared" si="25"/>
        <v>90053</v>
      </c>
      <c r="J786" s="40">
        <v>44344</v>
      </c>
      <c r="K786" s="26">
        <v>38556</v>
      </c>
      <c r="L786" s="27">
        <v>82900</v>
      </c>
      <c r="M786" s="26">
        <v>47135</v>
      </c>
      <c r="N786" s="26">
        <v>46214</v>
      </c>
      <c r="O786" s="27">
        <v>93349</v>
      </c>
      <c r="P786" s="26">
        <v>47314</v>
      </c>
      <c r="Q786" s="26">
        <v>47019</v>
      </c>
      <c r="R786" s="27">
        <v>94333</v>
      </c>
      <c r="S786" s="26">
        <v>47676</v>
      </c>
      <c r="T786" s="26">
        <v>42446</v>
      </c>
      <c r="U786" s="27">
        <v>90122</v>
      </c>
      <c r="V786" s="26">
        <v>43376</v>
      </c>
      <c r="W786" s="26">
        <v>44131</v>
      </c>
      <c r="X786" s="31">
        <v>87507</v>
      </c>
      <c r="Y786" s="16">
        <v>45787</v>
      </c>
      <c r="Z786" s="16">
        <v>42470</v>
      </c>
      <c r="AA786" s="31">
        <v>88257</v>
      </c>
      <c r="AB786" s="32">
        <v>43864</v>
      </c>
      <c r="AC786" s="16">
        <v>31059</v>
      </c>
      <c r="AD786" s="31">
        <v>74923</v>
      </c>
      <c r="AE786" s="16">
        <v>44422</v>
      </c>
      <c r="AF786" s="16">
        <v>32597</v>
      </c>
      <c r="AG786" s="31">
        <v>77019</v>
      </c>
      <c r="AH786" s="16">
        <v>42672</v>
      </c>
      <c r="AI786" s="16">
        <v>30474</v>
      </c>
      <c r="AJ786" s="31">
        <v>73146</v>
      </c>
      <c r="AK786" s="16">
        <v>41496</v>
      </c>
      <c r="AL786" s="16">
        <v>41503</v>
      </c>
      <c r="AM786" s="31">
        <v>82999</v>
      </c>
      <c r="AN786" s="16">
        <v>47290</v>
      </c>
      <c r="AO786" s="16">
        <v>38930</v>
      </c>
      <c r="AP786" s="31">
        <v>86220</v>
      </c>
      <c r="AQ786" s="42"/>
      <c r="AR786" s="43"/>
      <c r="AS786" s="42"/>
      <c r="AT786" s="42"/>
    </row>
    <row r="787" spans="1:46" ht="12.9" customHeight="1" x14ac:dyDescent="0.25">
      <c r="A787" s="28" t="s">
        <v>1605</v>
      </c>
      <c r="B787" s="29" t="s">
        <v>1606</v>
      </c>
      <c r="C787" s="30" t="s">
        <v>34</v>
      </c>
      <c r="D787" s="40">
        <v>66708</v>
      </c>
      <c r="E787" s="26">
        <v>60113</v>
      </c>
      <c r="F787" s="26">
        <f t="shared" si="24"/>
        <v>126821</v>
      </c>
      <c r="G787" s="40">
        <v>68805</v>
      </c>
      <c r="H787" s="26">
        <v>55969</v>
      </c>
      <c r="I787" s="27">
        <f t="shared" si="25"/>
        <v>124774</v>
      </c>
      <c r="J787" s="40">
        <v>67832</v>
      </c>
      <c r="K787" s="26">
        <v>49017</v>
      </c>
      <c r="L787" s="27">
        <v>116849</v>
      </c>
      <c r="M787" s="26">
        <v>71962</v>
      </c>
      <c r="N787" s="26">
        <v>50122</v>
      </c>
      <c r="O787" s="27">
        <v>122084</v>
      </c>
      <c r="P787" s="26">
        <v>72260</v>
      </c>
      <c r="Q787" s="26">
        <v>47681</v>
      </c>
      <c r="R787" s="27">
        <v>119941</v>
      </c>
      <c r="S787" s="26">
        <v>70865</v>
      </c>
      <c r="T787" s="26">
        <v>59803</v>
      </c>
      <c r="U787" s="27">
        <v>130668</v>
      </c>
      <c r="V787" s="26">
        <v>67867</v>
      </c>
      <c r="W787" s="26">
        <v>35506</v>
      </c>
      <c r="X787" s="31">
        <v>103373</v>
      </c>
      <c r="Y787" s="16">
        <v>69936</v>
      </c>
      <c r="Z787" s="16">
        <v>37753</v>
      </c>
      <c r="AA787" s="31">
        <v>107689</v>
      </c>
      <c r="AB787" s="32">
        <v>69759</v>
      </c>
      <c r="AC787" s="16">
        <v>30260</v>
      </c>
      <c r="AD787" s="31">
        <v>100019</v>
      </c>
      <c r="AE787" s="16">
        <v>68499</v>
      </c>
      <c r="AF787" s="16">
        <v>27954</v>
      </c>
      <c r="AG787" s="31">
        <v>96453</v>
      </c>
      <c r="AH787" s="16">
        <v>74951</v>
      </c>
      <c r="AI787" s="16">
        <v>21450</v>
      </c>
      <c r="AJ787" s="31">
        <v>96401</v>
      </c>
      <c r="AK787" s="16">
        <v>71699</v>
      </c>
      <c r="AL787" s="16">
        <v>29245</v>
      </c>
      <c r="AM787" s="31">
        <v>100944</v>
      </c>
      <c r="AN787" s="16">
        <v>69615</v>
      </c>
      <c r="AO787" s="16">
        <v>37092</v>
      </c>
      <c r="AP787" s="31">
        <v>106707</v>
      </c>
      <c r="AQ787" s="42"/>
      <c r="AR787" s="43"/>
      <c r="AS787" s="42"/>
      <c r="AT787" s="42"/>
    </row>
    <row r="788" spans="1:46" ht="12.9" customHeight="1" x14ac:dyDescent="0.25">
      <c r="A788" s="28" t="s">
        <v>1607</v>
      </c>
      <c r="B788" s="29" t="s">
        <v>1608</v>
      </c>
      <c r="C788" s="30" t="s">
        <v>59</v>
      </c>
      <c r="D788" s="40">
        <v>16021.333333333334</v>
      </c>
      <c r="E788" s="26">
        <v>15386</v>
      </c>
      <c r="F788" s="26">
        <f t="shared" si="24"/>
        <v>31407.333333333336</v>
      </c>
      <c r="G788" s="40">
        <v>19408</v>
      </c>
      <c r="H788" s="26">
        <v>12350</v>
      </c>
      <c r="I788" s="27">
        <f t="shared" si="25"/>
        <v>31758</v>
      </c>
      <c r="J788" s="40">
        <v>22512</v>
      </c>
      <c r="K788" s="26">
        <v>13106</v>
      </c>
      <c r="L788" s="27">
        <v>35618</v>
      </c>
      <c r="M788" s="26">
        <v>19637</v>
      </c>
      <c r="N788" s="26">
        <v>9606</v>
      </c>
      <c r="O788" s="27">
        <v>29243</v>
      </c>
      <c r="P788" s="26">
        <v>17858</v>
      </c>
      <c r="Q788" s="26">
        <v>10174</v>
      </c>
      <c r="R788" s="27">
        <v>28032</v>
      </c>
      <c r="S788" s="26">
        <v>15485</v>
      </c>
      <c r="T788" s="26">
        <v>10244</v>
      </c>
      <c r="U788" s="27">
        <v>25729</v>
      </c>
      <c r="V788" s="26">
        <v>16348</v>
      </c>
      <c r="W788" s="26">
        <v>9864</v>
      </c>
      <c r="X788" s="31">
        <v>26212</v>
      </c>
      <c r="Y788" s="16">
        <v>16962</v>
      </c>
      <c r="Z788" s="16">
        <v>10531</v>
      </c>
      <c r="AA788" s="31">
        <v>27493</v>
      </c>
      <c r="AB788" s="32">
        <v>13406</v>
      </c>
      <c r="AC788" s="16">
        <v>6045</v>
      </c>
      <c r="AD788" s="31">
        <v>19451</v>
      </c>
      <c r="AE788" s="16">
        <v>16517</v>
      </c>
      <c r="AF788" s="16">
        <v>8911</v>
      </c>
      <c r="AG788" s="31">
        <v>25428</v>
      </c>
      <c r="AH788" s="16">
        <v>17201</v>
      </c>
      <c r="AI788" s="16">
        <v>11839</v>
      </c>
      <c r="AJ788" s="31">
        <v>29040</v>
      </c>
      <c r="AK788" s="16">
        <v>12038</v>
      </c>
      <c r="AL788" s="16">
        <v>9033</v>
      </c>
      <c r="AM788" s="31">
        <v>21071</v>
      </c>
      <c r="AN788" s="16">
        <v>26806</v>
      </c>
      <c r="AO788" s="16">
        <v>15744</v>
      </c>
      <c r="AP788" s="31">
        <v>42550</v>
      </c>
      <c r="AQ788" s="42"/>
      <c r="AR788" s="43"/>
      <c r="AS788" s="42"/>
      <c r="AT788" s="42"/>
    </row>
    <row r="789" spans="1:46" ht="12.9" customHeight="1" x14ac:dyDescent="0.25">
      <c r="A789" s="28" t="s">
        <v>1609</v>
      </c>
      <c r="B789" s="29" t="s">
        <v>1610</v>
      </c>
      <c r="C789" s="30" t="s">
        <v>384</v>
      </c>
      <c r="D789" s="40">
        <v>26640</v>
      </c>
      <c r="E789" s="26">
        <v>78514</v>
      </c>
      <c r="F789" s="26">
        <f t="shared" si="24"/>
        <v>105154</v>
      </c>
      <c r="G789" s="40">
        <v>35145</v>
      </c>
      <c r="H789" s="26">
        <v>72186</v>
      </c>
      <c r="I789" s="27">
        <f t="shared" si="25"/>
        <v>107331</v>
      </c>
      <c r="J789" s="40">
        <v>28224</v>
      </c>
      <c r="K789" s="26">
        <v>119765</v>
      </c>
      <c r="L789" s="27">
        <v>147989</v>
      </c>
      <c r="M789" s="26">
        <v>28224</v>
      </c>
      <c r="N789" s="26">
        <v>64964</v>
      </c>
      <c r="O789" s="27">
        <v>93188</v>
      </c>
      <c r="P789" s="26">
        <v>27432</v>
      </c>
      <c r="Q789" s="26">
        <v>56341</v>
      </c>
      <c r="R789" s="27">
        <v>83773</v>
      </c>
      <c r="S789" s="26">
        <v>27288</v>
      </c>
      <c r="T789" s="26">
        <v>90092</v>
      </c>
      <c r="U789" s="27">
        <v>117380</v>
      </c>
      <c r="V789" s="26">
        <v>27072</v>
      </c>
      <c r="W789" s="26">
        <v>48238</v>
      </c>
      <c r="X789" s="31">
        <v>75310</v>
      </c>
      <c r="Y789" s="16">
        <v>27072</v>
      </c>
      <c r="Z789" s="16">
        <v>67017</v>
      </c>
      <c r="AA789" s="31">
        <v>94089</v>
      </c>
      <c r="AB789" s="32">
        <v>27000</v>
      </c>
      <c r="AC789" s="16">
        <v>62439</v>
      </c>
      <c r="AD789" s="31">
        <v>89439</v>
      </c>
      <c r="AE789" s="16">
        <v>26640</v>
      </c>
      <c r="AF789" s="16">
        <v>31670</v>
      </c>
      <c r="AG789" s="31">
        <v>58310</v>
      </c>
      <c r="AH789" s="32" t="s">
        <v>160</v>
      </c>
      <c r="AI789" s="16">
        <v>22573</v>
      </c>
      <c r="AJ789" s="31">
        <v>22573</v>
      </c>
      <c r="AK789" s="16">
        <v>27144</v>
      </c>
      <c r="AL789" s="16">
        <v>49274</v>
      </c>
      <c r="AM789" s="31">
        <v>76418</v>
      </c>
      <c r="AN789" s="16">
        <v>27144</v>
      </c>
      <c r="AO789" s="16">
        <v>87335</v>
      </c>
      <c r="AP789" s="31">
        <v>114479</v>
      </c>
      <c r="AQ789" s="42"/>
      <c r="AR789" s="43"/>
      <c r="AS789" s="42"/>
      <c r="AT789" s="42"/>
    </row>
    <row r="790" spans="1:46" ht="12.9" customHeight="1" x14ac:dyDescent="0.25">
      <c r="A790" s="28" t="s">
        <v>1611</v>
      </c>
      <c r="B790" s="29" t="s">
        <v>1612</v>
      </c>
      <c r="C790" s="30" t="s">
        <v>39</v>
      </c>
      <c r="D790" s="40">
        <v>544956</v>
      </c>
      <c r="E790" s="26">
        <v>577722</v>
      </c>
      <c r="F790" s="26">
        <f t="shared" si="24"/>
        <v>1122678</v>
      </c>
      <c r="G790" s="40">
        <v>537243</v>
      </c>
      <c r="H790" s="26">
        <v>647514</v>
      </c>
      <c r="I790" s="27">
        <f t="shared" si="25"/>
        <v>1184757</v>
      </c>
      <c r="J790" s="40">
        <v>520232</v>
      </c>
      <c r="K790" s="26">
        <v>758312</v>
      </c>
      <c r="L790" s="27">
        <v>1278544</v>
      </c>
      <c r="M790" s="26">
        <v>542309</v>
      </c>
      <c r="N790" s="26">
        <v>758277</v>
      </c>
      <c r="O790" s="27">
        <v>1300586</v>
      </c>
      <c r="P790" s="26">
        <v>552230</v>
      </c>
      <c r="Q790" s="26">
        <v>675663</v>
      </c>
      <c r="R790" s="27">
        <v>1227893</v>
      </c>
      <c r="S790" s="26">
        <v>516068</v>
      </c>
      <c r="T790" s="26">
        <v>704022</v>
      </c>
      <c r="U790" s="27">
        <v>1220090</v>
      </c>
      <c r="V790" s="26">
        <v>483833</v>
      </c>
      <c r="W790" s="26">
        <v>768189</v>
      </c>
      <c r="X790" s="31">
        <v>1252022</v>
      </c>
      <c r="Y790" s="16">
        <v>488333</v>
      </c>
      <c r="Z790" s="16">
        <v>705393</v>
      </c>
      <c r="AA790" s="31">
        <v>1193726</v>
      </c>
      <c r="AB790" s="32">
        <v>493350</v>
      </c>
      <c r="AC790" s="16">
        <v>639823</v>
      </c>
      <c r="AD790" s="31">
        <v>1133173</v>
      </c>
      <c r="AE790" s="16">
        <v>489625</v>
      </c>
      <c r="AF790" s="16">
        <v>622342</v>
      </c>
      <c r="AG790" s="31">
        <v>1111967</v>
      </c>
      <c r="AH790" s="16">
        <v>489625</v>
      </c>
      <c r="AI790" s="16">
        <v>602126</v>
      </c>
      <c r="AJ790" s="31">
        <v>1091751</v>
      </c>
      <c r="AK790" s="16">
        <v>483974</v>
      </c>
      <c r="AL790" s="16">
        <v>601138</v>
      </c>
      <c r="AM790" s="31">
        <v>1085112</v>
      </c>
      <c r="AN790" s="16">
        <v>517421</v>
      </c>
      <c r="AO790" s="16">
        <v>584133</v>
      </c>
      <c r="AP790" s="31">
        <v>1101554</v>
      </c>
      <c r="AQ790" s="42"/>
      <c r="AR790" s="43"/>
      <c r="AS790" s="42"/>
      <c r="AT790" s="42"/>
    </row>
    <row r="791" spans="1:46" ht="12.9" customHeight="1" x14ac:dyDescent="0.25">
      <c r="A791" s="28" t="s">
        <v>1613</v>
      </c>
      <c r="B791" s="29" t="s">
        <v>1614</v>
      </c>
      <c r="C791" s="30" t="s">
        <v>113</v>
      </c>
      <c r="D791" s="40">
        <v>130778</v>
      </c>
      <c r="E791" s="26">
        <v>228249</v>
      </c>
      <c r="F791" s="26">
        <f t="shared" si="24"/>
        <v>359027</v>
      </c>
      <c r="G791" s="40">
        <v>146806</v>
      </c>
      <c r="H791" s="26">
        <v>251256</v>
      </c>
      <c r="I791" s="27">
        <f t="shared" si="25"/>
        <v>398062</v>
      </c>
      <c r="J791" s="40">
        <v>166065</v>
      </c>
      <c r="K791" s="26">
        <v>270372</v>
      </c>
      <c r="L791" s="27">
        <v>436437</v>
      </c>
      <c r="M791" s="26">
        <v>157268</v>
      </c>
      <c r="N791" s="26">
        <v>228632</v>
      </c>
      <c r="O791" s="27">
        <v>385900</v>
      </c>
      <c r="P791" s="26">
        <v>157268</v>
      </c>
      <c r="Q791" s="26">
        <v>209430</v>
      </c>
      <c r="R791" s="27">
        <v>366698</v>
      </c>
      <c r="S791" s="26">
        <v>157268</v>
      </c>
      <c r="T791" s="26">
        <v>246990</v>
      </c>
      <c r="U791" s="27">
        <v>404258</v>
      </c>
      <c r="V791" s="26">
        <v>158421</v>
      </c>
      <c r="W791" s="26">
        <v>224690</v>
      </c>
      <c r="X791" s="31">
        <v>383111</v>
      </c>
      <c r="Y791" s="16">
        <v>176508</v>
      </c>
      <c r="Z791" s="16">
        <v>201415</v>
      </c>
      <c r="AA791" s="31">
        <v>377923</v>
      </c>
      <c r="AB791" s="32">
        <v>175486</v>
      </c>
      <c r="AC791" s="16">
        <v>174273</v>
      </c>
      <c r="AD791" s="31">
        <v>349759</v>
      </c>
      <c r="AE791" s="16">
        <v>101927</v>
      </c>
      <c r="AF791" s="16">
        <v>174576</v>
      </c>
      <c r="AG791" s="31">
        <v>276503</v>
      </c>
      <c r="AH791" s="16">
        <v>102175</v>
      </c>
      <c r="AI791" s="16">
        <v>222866</v>
      </c>
      <c r="AJ791" s="31">
        <v>325041</v>
      </c>
      <c r="AK791" s="16">
        <v>161835</v>
      </c>
      <c r="AL791" s="16">
        <v>223053</v>
      </c>
      <c r="AM791" s="31">
        <v>384888</v>
      </c>
      <c r="AN791" s="16">
        <v>177784</v>
      </c>
      <c r="AO791" s="16">
        <v>202357</v>
      </c>
      <c r="AP791" s="31">
        <v>380141</v>
      </c>
      <c r="AQ791" s="42"/>
      <c r="AR791" s="43"/>
      <c r="AS791" s="42"/>
      <c r="AT791" s="42"/>
    </row>
    <row r="792" spans="1:46" ht="12.9" customHeight="1" x14ac:dyDescent="0.25">
      <c r="A792" s="28" t="s">
        <v>1615</v>
      </c>
      <c r="B792" s="29" t="s">
        <v>1616</v>
      </c>
      <c r="C792" s="30" t="s">
        <v>215</v>
      </c>
      <c r="D792" s="40">
        <v>28125</v>
      </c>
      <c r="E792" s="26">
        <v>13114</v>
      </c>
      <c r="F792" s="26">
        <f t="shared" si="24"/>
        <v>41239</v>
      </c>
      <c r="G792" s="40">
        <v>29784</v>
      </c>
      <c r="H792" s="26">
        <v>11880</v>
      </c>
      <c r="I792" s="27">
        <f t="shared" si="25"/>
        <v>41664</v>
      </c>
      <c r="J792" s="40">
        <v>32361</v>
      </c>
      <c r="K792" s="26">
        <v>11284</v>
      </c>
      <c r="L792" s="27">
        <v>43645</v>
      </c>
      <c r="M792" s="26">
        <v>33894</v>
      </c>
      <c r="N792" s="26">
        <v>9363</v>
      </c>
      <c r="O792" s="27">
        <v>43257</v>
      </c>
      <c r="P792" s="26">
        <v>30712</v>
      </c>
      <c r="Q792" s="26">
        <v>9528</v>
      </c>
      <c r="R792" s="27">
        <v>40240</v>
      </c>
      <c r="S792" s="26">
        <v>31780</v>
      </c>
      <c r="T792" s="26">
        <v>11518</v>
      </c>
      <c r="U792" s="27">
        <v>43298</v>
      </c>
      <c r="V792" s="26">
        <v>30014</v>
      </c>
      <c r="W792" s="26">
        <v>10841</v>
      </c>
      <c r="X792" s="31">
        <v>40855</v>
      </c>
      <c r="Y792" s="16">
        <v>30014</v>
      </c>
      <c r="Z792" s="16">
        <v>10841</v>
      </c>
      <c r="AA792" s="31">
        <v>40855</v>
      </c>
      <c r="AB792" s="32">
        <v>31222</v>
      </c>
      <c r="AC792" s="16">
        <v>10532</v>
      </c>
      <c r="AD792" s="31">
        <v>41754</v>
      </c>
      <c r="AE792" s="16">
        <v>31557</v>
      </c>
      <c r="AF792" s="16">
        <v>9675</v>
      </c>
      <c r="AG792" s="31">
        <v>41232</v>
      </c>
      <c r="AH792" s="16">
        <v>31557</v>
      </c>
      <c r="AI792" s="16">
        <v>9675</v>
      </c>
      <c r="AJ792" s="31">
        <v>41232</v>
      </c>
      <c r="AK792" s="16">
        <v>34292</v>
      </c>
      <c r="AL792" s="16">
        <v>8889</v>
      </c>
      <c r="AM792" s="31">
        <v>43181</v>
      </c>
      <c r="AN792" s="16">
        <v>34292</v>
      </c>
      <c r="AO792" s="16">
        <v>8889</v>
      </c>
      <c r="AP792" s="31">
        <v>43181</v>
      </c>
      <c r="AQ792" s="42"/>
      <c r="AR792" s="43"/>
      <c r="AS792" s="42"/>
      <c r="AT792" s="42"/>
    </row>
    <row r="793" spans="1:46" ht="12.9" customHeight="1" x14ac:dyDescent="0.25">
      <c r="A793" s="28" t="s">
        <v>1617</v>
      </c>
      <c r="B793" s="29" t="s">
        <v>1618</v>
      </c>
      <c r="C793" s="30" t="s">
        <v>123</v>
      </c>
      <c r="D793" s="40">
        <v>294020</v>
      </c>
      <c r="E793" s="26">
        <v>213301</v>
      </c>
      <c r="F793" s="26">
        <f t="shared" si="24"/>
        <v>507321</v>
      </c>
      <c r="G793" s="40">
        <v>320882</v>
      </c>
      <c r="H793" s="26">
        <v>215546</v>
      </c>
      <c r="I793" s="27">
        <f t="shared" si="25"/>
        <v>536428</v>
      </c>
      <c r="J793" s="40">
        <v>349129</v>
      </c>
      <c r="K793" s="26">
        <v>232271</v>
      </c>
      <c r="L793" s="27">
        <v>581400</v>
      </c>
      <c r="M793" s="26">
        <v>305776</v>
      </c>
      <c r="N793" s="26">
        <v>231268</v>
      </c>
      <c r="O793" s="27">
        <v>537044</v>
      </c>
      <c r="P793" s="26">
        <v>339179</v>
      </c>
      <c r="Q793" s="26">
        <v>178895</v>
      </c>
      <c r="R793" s="27">
        <v>518074</v>
      </c>
      <c r="S793" s="26">
        <v>322255</v>
      </c>
      <c r="T793" s="26">
        <v>179641</v>
      </c>
      <c r="U793" s="27">
        <v>501896</v>
      </c>
      <c r="V793" s="26">
        <v>292484</v>
      </c>
      <c r="W793" s="26">
        <v>208628</v>
      </c>
      <c r="X793" s="31">
        <v>501112</v>
      </c>
      <c r="Y793" s="16">
        <v>300707</v>
      </c>
      <c r="Z793" s="16">
        <v>188974</v>
      </c>
      <c r="AA793" s="31">
        <v>489681</v>
      </c>
      <c r="AB793" s="32">
        <v>302006</v>
      </c>
      <c r="AC793" s="16">
        <v>168872</v>
      </c>
      <c r="AD793" s="31">
        <v>470878</v>
      </c>
      <c r="AE793" s="16">
        <v>295106</v>
      </c>
      <c r="AF793" s="16">
        <v>155546</v>
      </c>
      <c r="AG793" s="31">
        <v>450652</v>
      </c>
      <c r="AH793" s="16">
        <v>286426</v>
      </c>
      <c r="AI793" s="16">
        <v>139372</v>
      </c>
      <c r="AJ793" s="31">
        <v>425798</v>
      </c>
      <c r="AK793" s="16">
        <v>178958</v>
      </c>
      <c r="AL793" s="16">
        <v>146239</v>
      </c>
      <c r="AM793" s="31">
        <v>325197</v>
      </c>
      <c r="AN793" s="16">
        <v>299237</v>
      </c>
      <c r="AO793" s="16">
        <v>150539</v>
      </c>
      <c r="AP793" s="31">
        <v>449776</v>
      </c>
      <c r="AQ793" s="42"/>
      <c r="AR793" s="43"/>
      <c r="AS793" s="42"/>
      <c r="AT793" s="42"/>
    </row>
    <row r="794" spans="1:46" ht="12.9" customHeight="1" x14ac:dyDescent="0.25">
      <c r="A794" s="28" t="s">
        <v>1619</v>
      </c>
      <c r="B794" s="29" t="s">
        <v>1620</v>
      </c>
      <c r="C794" s="30" t="s">
        <v>409</v>
      </c>
      <c r="D794" s="40">
        <v>1978209</v>
      </c>
      <c r="E794" s="26">
        <v>1073901</v>
      </c>
      <c r="F794" s="26">
        <f t="shared" si="24"/>
        <v>3052110</v>
      </c>
      <c r="G794" s="40">
        <v>2030798</v>
      </c>
      <c r="H794" s="26">
        <v>935108</v>
      </c>
      <c r="I794" s="27">
        <f t="shared" si="25"/>
        <v>2965906</v>
      </c>
      <c r="J794" s="40">
        <v>2067021</v>
      </c>
      <c r="K794" s="26">
        <v>1143480</v>
      </c>
      <c r="L794" s="27">
        <v>3210501</v>
      </c>
      <c r="M794" s="26">
        <v>2080555</v>
      </c>
      <c r="N794" s="26">
        <v>937264</v>
      </c>
      <c r="O794" s="27">
        <v>3017819</v>
      </c>
      <c r="P794" s="26">
        <v>2024085.5</v>
      </c>
      <c r="Q794" s="26">
        <v>828313</v>
      </c>
      <c r="R794" s="27">
        <v>2852398.5</v>
      </c>
      <c r="S794" s="26">
        <v>2038710.5</v>
      </c>
      <c r="T794" s="26">
        <v>1039197</v>
      </c>
      <c r="U794" s="27">
        <v>3077907.5</v>
      </c>
      <c r="V794" s="26">
        <v>2001447</v>
      </c>
      <c r="W794" s="26">
        <v>1096337</v>
      </c>
      <c r="X794" s="31">
        <v>3097784</v>
      </c>
      <c r="Y794" s="16">
        <v>1981572</v>
      </c>
      <c r="Z794" s="16">
        <v>1177756</v>
      </c>
      <c r="AA794" s="31">
        <v>3159328</v>
      </c>
      <c r="AB794" s="32">
        <v>1992393</v>
      </c>
      <c r="AC794" s="16">
        <v>1177172</v>
      </c>
      <c r="AD794" s="31">
        <v>3169565</v>
      </c>
      <c r="AE794" s="16">
        <v>1933702</v>
      </c>
      <c r="AF794" s="16">
        <v>1108449</v>
      </c>
      <c r="AG794" s="31">
        <v>3042151</v>
      </c>
      <c r="AH794" s="16">
        <v>1958129</v>
      </c>
      <c r="AI794" s="16">
        <v>1271768</v>
      </c>
      <c r="AJ794" s="31">
        <v>3229897</v>
      </c>
      <c r="AK794" s="16">
        <v>1931961</v>
      </c>
      <c r="AL794" s="16">
        <v>1106372</v>
      </c>
      <c r="AM794" s="31">
        <v>3038333</v>
      </c>
      <c r="AN794" s="16">
        <v>2038890</v>
      </c>
      <c r="AO794" s="16">
        <v>1260480</v>
      </c>
      <c r="AP794" s="31">
        <v>3299370</v>
      </c>
      <c r="AQ794" s="42"/>
      <c r="AR794" s="43"/>
      <c r="AS794" s="42"/>
      <c r="AT794" s="42"/>
    </row>
    <row r="795" spans="1:46" ht="12.9" customHeight="1" x14ac:dyDescent="0.25">
      <c r="A795" s="28" t="s">
        <v>1621</v>
      </c>
      <c r="B795" s="29" t="s">
        <v>1622</v>
      </c>
      <c r="C795" s="30" t="s">
        <v>23</v>
      </c>
      <c r="D795" s="40">
        <v>5607</v>
      </c>
      <c r="E795" s="26">
        <v>7655</v>
      </c>
      <c r="F795" s="26">
        <f t="shared" si="24"/>
        <v>13262</v>
      </c>
      <c r="G795" s="40">
        <v>6549</v>
      </c>
      <c r="H795" s="26">
        <v>3034</v>
      </c>
      <c r="I795" s="27">
        <f t="shared" si="25"/>
        <v>9583</v>
      </c>
      <c r="J795" s="40">
        <v>7194</v>
      </c>
      <c r="K795" s="26">
        <v>4371</v>
      </c>
      <c r="L795" s="27">
        <v>11565</v>
      </c>
      <c r="M795" s="26">
        <v>6710</v>
      </c>
      <c r="N795" s="26">
        <v>3853</v>
      </c>
      <c r="O795" s="27">
        <v>10563</v>
      </c>
      <c r="P795" s="26">
        <v>8000</v>
      </c>
      <c r="Q795" s="26">
        <v>3992</v>
      </c>
      <c r="R795" s="27">
        <v>11992</v>
      </c>
      <c r="S795" s="26">
        <v>12106</v>
      </c>
      <c r="T795" s="26">
        <v>5112</v>
      </c>
      <c r="U795" s="27">
        <v>17218</v>
      </c>
      <c r="V795" s="26">
        <v>9189</v>
      </c>
      <c r="W795" s="26">
        <v>4110</v>
      </c>
      <c r="X795" s="31">
        <v>13299</v>
      </c>
      <c r="Y795" s="16">
        <v>8857</v>
      </c>
      <c r="Z795" s="16">
        <v>4311</v>
      </c>
      <c r="AA795" s="31">
        <v>13168</v>
      </c>
      <c r="AB795" s="32">
        <v>8538</v>
      </c>
      <c r="AC795" s="16">
        <v>2890</v>
      </c>
      <c r="AD795" s="31">
        <v>11428</v>
      </c>
      <c r="AE795" s="16">
        <v>8315</v>
      </c>
      <c r="AF795" s="16">
        <v>2218</v>
      </c>
      <c r="AG795" s="31">
        <v>10533</v>
      </c>
      <c r="AH795" s="16">
        <v>8453</v>
      </c>
      <c r="AI795" s="16">
        <v>2294</v>
      </c>
      <c r="AJ795" s="31">
        <v>10747</v>
      </c>
      <c r="AK795" s="16">
        <v>7473</v>
      </c>
      <c r="AL795" s="16">
        <v>3492</v>
      </c>
      <c r="AM795" s="31">
        <v>10965</v>
      </c>
      <c r="AN795" s="16">
        <v>8434</v>
      </c>
      <c r="AO795" s="16">
        <v>2428</v>
      </c>
      <c r="AP795" s="31">
        <v>10862</v>
      </c>
      <c r="AQ795" s="42"/>
      <c r="AR795" s="43"/>
      <c r="AS795" s="42"/>
      <c r="AT795" s="42"/>
    </row>
    <row r="796" spans="1:46" ht="12.9" customHeight="1" x14ac:dyDescent="0.25">
      <c r="A796" s="28" t="s">
        <v>1623</v>
      </c>
      <c r="B796" s="29" t="s">
        <v>1624</v>
      </c>
      <c r="C796" s="47" t="s">
        <v>1946</v>
      </c>
      <c r="D796" s="40">
        <v>3728</v>
      </c>
      <c r="E796" s="26">
        <v>1479</v>
      </c>
      <c r="F796" s="26">
        <f t="shared" si="24"/>
        <v>5207</v>
      </c>
      <c r="G796" s="40">
        <v>3680</v>
      </c>
      <c r="H796" s="26">
        <f>972-970+2045</f>
        <v>2047</v>
      </c>
      <c r="I796" s="27">
        <f t="shared" si="25"/>
        <v>5727</v>
      </c>
      <c r="J796" s="40">
        <v>4909</v>
      </c>
      <c r="K796" s="26">
        <v>1948</v>
      </c>
      <c r="L796" s="27">
        <v>6857</v>
      </c>
      <c r="M796" s="26">
        <v>4567</v>
      </c>
      <c r="N796" s="26">
        <v>1916</v>
      </c>
      <c r="O796" s="27">
        <v>6483</v>
      </c>
      <c r="P796" s="26">
        <v>4769</v>
      </c>
      <c r="Q796" s="26">
        <v>1539</v>
      </c>
      <c r="R796" s="27">
        <v>6308</v>
      </c>
      <c r="S796" s="26">
        <v>4058</v>
      </c>
      <c r="T796" s="26">
        <v>1672</v>
      </c>
      <c r="U796" s="27">
        <v>5730</v>
      </c>
      <c r="V796" s="26">
        <v>4241</v>
      </c>
      <c r="W796" s="26">
        <v>1015</v>
      </c>
      <c r="X796" s="31">
        <v>5256</v>
      </c>
      <c r="Y796" s="16">
        <v>3849</v>
      </c>
      <c r="Z796" s="16">
        <v>852</v>
      </c>
      <c r="AA796" s="31">
        <v>4701</v>
      </c>
      <c r="AB796" s="32">
        <v>2834</v>
      </c>
      <c r="AC796" s="16">
        <v>638</v>
      </c>
      <c r="AD796" s="31">
        <v>3472</v>
      </c>
      <c r="AE796" s="16">
        <v>2165</v>
      </c>
      <c r="AF796" s="16">
        <v>0</v>
      </c>
      <c r="AG796" s="31">
        <v>2165</v>
      </c>
      <c r="AH796" s="16">
        <v>2165.333333333328</v>
      </c>
      <c r="AI796" s="16">
        <v>971</v>
      </c>
      <c r="AJ796" s="31">
        <v>3136.333333333328</v>
      </c>
      <c r="AK796" s="16">
        <v>4275</v>
      </c>
      <c r="AL796" s="16">
        <v>1581</v>
      </c>
      <c r="AM796" s="31">
        <v>5856</v>
      </c>
      <c r="AN796" s="16">
        <v>4801</v>
      </c>
      <c r="AO796" s="16">
        <v>785</v>
      </c>
      <c r="AP796" s="31">
        <v>5586</v>
      </c>
      <c r="AQ796" s="42"/>
      <c r="AR796" s="43"/>
      <c r="AS796" s="42"/>
      <c r="AT796" s="42"/>
    </row>
    <row r="797" spans="1:46" ht="12.9" customHeight="1" x14ac:dyDescent="0.25">
      <c r="A797" s="28" t="s">
        <v>1625</v>
      </c>
      <c r="B797" s="29" t="s">
        <v>1626</v>
      </c>
      <c r="C797" s="30" t="s">
        <v>42</v>
      </c>
      <c r="D797" s="40">
        <v>9017</v>
      </c>
      <c r="E797" s="26">
        <v>9438</v>
      </c>
      <c r="F797" s="26">
        <f t="shared" si="24"/>
        <v>18455</v>
      </c>
      <c r="G797" s="40">
        <v>9421</v>
      </c>
      <c r="H797" s="26">
        <v>6667</v>
      </c>
      <c r="I797" s="27">
        <f t="shared" si="25"/>
        <v>16088</v>
      </c>
      <c r="J797" s="40">
        <v>9887</v>
      </c>
      <c r="K797" s="26">
        <v>7782</v>
      </c>
      <c r="L797" s="27">
        <v>17669</v>
      </c>
      <c r="M797" s="26">
        <v>10908</v>
      </c>
      <c r="N797" s="26">
        <v>7033</v>
      </c>
      <c r="O797" s="27">
        <v>17941</v>
      </c>
      <c r="P797" s="26">
        <v>11719</v>
      </c>
      <c r="Q797" s="26">
        <v>8726</v>
      </c>
      <c r="R797" s="27">
        <v>20445</v>
      </c>
      <c r="S797" s="26">
        <v>10303</v>
      </c>
      <c r="T797" s="26">
        <v>1388</v>
      </c>
      <c r="U797" s="27">
        <v>11691</v>
      </c>
      <c r="V797" s="26">
        <v>10165</v>
      </c>
      <c r="W797" s="26">
        <v>1470</v>
      </c>
      <c r="X797" s="31">
        <v>11635</v>
      </c>
      <c r="Y797" s="16">
        <v>10554</v>
      </c>
      <c r="Z797" s="16">
        <v>1689</v>
      </c>
      <c r="AA797" s="31">
        <v>12243</v>
      </c>
      <c r="AB797" s="32">
        <v>10672</v>
      </c>
      <c r="AC797" s="16">
        <v>946</v>
      </c>
      <c r="AD797" s="31">
        <v>11618</v>
      </c>
      <c r="AE797" s="16">
        <v>10527</v>
      </c>
      <c r="AF797" s="16">
        <v>847</v>
      </c>
      <c r="AG797" s="31">
        <v>11374</v>
      </c>
      <c r="AH797" s="16">
        <v>10537</v>
      </c>
      <c r="AI797" s="16">
        <v>912</v>
      </c>
      <c r="AJ797" s="31">
        <v>11449</v>
      </c>
      <c r="AK797" s="16">
        <v>10704</v>
      </c>
      <c r="AL797" s="16">
        <v>590</v>
      </c>
      <c r="AM797" s="31">
        <v>11294</v>
      </c>
      <c r="AN797" s="16">
        <v>14356</v>
      </c>
      <c r="AO797" s="16">
        <v>2641</v>
      </c>
      <c r="AP797" s="31">
        <v>16997</v>
      </c>
      <c r="AQ797" s="42"/>
      <c r="AR797" s="43"/>
      <c r="AS797" s="42"/>
      <c r="AT797" s="42"/>
    </row>
    <row r="798" spans="1:46" ht="12.9" customHeight="1" x14ac:dyDescent="0.25">
      <c r="A798" s="28" t="s">
        <v>1627</v>
      </c>
      <c r="B798" s="29" t="s">
        <v>1628</v>
      </c>
      <c r="C798" s="30" t="s">
        <v>218</v>
      </c>
      <c r="D798" s="40">
        <v>19696</v>
      </c>
      <c r="E798" s="26">
        <v>8139</v>
      </c>
      <c r="F798" s="26">
        <f t="shared" si="24"/>
        <v>27835</v>
      </c>
      <c r="G798" s="40">
        <v>20845</v>
      </c>
      <c r="H798" s="26">
        <v>8232</v>
      </c>
      <c r="I798" s="27">
        <f t="shared" si="25"/>
        <v>29077</v>
      </c>
      <c r="J798" s="40">
        <v>23162</v>
      </c>
      <c r="K798" s="26">
        <v>8712</v>
      </c>
      <c r="L798" s="27">
        <v>31874</v>
      </c>
      <c r="M798" s="26">
        <v>23006</v>
      </c>
      <c r="N798" s="26">
        <v>8995</v>
      </c>
      <c r="O798" s="27">
        <v>32001</v>
      </c>
      <c r="P798" s="26">
        <v>29613</v>
      </c>
      <c r="Q798" s="26">
        <v>10032</v>
      </c>
      <c r="R798" s="27">
        <v>39645</v>
      </c>
      <c r="S798" s="26">
        <v>22186</v>
      </c>
      <c r="T798" s="26">
        <v>8284</v>
      </c>
      <c r="U798" s="27">
        <v>30470</v>
      </c>
      <c r="V798" s="26">
        <v>23002</v>
      </c>
      <c r="W798" s="26">
        <v>7591</v>
      </c>
      <c r="X798" s="31">
        <v>30593</v>
      </c>
      <c r="Y798" s="16">
        <v>25052</v>
      </c>
      <c r="Z798" s="16">
        <v>8222</v>
      </c>
      <c r="AA798" s="31">
        <v>33274</v>
      </c>
      <c r="AB798" s="32">
        <v>23490</v>
      </c>
      <c r="AC798" s="16">
        <v>7150</v>
      </c>
      <c r="AD798" s="31">
        <v>30640</v>
      </c>
      <c r="AE798" s="16">
        <v>22658</v>
      </c>
      <c r="AF798" s="16">
        <v>10252</v>
      </c>
      <c r="AG798" s="31">
        <v>32910</v>
      </c>
      <c r="AH798" s="16">
        <v>21729</v>
      </c>
      <c r="AI798" s="16">
        <v>9383</v>
      </c>
      <c r="AJ798" s="31">
        <v>31112</v>
      </c>
      <c r="AK798" s="16">
        <v>21453</v>
      </c>
      <c r="AL798" s="16">
        <v>8049</v>
      </c>
      <c r="AM798" s="31">
        <v>29502</v>
      </c>
      <c r="AN798" s="16">
        <v>24105</v>
      </c>
      <c r="AO798" s="16">
        <v>5298</v>
      </c>
      <c r="AP798" s="31">
        <v>29403</v>
      </c>
      <c r="AQ798" s="42"/>
      <c r="AR798" s="43"/>
      <c r="AS798" s="42"/>
      <c r="AT798" s="42"/>
    </row>
    <row r="799" spans="1:46" ht="12.9" customHeight="1" x14ac:dyDescent="0.25">
      <c r="A799" s="28" t="s">
        <v>1629</v>
      </c>
      <c r="B799" s="29" t="s">
        <v>1630</v>
      </c>
      <c r="C799" s="30" t="s">
        <v>438</v>
      </c>
      <c r="D799" s="40">
        <v>355249</v>
      </c>
      <c r="E799" s="26">
        <v>91094</v>
      </c>
      <c r="F799" s="26">
        <f t="shared" si="24"/>
        <v>446343</v>
      </c>
      <c r="G799" s="40">
        <v>359547</v>
      </c>
      <c r="H799" s="26">
        <v>95093</v>
      </c>
      <c r="I799" s="27">
        <f t="shared" si="25"/>
        <v>454640</v>
      </c>
      <c r="J799" s="40">
        <v>370156</v>
      </c>
      <c r="K799" s="26">
        <v>95869</v>
      </c>
      <c r="L799" s="27">
        <v>466025</v>
      </c>
      <c r="M799" s="26">
        <v>377115</v>
      </c>
      <c r="N799" s="26">
        <v>89958</v>
      </c>
      <c r="O799" s="27">
        <v>467073</v>
      </c>
      <c r="P799" s="26">
        <v>391985</v>
      </c>
      <c r="Q799" s="26">
        <v>81793</v>
      </c>
      <c r="R799" s="27">
        <v>473778</v>
      </c>
      <c r="S799" s="26">
        <v>389088</v>
      </c>
      <c r="T799" s="26">
        <v>66945</v>
      </c>
      <c r="U799" s="27">
        <v>456033</v>
      </c>
      <c r="V799" s="26">
        <v>389082</v>
      </c>
      <c r="W799" s="26">
        <v>66992</v>
      </c>
      <c r="X799" s="31">
        <v>456074</v>
      </c>
      <c r="Y799" s="16">
        <v>389410</v>
      </c>
      <c r="Z799" s="16">
        <v>66980</v>
      </c>
      <c r="AA799" s="31">
        <v>456390</v>
      </c>
      <c r="AB799" s="32">
        <v>389758</v>
      </c>
      <c r="AC799" s="16">
        <v>76658</v>
      </c>
      <c r="AD799" s="31">
        <v>466416</v>
      </c>
      <c r="AE799" s="16">
        <v>389758</v>
      </c>
      <c r="AF799" s="16">
        <v>77460</v>
      </c>
      <c r="AG799" s="31">
        <v>467218</v>
      </c>
      <c r="AH799" s="16">
        <v>422766</v>
      </c>
      <c r="AI799" s="16">
        <v>69280</v>
      </c>
      <c r="AJ799" s="31">
        <v>492046</v>
      </c>
      <c r="AK799" s="16">
        <v>422451</v>
      </c>
      <c r="AL799" s="16">
        <v>68704</v>
      </c>
      <c r="AM799" s="31">
        <v>491155</v>
      </c>
      <c r="AN799" s="16">
        <v>423709</v>
      </c>
      <c r="AO799" s="16">
        <v>124849</v>
      </c>
      <c r="AP799" s="31">
        <v>548558</v>
      </c>
      <c r="AQ799" s="42"/>
      <c r="AR799" s="43"/>
      <c r="AS799" s="42"/>
      <c r="AT799" s="42"/>
    </row>
    <row r="800" spans="1:46" ht="12.9" customHeight="1" x14ac:dyDescent="0.25">
      <c r="A800" s="28" t="s">
        <v>1631</v>
      </c>
      <c r="B800" s="29" t="s">
        <v>1632</v>
      </c>
      <c r="C800" s="30" t="s">
        <v>113</v>
      </c>
      <c r="D800" s="40">
        <v>10241</v>
      </c>
      <c r="E800" s="26">
        <v>20987</v>
      </c>
      <c r="F800" s="26">
        <f t="shared" si="24"/>
        <v>31228</v>
      </c>
      <c r="G800" s="40">
        <v>9105</v>
      </c>
      <c r="H800" s="26">
        <v>27301</v>
      </c>
      <c r="I800" s="27">
        <f t="shared" si="25"/>
        <v>36406</v>
      </c>
      <c r="J800" s="40">
        <v>11708</v>
      </c>
      <c r="K800" s="26">
        <v>2901</v>
      </c>
      <c r="L800" s="27">
        <v>14609</v>
      </c>
      <c r="M800" s="26">
        <v>10533</v>
      </c>
      <c r="N800" s="26">
        <v>2533</v>
      </c>
      <c r="O800" s="27">
        <v>13066</v>
      </c>
      <c r="P800" s="26">
        <v>9915</v>
      </c>
      <c r="Q800" s="26">
        <v>2826</v>
      </c>
      <c r="R800" s="27">
        <v>12741</v>
      </c>
      <c r="S800" s="26">
        <v>11397</v>
      </c>
      <c r="T800" s="26">
        <v>3294</v>
      </c>
      <c r="U800" s="27">
        <v>14691</v>
      </c>
      <c r="V800" s="26">
        <v>9512</v>
      </c>
      <c r="W800" s="26">
        <v>3653</v>
      </c>
      <c r="X800" s="31">
        <v>13165</v>
      </c>
      <c r="Y800" s="16">
        <v>12240</v>
      </c>
      <c r="Z800" s="16">
        <v>3744</v>
      </c>
      <c r="AA800" s="31">
        <v>15984</v>
      </c>
      <c r="AB800" s="32">
        <v>10598</v>
      </c>
      <c r="AC800" s="16">
        <v>1878</v>
      </c>
      <c r="AD800" s="31">
        <v>12476</v>
      </c>
      <c r="AE800" s="16">
        <v>9105</v>
      </c>
      <c r="AF800" s="16">
        <v>2004</v>
      </c>
      <c r="AG800" s="31">
        <v>11109</v>
      </c>
      <c r="AH800" s="16">
        <v>7941</v>
      </c>
      <c r="AI800" s="16">
        <v>1625</v>
      </c>
      <c r="AJ800" s="31">
        <v>9566</v>
      </c>
      <c r="AK800" s="16">
        <v>10501</v>
      </c>
      <c r="AL800" s="16">
        <v>1341</v>
      </c>
      <c r="AM800" s="31">
        <v>11842</v>
      </c>
      <c r="AN800" s="16">
        <v>8575</v>
      </c>
      <c r="AO800" s="16">
        <v>32255</v>
      </c>
      <c r="AP800" s="31">
        <v>40830</v>
      </c>
      <c r="AQ800" s="42"/>
      <c r="AR800" s="43"/>
      <c r="AS800" s="42"/>
      <c r="AT800" s="42"/>
    </row>
    <row r="801" spans="1:46" ht="12.9" customHeight="1" x14ac:dyDescent="0.25">
      <c r="A801" s="28" t="s">
        <v>1633</v>
      </c>
      <c r="B801" s="29" t="s">
        <v>1634</v>
      </c>
      <c r="C801" s="30" t="s">
        <v>95</v>
      </c>
      <c r="D801" s="40">
        <v>39096</v>
      </c>
      <c r="E801" s="26">
        <v>6176</v>
      </c>
      <c r="F801" s="26">
        <f t="shared" si="24"/>
        <v>45272</v>
      </c>
      <c r="G801" s="40">
        <v>40400</v>
      </c>
      <c r="H801" s="26">
        <v>2423</v>
      </c>
      <c r="I801" s="27">
        <f t="shared" si="25"/>
        <v>42823</v>
      </c>
      <c r="J801" s="40">
        <v>40400</v>
      </c>
      <c r="K801" s="26">
        <v>2423</v>
      </c>
      <c r="L801" s="27">
        <v>42823</v>
      </c>
      <c r="M801" s="26">
        <v>40400</v>
      </c>
      <c r="N801" s="26">
        <v>2423</v>
      </c>
      <c r="O801" s="27">
        <v>42823</v>
      </c>
      <c r="P801" s="26">
        <v>43632</v>
      </c>
      <c r="Q801" s="26">
        <v>2423</v>
      </c>
      <c r="R801" s="27">
        <v>46055</v>
      </c>
      <c r="S801" s="26">
        <v>43128</v>
      </c>
      <c r="T801" s="26">
        <v>3188</v>
      </c>
      <c r="U801" s="27">
        <v>46316</v>
      </c>
      <c r="V801" s="26">
        <v>43200</v>
      </c>
      <c r="W801" s="26">
        <v>3240</v>
      </c>
      <c r="X801" s="31">
        <v>46440</v>
      </c>
      <c r="Y801" s="16">
        <v>42372</v>
      </c>
      <c r="Z801" s="16">
        <v>20</v>
      </c>
      <c r="AA801" s="31">
        <v>42392</v>
      </c>
      <c r="AB801" s="32">
        <v>42372</v>
      </c>
      <c r="AC801" s="16">
        <v>20</v>
      </c>
      <c r="AD801" s="31">
        <v>42392</v>
      </c>
      <c r="AE801" s="16">
        <v>42588</v>
      </c>
      <c r="AF801" s="16">
        <v>20</v>
      </c>
      <c r="AG801" s="31">
        <v>42608</v>
      </c>
      <c r="AH801" s="16">
        <v>42516</v>
      </c>
      <c r="AI801" s="16">
        <v>3116</v>
      </c>
      <c r="AJ801" s="31">
        <v>45632</v>
      </c>
      <c r="AK801" s="16">
        <v>41688</v>
      </c>
      <c r="AL801" s="16">
        <v>3116</v>
      </c>
      <c r="AM801" s="31">
        <v>44804</v>
      </c>
      <c r="AN801" s="16">
        <v>41688</v>
      </c>
      <c r="AO801" s="16">
        <v>3116</v>
      </c>
      <c r="AP801" s="31">
        <v>44804</v>
      </c>
      <c r="AQ801" s="42"/>
      <c r="AR801" s="43"/>
      <c r="AS801" s="42"/>
      <c r="AT801" s="42"/>
    </row>
    <row r="802" spans="1:46" ht="12.9" customHeight="1" x14ac:dyDescent="0.25">
      <c r="A802" s="28" t="s">
        <v>1635</v>
      </c>
      <c r="B802" s="29" t="s">
        <v>1636</v>
      </c>
      <c r="C802" s="30" t="s">
        <v>95</v>
      </c>
      <c r="D802" s="40">
        <v>80449</v>
      </c>
      <c r="E802" s="26">
        <v>43524</v>
      </c>
      <c r="F802" s="26">
        <f t="shared" si="24"/>
        <v>123973</v>
      </c>
      <c r="G802" s="40">
        <v>91446</v>
      </c>
      <c r="H802" s="26">
        <v>47916</v>
      </c>
      <c r="I802" s="27">
        <f t="shared" si="25"/>
        <v>139362</v>
      </c>
      <c r="J802" s="40">
        <v>90535</v>
      </c>
      <c r="K802" s="26">
        <v>44796</v>
      </c>
      <c r="L802" s="27">
        <v>135331</v>
      </c>
      <c r="M802" s="26">
        <v>97054</v>
      </c>
      <c r="N802" s="26">
        <v>47750</v>
      </c>
      <c r="O802" s="27">
        <v>144804</v>
      </c>
      <c r="P802" s="26">
        <v>90459</v>
      </c>
      <c r="Q802" s="26">
        <v>53639</v>
      </c>
      <c r="R802" s="27">
        <v>144098</v>
      </c>
      <c r="S802" s="26">
        <v>88683</v>
      </c>
      <c r="T802" s="26">
        <v>53085</v>
      </c>
      <c r="U802" s="27">
        <v>141768</v>
      </c>
      <c r="V802" s="26">
        <v>82425</v>
      </c>
      <c r="W802" s="26">
        <v>46032</v>
      </c>
      <c r="X802" s="31">
        <v>128457</v>
      </c>
      <c r="Y802" s="16">
        <v>83617</v>
      </c>
      <c r="Z802" s="16">
        <v>34156</v>
      </c>
      <c r="AA802" s="31">
        <v>117773</v>
      </c>
      <c r="AB802" s="32">
        <v>94743</v>
      </c>
      <c r="AC802" s="16">
        <v>39778</v>
      </c>
      <c r="AD802" s="31">
        <v>134521</v>
      </c>
      <c r="AE802" s="16">
        <v>92349</v>
      </c>
      <c r="AF802" s="16">
        <v>37832</v>
      </c>
      <c r="AG802" s="31">
        <v>130181</v>
      </c>
      <c r="AH802" s="16">
        <v>88989</v>
      </c>
      <c r="AI802" s="16">
        <v>39184</v>
      </c>
      <c r="AJ802" s="31">
        <v>128173</v>
      </c>
      <c r="AK802" s="16">
        <v>96989</v>
      </c>
      <c r="AL802" s="16">
        <v>38247</v>
      </c>
      <c r="AM802" s="31">
        <v>135236</v>
      </c>
      <c r="AN802" s="16">
        <v>106788</v>
      </c>
      <c r="AO802" s="16">
        <v>30913</v>
      </c>
      <c r="AP802" s="31">
        <v>137701</v>
      </c>
      <c r="AQ802" s="42"/>
      <c r="AR802" s="43"/>
      <c r="AS802" s="42"/>
      <c r="AT802" s="42"/>
    </row>
    <row r="803" spans="1:46" ht="12.9" customHeight="1" x14ac:dyDescent="0.25">
      <c r="A803" s="28" t="s">
        <v>1637</v>
      </c>
      <c r="B803" s="29" t="s">
        <v>1638</v>
      </c>
      <c r="C803" s="30" t="s">
        <v>34</v>
      </c>
      <c r="D803" s="40">
        <v>81370</v>
      </c>
      <c r="E803" s="26">
        <v>157026</v>
      </c>
      <c r="F803" s="26">
        <f t="shared" si="24"/>
        <v>238396</v>
      </c>
      <c r="G803" s="40">
        <v>81114</v>
      </c>
      <c r="H803" s="26">
        <v>138410</v>
      </c>
      <c r="I803" s="27">
        <f t="shared" si="25"/>
        <v>219524</v>
      </c>
      <c r="J803" s="40">
        <v>78318</v>
      </c>
      <c r="K803" s="26">
        <v>137409</v>
      </c>
      <c r="L803" s="27">
        <v>215727</v>
      </c>
      <c r="M803" s="26">
        <v>83660</v>
      </c>
      <c r="N803" s="26">
        <v>145605</v>
      </c>
      <c r="O803" s="27">
        <v>229265</v>
      </c>
      <c r="P803" s="26">
        <v>81431</v>
      </c>
      <c r="Q803" s="26">
        <v>120473</v>
      </c>
      <c r="R803" s="27">
        <v>201904</v>
      </c>
      <c r="S803" s="26">
        <v>75962</v>
      </c>
      <c r="T803" s="26">
        <v>134682</v>
      </c>
      <c r="U803" s="27">
        <v>210644</v>
      </c>
      <c r="V803" s="26">
        <v>74928</v>
      </c>
      <c r="W803" s="26">
        <v>126490</v>
      </c>
      <c r="X803" s="31">
        <v>201418</v>
      </c>
      <c r="Y803" s="16">
        <v>74598</v>
      </c>
      <c r="Z803" s="16">
        <v>143459</v>
      </c>
      <c r="AA803" s="31">
        <v>218057</v>
      </c>
      <c r="AB803" s="32">
        <v>73528</v>
      </c>
      <c r="AC803" s="16">
        <v>143391</v>
      </c>
      <c r="AD803" s="31">
        <v>216919</v>
      </c>
      <c r="AE803" s="16">
        <v>74129</v>
      </c>
      <c r="AF803" s="16">
        <v>119303</v>
      </c>
      <c r="AG803" s="31">
        <v>193432</v>
      </c>
      <c r="AH803" s="16">
        <v>74387</v>
      </c>
      <c r="AI803" s="16">
        <v>121789</v>
      </c>
      <c r="AJ803" s="31">
        <v>196176</v>
      </c>
      <c r="AK803" s="16">
        <v>74736</v>
      </c>
      <c r="AL803" s="16">
        <v>112561</v>
      </c>
      <c r="AM803" s="31">
        <v>187297</v>
      </c>
      <c r="AN803" s="16">
        <v>82932</v>
      </c>
      <c r="AO803" s="16">
        <v>110044</v>
      </c>
      <c r="AP803" s="31">
        <v>192976</v>
      </c>
      <c r="AQ803" s="42"/>
      <c r="AR803" s="43"/>
      <c r="AS803" s="42"/>
      <c r="AT803" s="42"/>
    </row>
    <row r="804" spans="1:46" ht="12.9" customHeight="1" x14ac:dyDescent="0.25">
      <c r="A804" s="28" t="s">
        <v>1639</v>
      </c>
      <c r="B804" s="29" t="s">
        <v>1640</v>
      </c>
      <c r="C804" s="30" t="s">
        <v>191</v>
      </c>
      <c r="D804" s="40">
        <v>129590</v>
      </c>
      <c r="E804" s="26">
        <v>119954</v>
      </c>
      <c r="F804" s="26">
        <f t="shared" si="24"/>
        <v>249544</v>
      </c>
      <c r="G804" s="40">
        <v>119854</v>
      </c>
      <c r="H804" s="26">
        <v>64385</v>
      </c>
      <c r="I804" s="27">
        <f t="shared" si="25"/>
        <v>184239</v>
      </c>
      <c r="J804" s="40">
        <v>140832</v>
      </c>
      <c r="K804" s="26">
        <v>85853</v>
      </c>
      <c r="L804" s="27">
        <v>226685</v>
      </c>
      <c r="M804" s="26">
        <v>148481</v>
      </c>
      <c r="N804" s="26">
        <v>66949</v>
      </c>
      <c r="O804" s="27">
        <v>215430</v>
      </c>
      <c r="P804" s="26">
        <v>138481</v>
      </c>
      <c r="Q804" s="26">
        <v>63068</v>
      </c>
      <c r="R804" s="27">
        <v>201549</v>
      </c>
      <c r="S804" s="26">
        <v>131003</v>
      </c>
      <c r="T804" s="26">
        <v>62926</v>
      </c>
      <c r="U804" s="27">
        <v>193929</v>
      </c>
      <c r="V804" s="26">
        <v>124782</v>
      </c>
      <c r="W804" s="26">
        <v>57302</v>
      </c>
      <c r="X804" s="31">
        <v>182084</v>
      </c>
      <c r="Y804" s="16">
        <v>123369</v>
      </c>
      <c r="Z804" s="16">
        <v>66438</v>
      </c>
      <c r="AA804" s="31">
        <v>189807</v>
      </c>
      <c r="AB804" s="32">
        <v>120805</v>
      </c>
      <c r="AC804" s="16">
        <v>57902</v>
      </c>
      <c r="AD804" s="31">
        <v>178707</v>
      </c>
      <c r="AE804" s="16">
        <v>119038</v>
      </c>
      <c r="AF804" s="16">
        <v>54171</v>
      </c>
      <c r="AG804" s="31">
        <v>173209</v>
      </c>
      <c r="AH804" s="16">
        <v>116955</v>
      </c>
      <c r="AI804" s="16">
        <v>48221</v>
      </c>
      <c r="AJ804" s="31">
        <v>165176</v>
      </c>
      <c r="AK804" s="16">
        <v>119404</v>
      </c>
      <c r="AL804" s="16">
        <v>51980</v>
      </c>
      <c r="AM804" s="31">
        <v>171384</v>
      </c>
      <c r="AN804" s="16">
        <v>127215</v>
      </c>
      <c r="AO804" s="16">
        <v>57742</v>
      </c>
      <c r="AP804" s="31">
        <v>184957</v>
      </c>
      <c r="AQ804" s="42"/>
      <c r="AR804" s="43"/>
      <c r="AS804" s="42"/>
      <c r="AT804" s="42"/>
    </row>
    <row r="805" spans="1:46" ht="12.9" customHeight="1" x14ac:dyDescent="0.25">
      <c r="A805" s="28" t="s">
        <v>1641</v>
      </c>
      <c r="B805" s="29" t="s">
        <v>1642</v>
      </c>
      <c r="C805" s="30" t="s">
        <v>34</v>
      </c>
      <c r="D805" s="40">
        <v>30151</v>
      </c>
      <c r="E805" s="26">
        <v>28522</v>
      </c>
      <c r="F805" s="26">
        <f t="shared" si="24"/>
        <v>58673</v>
      </c>
      <c r="G805" s="40">
        <v>30329</v>
      </c>
      <c r="H805" s="26">
        <v>28024</v>
      </c>
      <c r="I805" s="27">
        <f t="shared" si="25"/>
        <v>58353</v>
      </c>
      <c r="J805" s="40">
        <v>33711</v>
      </c>
      <c r="K805" s="26">
        <v>31275</v>
      </c>
      <c r="L805" s="27">
        <v>64986</v>
      </c>
      <c r="M805" s="26">
        <v>32750</v>
      </c>
      <c r="N805" s="26">
        <v>29477</v>
      </c>
      <c r="O805" s="27">
        <v>62227</v>
      </c>
      <c r="P805" s="26">
        <v>29812</v>
      </c>
      <c r="Q805" s="26">
        <v>23443</v>
      </c>
      <c r="R805" s="27">
        <v>53255</v>
      </c>
      <c r="S805" s="26">
        <v>30802</v>
      </c>
      <c r="T805" s="26">
        <v>46533</v>
      </c>
      <c r="U805" s="27">
        <v>77335</v>
      </c>
      <c r="V805" s="26">
        <v>32269</v>
      </c>
      <c r="W805" s="26">
        <v>36176</v>
      </c>
      <c r="X805" s="31">
        <v>68445</v>
      </c>
      <c r="Y805" s="16">
        <v>34242</v>
      </c>
      <c r="Z805" s="16">
        <v>31822</v>
      </c>
      <c r="AA805" s="31">
        <v>66064</v>
      </c>
      <c r="AB805" s="32">
        <v>34705</v>
      </c>
      <c r="AC805" s="16">
        <v>35182</v>
      </c>
      <c r="AD805" s="31">
        <v>69887</v>
      </c>
      <c r="AE805" s="16">
        <v>42486</v>
      </c>
      <c r="AF805" s="16">
        <v>52618</v>
      </c>
      <c r="AG805" s="31">
        <v>95104</v>
      </c>
      <c r="AH805" s="16">
        <v>33360</v>
      </c>
      <c r="AI805" s="16">
        <v>52169</v>
      </c>
      <c r="AJ805" s="31">
        <v>85529</v>
      </c>
      <c r="AK805" s="16">
        <v>42913</v>
      </c>
      <c r="AL805" s="16">
        <v>44639</v>
      </c>
      <c r="AM805" s="31">
        <v>87552</v>
      </c>
      <c r="AN805" s="16">
        <v>42913</v>
      </c>
      <c r="AO805" s="16">
        <v>58679</v>
      </c>
      <c r="AP805" s="31">
        <v>101592</v>
      </c>
      <c r="AQ805" s="42"/>
      <c r="AR805" s="43"/>
      <c r="AS805" s="42"/>
      <c r="AT805" s="42"/>
    </row>
    <row r="806" spans="1:46" ht="12.9" customHeight="1" x14ac:dyDescent="0.25">
      <c r="A806" s="28" t="s">
        <v>1643</v>
      </c>
      <c r="B806" s="29" t="s">
        <v>1644</v>
      </c>
      <c r="C806" s="30" t="s">
        <v>34</v>
      </c>
      <c r="D806" s="40">
        <v>15057</v>
      </c>
      <c r="E806" s="26">
        <v>11317</v>
      </c>
      <c r="F806" s="26">
        <f t="shared" si="24"/>
        <v>26374</v>
      </c>
      <c r="G806" s="40">
        <v>15265</v>
      </c>
      <c r="H806" s="26">
        <v>9574</v>
      </c>
      <c r="I806" s="27">
        <f t="shared" si="25"/>
        <v>24839</v>
      </c>
      <c r="J806" s="40">
        <v>19299</v>
      </c>
      <c r="K806" s="26">
        <v>9231</v>
      </c>
      <c r="L806" s="27">
        <v>28530</v>
      </c>
      <c r="M806" s="26">
        <v>19552</v>
      </c>
      <c r="N806" s="26">
        <v>11368</v>
      </c>
      <c r="O806" s="27">
        <v>30920</v>
      </c>
      <c r="P806" s="26">
        <v>17612</v>
      </c>
      <c r="Q806" s="26">
        <v>5079</v>
      </c>
      <c r="R806" s="27">
        <v>22691</v>
      </c>
      <c r="S806" s="26">
        <v>16284</v>
      </c>
      <c r="T806" s="26">
        <v>6048</v>
      </c>
      <c r="U806" s="27">
        <v>22332</v>
      </c>
      <c r="V806" s="26">
        <v>15831</v>
      </c>
      <c r="W806" s="26">
        <v>5678</v>
      </c>
      <c r="X806" s="31">
        <v>21509</v>
      </c>
      <c r="Y806" s="16">
        <v>14992</v>
      </c>
      <c r="Z806" s="16">
        <v>5582</v>
      </c>
      <c r="AA806" s="31">
        <v>20574</v>
      </c>
      <c r="AB806" s="32">
        <v>14444</v>
      </c>
      <c r="AC806" s="16">
        <v>3781</v>
      </c>
      <c r="AD806" s="31">
        <v>18225</v>
      </c>
      <c r="AE806" s="16">
        <v>15627</v>
      </c>
      <c r="AF806" s="16">
        <v>5321</v>
      </c>
      <c r="AG806" s="31">
        <v>20948</v>
      </c>
      <c r="AH806" s="16">
        <v>14964</v>
      </c>
      <c r="AI806" s="16">
        <v>4660</v>
      </c>
      <c r="AJ806" s="31">
        <v>19624</v>
      </c>
      <c r="AK806" s="16">
        <v>13591</v>
      </c>
      <c r="AL806" s="16">
        <v>7777</v>
      </c>
      <c r="AM806" s="31">
        <v>21368</v>
      </c>
      <c r="AN806" s="16">
        <v>14523</v>
      </c>
      <c r="AO806" s="16">
        <v>27</v>
      </c>
      <c r="AP806" s="31">
        <v>14550</v>
      </c>
      <c r="AQ806" s="42"/>
      <c r="AR806" s="43"/>
      <c r="AS806" s="42"/>
      <c r="AT806" s="42"/>
    </row>
    <row r="807" spans="1:46" ht="12.9" customHeight="1" x14ac:dyDescent="0.25">
      <c r="A807" s="28" t="s">
        <v>1645</v>
      </c>
      <c r="B807" s="29" t="s">
        <v>1646</v>
      </c>
      <c r="C807" s="30" t="s">
        <v>20</v>
      </c>
      <c r="D807" s="40">
        <v>219897</v>
      </c>
      <c r="E807" s="26">
        <v>774976</v>
      </c>
      <c r="F807" s="26">
        <f t="shared" si="24"/>
        <v>994873</v>
      </c>
      <c r="G807" s="40">
        <v>216847</v>
      </c>
      <c r="H807" s="26">
        <v>1266925</v>
      </c>
      <c r="I807" s="27">
        <f t="shared" si="25"/>
        <v>1483772</v>
      </c>
      <c r="J807" s="40">
        <v>226808</v>
      </c>
      <c r="K807" s="26">
        <v>1452839</v>
      </c>
      <c r="L807" s="27">
        <v>1679647</v>
      </c>
      <c r="M807" s="26">
        <v>238013</v>
      </c>
      <c r="N807" s="26">
        <v>1352088</v>
      </c>
      <c r="O807" s="27">
        <v>1590101</v>
      </c>
      <c r="P807" s="26">
        <v>236436</v>
      </c>
      <c r="Q807" s="26">
        <v>1251552</v>
      </c>
      <c r="R807" s="27">
        <v>1487988</v>
      </c>
      <c r="S807" s="26">
        <v>225384</v>
      </c>
      <c r="T807" s="26">
        <v>1304085</v>
      </c>
      <c r="U807" s="27">
        <v>1529469</v>
      </c>
      <c r="V807" s="26">
        <v>217975</v>
      </c>
      <c r="W807" s="26">
        <v>1416564</v>
      </c>
      <c r="X807" s="31">
        <v>1634539</v>
      </c>
      <c r="Y807" s="16">
        <v>223336</v>
      </c>
      <c r="Z807" s="16">
        <v>1706960</v>
      </c>
      <c r="AA807" s="31">
        <v>1930296</v>
      </c>
      <c r="AB807" s="32">
        <v>255987</v>
      </c>
      <c r="AC807" s="16">
        <v>1763907</v>
      </c>
      <c r="AD807" s="31">
        <v>2019894</v>
      </c>
      <c r="AE807" s="16">
        <v>226495</v>
      </c>
      <c r="AF807" s="16">
        <v>1706358</v>
      </c>
      <c r="AG807" s="31">
        <v>1932853</v>
      </c>
      <c r="AH807" s="16">
        <v>216943</v>
      </c>
      <c r="AI807" s="16">
        <v>1993266</v>
      </c>
      <c r="AJ807" s="31">
        <v>2210209</v>
      </c>
      <c r="AK807" s="16">
        <v>221689</v>
      </c>
      <c r="AL807" s="16">
        <v>1732915</v>
      </c>
      <c r="AM807" s="31">
        <v>1954604</v>
      </c>
      <c r="AN807" s="16">
        <v>228336</v>
      </c>
      <c r="AO807" s="16">
        <v>1267064</v>
      </c>
      <c r="AP807" s="31">
        <v>1495400</v>
      </c>
      <c r="AQ807" s="42"/>
      <c r="AR807" s="43"/>
      <c r="AS807" s="42"/>
      <c r="AT807" s="42"/>
    </row>
    <row r="808" spans="1:46" ht="12.9" customHeight="1" x14ac:dyDescent="0.25">
      <c r="A808" s="28" t="s">
        <v>1647</v>
      </c>
      <c r="B808" s="29" t="s">
        <v>1648</v>
      </c>
      <c r="C808" s="30" t="s">
        <v>123</v>
      </c>
      <c r="D808" s="40">
        <v>3977</v>
      </c>
      <c r="E808" s="26">
        <v>2161</v>
      </c>
      <c r="F808" s="26">
        <f t="shared" si="24"/>
        <v>6138</v>
      </c>
      <c r="G808" s="40">
        <v>4380</v>
      </c>
      <c r="H808" s="26">
        <v>1940</v>
      </c>
      <c r="I808" s="27">
        <f t="shared" si="25"/>
        <v>6320</v>
      </c>
      <c r="J808" s="40">
        <v>5997</v>
      </c>
      <c r="K808" s="26">
        <v>1572</v>
      </c>
      <c r="L808" s="27">
        <v>7569</v>
      </c>
      <c r="M808" s="26">
        <v>5008</v>
      </c>
      <c r="N808" s="26">
        <v>1161</v>
      </c>
      <c r="O808" s="27">
        <v>6169</v>
      </c>
      <c r="P808" s="26">
        <v>5548</v>
      </c>
      <c r="Q808" s="26">
        <v>1819</v>
      </c>
      <c r="R808" s="27">
        <v>7367</v>
      </c>
      <c r="S808" s="26">
        <v>3699</v>
      </c>
      <c r="T808" s="26">
        <v>1010</v>
      </c>
      <c r="U808" s="27">
        <v>4709</v>
      </c>
      <c r="V808" s="26">
        <v>4343</v>
      </c>
      <c r="W808" s="26">
        <v>1010</v>
      </c>
      <c r="X808" s="31">
        <v>5353</v>
      </c>
      <c r="Y808" s="16">
        <v>4534</v>
      </c>
      <c r="Z808" s="16">
        <v>1216</v>
      </c>
      <c r="AA808" s="31">
        <v>5750</v>
      </c>
      <c r="AB808" s="32">
        <v>2918</v>
      </c>
      <c r="AC808" s="16">
        <v>0</v>
      </c>
      <c r="AD808" s="31">
        <v>2918</v>
      </c>
      <c r="AE808" s="16">
        <v>2918</v>
      </c>
      <c r="AF808" s="16">
        <v>0</v>
      </c>
      <c r="AG808" s="31">
        <v>2918</v>
      </c>
      <c r="AH808" s="16">
        <v>4821</v>
      </c>
      <c r="AI808" s="16">
        <v>0</v>
      </c>
      <c r="AJ808" s="31">
        <v>4821</v>
      </c>
      <c r="AK808" s="16">
        <v>4821</v>
      </c>
      <c r="AL808" s="16">
        <v>0</v>
      </c>
      <c r="AM808" s="31">
        <v>4821</v>
      </c>
      <c r="AN808" s="16">
        <v>4821</v>
      </c>
      <c r="AO808" s="16">
        <v>0</v>
      </c>
      <c r="AP808" s="31">
        <v>4821</v>
      </c>
      <c r="AQ808" s="42"/>
      <c r="AR808" s="43"/>
      <c r="AS808" s="42"/>
      <c r="AT808" s="42"/>
    </row>
    <row r="809" spans="1:46" ht="12.9" customHeight="1" x14ac:dyDescent="0.25">
      <c r="A809" s="28" t="s">
        <v>1649</v>
      </c>
      <c r="B809" s="29" t="s">
        <v>1650</v>
      </c>
      <c r="C809" s="30" t="s">
        <v>26</v>
      </c>
      <c r="D809" s="40">
        <v>10063</v>
      </c>
      <c r="E809" s="26">
        <v>3628</v>
      </c>
      <c r="F809" s="26">
        <f t="shared" si="24"/>
        <v>13691</v>
      </c>
      <c r="G809" s="40">
        <v>8617</v>
      </c>
      <c r="H809" s="26">
        <v>2304</v>
      </c>
      <c r="I809" s="27">
        <f t="shared" si="25"/>
        <v>10921</v>
      </c>
      <c r="J809" s="40">
        <v>11806</v>
      </c>
      <c r="K809" s="26">
        <v>5253</v>
      </c>
      <c r="L809" s="27">
        <v>17059</v>
      </c>
      <c r="M809" s="26">
        <v>11630</v>
      </c>
      <c r="N809" s="26">
        <v>4506</v>
      </c>
      <c r="O809" s="27">
        <v>16136</v>
      </c>
      <c r="P809" s="26">
        <v>11082</v>
      </c>
      <c r="Q809" s="26">
        <v>3900</v>
      </c>
      <c r="R809" s="27">
        <v>14982</v>
      </c>
      <c r="S809" s="26">
        <v>13008</v>
      </c>
      <c r="T809" s="26">
        <v>5646</v>
      </c>
      <c r="U809" s="27">
        <v>18654</v>
      </c>
      <c r="V809" s="26">
        <v>10090</v>
      </c>
      <c r="W809" s="26">
        <v>5070</v>
      </c>
      <c r="X809" s="31">
        <v>15160</v>
      </c>
      <c r="Y809" s="16">
        <v>12725</v>
      </c>
      <c r="Z809" s="16">
        <v>4828</v>
      </c>
      <c r="AA809" s="31">
        <v>17553</v>
      </c>
      <c r="AB809" s="32">
        <v>11589</v>
      </c>
      <c r="AC809" s="16">
        <v>4862</v>
      </c>
      <c r="AD809" s="31">
        <v>16451</v>
      </c>
      <c r="AE809" s="16">
        <v>11326</v>
      </c>
      <c r="AF809" s="16">
        <v>5268</v>
      </c>
      <c r="AG809" s="31">
        <v>16594</v>
      </c>
      <c r="AH809" s="16">
        <v>11993</v>
      </c>
      <c r="AI809" s="16">
        <v>5833</v>
      </c>
      <c r="AJ809" s="31">
        <v>17826</v>
      </c>
      <c r="AK809" s="16">
        <v>11777</v>
      </c>
      <c r="AL809" s="16">
        <v>4791</v>
      </c>
      <c r="AM809" s="31">
        <v>16568</v>
      </c>
      <c r="AN809" s="16">
        <v>13409</v>
      </c>
      <c r="AO809" s="16">
        <v>6193</v>
      </c>
      <c r="AP809" s="31">
        <v>19602</v>
      </c>
      <c r="AQ809" s="42"/>
      <c r="AR809" s="43"/>
      <c r="AS809" s="42"/>
      <c r="AT809" s="42"/>
    </row>
    <row r="810" spans="1:46" ht="12.9" customHeight="1" x14ac:dyDescent="0.25">
      <c r="A810" s="28" t="s">
        <v>1651</v>
      </c>
      <c r="B810" s="29" t="s">
        <v>1652</v>
      </c>
      <c r="C810" s="30" t="s">
        <v>20</v>
      </c>
      <c r="D810" s="40">
        <v>10769</v>
      </c>
      <c r="E810" s="26">
        <v>2757</v>
      </c>
      <c r="F810" s="26">
        <f t="shared" si="24"/>
        <v>13526</v>
      </c>
      <c r="G810" s="40">
        <v>12172</v>
      </c>
      <c r="H810" s="26">
        <v>2467</v>
      </c>
      <c r="I810" s="27">
        <f t="shared" si="25"/>
        <v>14639</v>
      </c>
      <c r="J810" s="40">
        <v>14348</v>
      </c>
      <c r="K810" s="26">
        <v>4306</v>
      </c>
      <c r="L810" s="27">
        <v>18654</v>
      </c>
      <c r="M810" s="26">
        <v>13936</v>
      </c>
      <c r="N810" s="26">
        <v>4959</v>
      </c>
      <c r="O810" s="27">
        <v>18895</v>
      </c>
      <c r="P810" s="26">
        <v>14255</v>
      </c>
      <c r="Q810" s="26">
        <v>3630</v>
      </c>
      <c r="R810" s="27">
        <v>17885</v>
      </c>
      <c r="S810" s="26">
        <v>12932</v>
      </c>
      <c r="T810" s="26">
        <v>4139</v>
      </c>
      <c r="U810" s="27">
        <v>17071</v>
      </c>
      <c r="V810" s="26">
        <v>12491</v>
      </c>
      <c r="W810" s="26">
        <v>3972</v>
      </c>
      <c r="X810" s="31">
        <v>16463</v>
      </c>
      <c r="Y810" s="16">
        <v>13846</v>
      </c>
      <c r="Z810" s="16">
        <v>5087</v>
      </c>
      <c r="AA810" s="31">
        <v>18933</v>
      </c>
      <c r="AB810" s="32">
        <v>13443</v>
      </c>
      <c r="AC810" s="16">
        <v>4559</v>
      </c>
      <c r="AD810" s="31">
        <v>18002</v>
      </c>
      <c r="AE810" s="16">
        <v>12434</v>
      </c>
      <c r="AF810" s="16">
        <v>3460</v>
      </c>
      <c r="AG810" s="31">
        <v>15894</v>
      </c>
      <c r="AH810" s="16">
        <v>11177</v>
      </c>
      <c r="AI810" s="16">
        <v>3986</v>
      </c>
      <c r="AJ810" s="31">
        <v>15163</v>
      </c>
      <c r="AK810" s="16">
        <v>11239</v>
      </c>
      <c r="AL810" s="16">
        <v>3780</v>
      </c>
      <c r="AM810" s="31">
        <v>15019</v>
      </c>
      <c r="AN810" s="16">
        <v>13819</v>
      </c>
      <c r="AO810" s="16">
        <v>4452</v>
      </c>
      <c r="AP810" s="31">
        <v>18271</v>
      </c>
      <c r="AQ810" s="42"/>
      <c r="AR810" s="43"/>
      <c r="AS810" s="42"/>
      <c r="AT810" s="42"/>
    </row>
    <row r="811" spans="1:46" ht="12.9" customHeight="1" x14ac:dyDescent="0.25">
      <c r="A811" s="28" t="s">
        <v>1653</v>
      </c>
      <c r="B811" s="29" t="s">
        <v>1654</v>
      </c>
      <c r="C811" s="30" t="s">
        <v>8</v>
      </c>
      <c r="D811" s="40">
        <v>33703</v>
      </c>
      <c r="E811" s="26">
        <v>87535</v>
      </c>
      <c r="F811" s="26">
        <f t="shared" si="24"/>
        <v>121238</v>
      </c>
      <c r="G811" s="40">
        <v>33437</v>
      </c>
      <c r="H811" s="26">
        <v>60697</v>
      </c>
      <c r="I811" s="27">
        <f t="shared" si="25"/>
        <v>94134</v>
      </c>
      <c r="J811" s="40">
        <v>31647</v>
      </c>
      <c r="K811" s="26">
        <v>65515</v>
      </c>
      <c r="L811" s="27">
        <v>97162</v>
      </c>
      <c r="M811" s="26">
        <v>30445</v>
      </c>
      <c r="N811" s="26">
        <v>77906</v>
      </c>
      <c r="O811" s="27">
        <v>108351</v>
      </c>
      <c r="P811" s="26">
        <v>30942</v>
      </c>
      <c r="Q811" s="26">
        <v>75530</v>
      </c>
      <c r="R811" s="27">
        <v>106472</v>
      </c>
      <c r="S811" s="26">
        <v>31063</v>
      </c>
      <c r="T811" s="26">
        <v>59069</v>
      </c>
      <c r="U811" s="27">
        <v>90132</v>
      </c>
      <c r="V811" s="26">
        <v>30793</v>
      </c>
      <c r="W811" s="26">
        <v>64902</v>
      </c>
      <c r="X811" s="31">
        <v>95695</v>
      </c>
      <c r="Y811" s="16">
        <v>1892</v>
      </c>
      <c r="Z811" s="16">
        <v>70984</v>
      </c>
      <c r="AA811" s="31">
        <v>72876</v>
      </c>
      <c r="AB811" s="32">
        <v>583</v>
      </c>
      <c r="AC811" s="16">
        <v>47520</v>
      </c>
      <c r="AD811" s="31">
        <v>48103</v>
      </c>
      <c r="AE811" s="16">
        <v>329</v>
      </c>
      <c r="AF811" s="16">
        <v>49932</v>
      </c>
      <c r="AG811" s="31">
        <v>50261</v>
      </c>
      <c r="AH811" s="16">
        <v>329</v>
      </c>
      <c r="AI811" s="16">
        <v>47886</v>
      </c>
      <c r="AJ811" s="31">
        <v>48215</v>
      </c>
      <c r="AK811" s="16">
        <v>20374.982332155476</v>
      </c>
      <c r="AL811" s="16">
        <v>63531</v>
      </c>
      <c r="AM811" s="31">
        <v>83905.982332155472</v>
      </c>
      <c r="AN811" s="16">
        <v>20374.982332155476</v>
      </c>
      <c r="AO811" s="16">
        <v>140174</v>
      </c>
      <c r="AP811" s="31">
        <v>160548.98233215549</v>
      </c>
      <c r="AQ811" s="42"/>
      <c r="AR811" s="43"/>
      <c r="AS811" s="42"/>
      <c r="AT811" s="42"/>
    </row>
    <row r="812" spans="1:46" ht="12.9" customHeight="1" x14ac:dyDescent="0.25">
      <c r="A812" s="28" t="s">
        <v>1655</v>
      </c>
      <c r="B812" s="29" t="s">
        <v>1656</v>
      </c>
      <c r="C812" s="30" t="s">
        <v>281</v>
      </c>
      <c r="D812" s="40">
        <v>8707</v>
      </c>
      <c r="E812" s="26">
        <v>251</v>
      </c>
      <c r="F812" s="26">
        <f t="shared" si="24"/>
        <v>8958</v>
      </c>
      <c r="G812" s="40">
        <v>9223</v>
      </c>
      <c r="H812" s="26">
        <v>32345</v>
      </c>
      <c r="I812" s="27">
        <f t="shared" si="25"/>
        <v>41568</v>
      </c>
      <c r="J812" s="40">
        <v>11214</v>
      </c>
      <c r="K812" s="26">
        <v>32305</v>
      </c>
      <c r="L812" s="27">
        <v>43519</v>
      </c>
      <c r="M812" s="26">
        <v>12587</v>
      </c>
      <c r="N812" s="26">
        <v>26147</v>
      </c>
      <c r="O812" s="27">
        <v>38734</v>
      </c>
      <c r="P812" s="26">
        <v>7072</v>
      </c>
      <c r="Q812" s="26">
        <v>23730</v>
      </c>
      <c r="R812" s="27">
        <v>30802</v>
      </c>
      <c r="S812" s="26">
        <v>12940.5</v>
      </c>
      <c r="T812" s="26">
        <v>22027</v>
      </c>
      <c r="U812" s="27">
        <v>34967.5</v>
      </c>
      <c r="V812" s="26">
        <v>16452</v>
      </c>
      <c r="W812" s="26">
        <v>82</v>
      </c>
      <c r="X812" s="31">
        <v>16534</v>
      </c>
      <c r="Y812" s="16">
        <v>13932</v>
      </c>
      <c r="Z812" s="16">
        <v>89</v>
      </c>
      <c r="AA812" s="31">
        <v>14021</v>
      </c>
      <c r="AB812" s="32">
        <v>13932</v>
      </c>
      <c r="AC812" s="16">
        <v>50</v>
      </c>
      <c r="AD812" s="31">
        <v>13982</v>
      </c>
      <c r="AE812" s="16">
        <v>13932</v>
      </c>
      <c r="AF812" s="16">
        <v>145</v>
      </c>
      <c r="AG812" s="31">
        <v>14077</v>
      </c>
      <c r="AH812" s="16">
        <v>13932</v>
      </c>
      <c r="AI812" s="16">
        <v>135</v>
      </c>
      <c r="AJ812" s="31">
        <v>14067</v>
      </c>
      <c r="AK812" s="16">
        <v>13932</v>
      </c>
      <c r="AL812" s="16">
        <v>103</v>
      </c>
      <c r="AM812" s="31">
        <v>14035</v>
      </c>
      <c r="AN812" s="16">
        <v>13932</v>
      </c>
      <c r="AO812" s="16">
        <v>130</v>
      </c>
      <c r="AP812" s="31">
        <v>14062</v>
      </c>
      <c r="AQ812" s="42"/>
      <c r="AR812" s="43"/>
      <c r="AS812" s="42"/>
      <c r="AT812" s="42"/>
    </row>
    <row r="813" spans="1:46" ht="12.9" customHeight="1" x14ac:dyDescent="0.25">
      <c r="A813" s="28" t="s">
        <v>1657</v>
      </c>
      <c r="B813" s="29" t="s">
        <v>1658</v>
      </c>
      <c r="C813" s="30" t="s">
        <v>59</v>
      </c>
      <c r="D813" s="40">
        <v>32020</v>
      </c>
      <c r="E813" s="26">
        <v>30771</v>
      </c>
      <c r="F813" s="26">
        <f t="shared" si="24"/>
        <v>62791</v>
      </c>
      <c r="G813" s="40">
        <v>36533</v>
      </c>
      <c r="H813" s="26">
        <v>27953</v>
      </c>
      <c r="I813" s="27">
        <f t="shared" si="25"/>
        <v>64486</v>
      </c>
      <c r="J813" s="40">
        <v>37504</v>
      </c>
      <c r="K813" s="26">
        <v>25128</v>
      </c>
      <c r="L813" s="27">
        <v>62632</v>
      </c>
      <c r="M813" s="26">
        <v>29821</v>
      </c>
      <c r="N813" s="26">
        <v>23706</v>
      </c>
      <c r="O813" s="27">
        <v>53527</v>
      </c>
      <c r="P813" s="26">
        <v>36685</v>
      </c>
      <c r="Q813" s="26">
        <v>19308</v>
      </c>
      <c r="R813" s="27">
        <v>55993</v>
      </c>
      <c r="S813" s="26">
        <v>35642</v>
      </c>
      <c r="T813" s="26">
        <v>27277</v>
      </c>
      <c r="U813" s="27">
        <v>62919</v>
      </c>
      <c r="V813" s="26">
        <v>33541</v>
      </c>
      <c r="W813" s="26">
        <v>29989</v>
      </c>
      <c r="X813" s="31">
        <v>63530</v>
      </c>
      <c r="Y813" s="16">
        <v>27607</v>
      </c>
      <c r="Z813" s="16">
        <v>29619</v>
      </c>
      <c r="AA813" s="31">
        <v>57226</v>
      </c>
      <c r="AB813" s="32">
        <v>36866</v>
      </c>
      <c r="AC813" s="16">
        <v>36041</v>
      </c>
      <c r="AD813" s="31">
        <v>72907</v>
      </c>
      <c r="AE813" s="16">
        <v>23153</v>
      </c>
      <c r="AF813" s="16">
        <v>20767</v>
      </c>
      <c r="AG813" s="31">
        <v>43920</v>
      </c>
      <c r="AH813" s="16">
        <v>30448</v>
      </c>
      <c r="AI813" s="16">
        <v>20385</v>
      </c>
      <c r="AJ813" s="31">
        <v>50833</v>
      </c>
      <c r="AK813" s="16">
        <v>29928</v>
      </c>
      <c r="AL813" s="16">
        <v>35514</v>
      </c>
      <c r="AM813" s="31">
        <v>65442</v>
      </c>
      <c r="AN813" s="16">
        <v>40487</v>
      </c>
      <c r="AO813" s="16">
        <v>23707</v>
      </c>
      <c r="AP813" s="31">
        <v>64194</v>
      </c>
      <c r="AQ813" s="42"/>
      <c r="AR813" s="43"/>
      <c r="AS813" s="42"/>
      <c r="AT813" s="42"/>
    </row>
    <row r="814" spans="1:46" ht="12.9" customHeight="1" x14ac:dyDescent="0.25">
      <c r="A814" s="28" t="s">
        <v>1659</v>
      </c>
      <c r="B814" s="29" t="s">
        <v>1660</v>
      </c>
      <c r="C814" s="30" t="s">
        <v>113</v>
      </c>
      <c r="D814" s="40">
        <v>245745</v>
      </c>
      <c r="E814" s="26">
        <v>141046</v>
      </c>
      <c r="F814" s="26">
        <f t="shared" si="24"/>
        <v>386791</v>
      </c>
      <c r="G814" s="40">
        <v>245345</v>
      </c>
      <c r="H814" s="26">
        <v>163338</v>
      </c>
      <c r="I814" s="27">
        <f t="shared" si="25"/>
        <v>408683</v>
      </c>
      <c r="J814" s="40">
        <v>276330</v>
      </c>
      <c r="K814" s="26">
        <v>172241</v>
      </c>
      <c r="L814" s="27">
        <v>448571</v>
      </c>
      <c r="M814" s="26">
        <v>286235</v>
      </c>
      <c r="N814" s="26">
        <v>154193</v>
      </c>
      <c r="O814" s="27">
        <v>440428</v>
      </c>
      <c r="P814" s="26">
        <v>277931</v>
      </c>
      <c r="Q814" s="26">
        <v>128035</v>
      </c>
      <c r="R814" s="27">
        <v>405966</v>
      </c>
      <c r="S814" s="26">
        <v>260781</v>
      </c>
      <c r="T814" s="26">
        <v>164971</v>
      </c>
      <c r="U814" s="27">
        <v>425752</v>
      </c>
      <c r="V814" s="26">
        <v>246071</v>
      </c>
      <c r="W814" s="26">
        <v>133191</v>
      </c>
      <c r="X814" s="31">
        <v>379262</v>
      </c>
      <c r="Y814" s="16">
        <v>261024</v>
      </c>
      <c r="Z814" s="16">
        <v>148094</v>
      </c>
      <c r="AA814" s="31">
        <v>409118</v>
      </c>
      <c r="AB814" s="32">
        <v>249997</v>
      </c>
      <c r="AC814" s="16">
        <v>153891</v>
      </c>
      <c r="AD814" s="31">
        <v>403888</v>
      </c>
      <c r="AE814" s="16">
        <v>244644</v>
      </c>
      <c r="AF814" s="16">
        <v>152359</v>
      </c>
      <c r="AG814" s="31">
        <v>397003</v>
      </c>
      <c r="AH814" s="16">
        <v>223457</v>
      </c>
      <c r="AI814" s="16">
        <v>121387</v>
      </c>
      <c r="AJ814" s="31">
        <v>344844</v>
      </c>
      <c r="AK814" s="16">
        <v>226574</v>
      </c>
      <c r="AL814" s="16">
        <v>103536</v>
      </c>
      <c r="AM814" s="31">
        <v>330110</v>
      </c>
      <c r="AN814" s="16">
        <v>259588</v>
      </c>
      <c r="AO814" s="16">
        <v>152366</v>
      </c>
      <c r="AP814" s="31">
        <v>411954</v>
      </c>
      <c r="AQ814" s="42"/>
      <c r="AR814" s="43"/>
      <c r="AS814" s="42"/>
      <c r="AT814" s="42"/>
    </row>
    <row r="815" spans="1:46" ht="12.9" customHeight="1" x14ac:dyDescent="0.25">
      <c r="A815" s="28" t="s">
        <v>1661</v>
      </c>
      <c r="B815" s="29" t="s">
        <v>1662</v>
      </c>
      <c r="C815" s="30" t="s">
        <v>120</v>
      </c>
      <c r="D815" s="40">
        <v>5576227</v>
      </c>
      <c r="E815" s="26">
        <v>2966994</v>
      </c>
      <c r="F815" s="26">
        <f t="shared" si="24"/>
        <v>8543221</v>
      </c>
      <c r="G815" s="40">
        <v>5680430</v>
      </c>
      <c r="H815" s="26">
        <v>3090740</v>
      </c>
      <c r="I815" s="27">
        <f t="shared" si="25"/>
        <v>8771170</v>
      </c>
      <c r="J815" s="40">
        <v>5655063</v>
      </c>
      <c r="K815" s="26">
        <v>2969609</v>
      </c>
      <c r="L815" s="27">
        <v>8624672</v>
      </c>
      <c r="M815" s="26">
        <v>5815156</v>
      </c>
      <c r="N815" s="26">
        <v>2824142</v>
      </c>
      <c r="O815" s="27">
        <v>8639298</v>
      </c>
      <c r="P815" s="26">
        <v>5936748</v>
      </c>
      <c r="Q815" s="26">
        <v>2688826</v>
      </c>
      <c r="R815" s="27">
        <v>8625574</v>
      </c>
      <c r="S815" s="26">
        <v>5667279</v>
      </c>
      <c r="T815" s="26">
        <v>3115786</v>
      </c>
      <c r="U815" s="27">
        <v>8783065</v>
      </c>
      <c r="V815" s="26">
        <v>5534440</v>
      </c>
      <c r="W815" s="26">
        <v>4605863</v>
      </c>
      <c r="X815" s="31">
        <v>10140303</v>
      </c>
      <c r="Y815" s="16">
        <v>5529958</v>
      </c>
      <c r="Z815" s="16">
        <v>3092447</v>
      </c>
      <c r="AA815" s="31">
        <v>8622405</v>
      </c>
      <c r="AB815" s="32">
        <v>5601664</v>
      </c>
      <c r="AC815" s="16">
        <v>2968910</v>
      </c>
      <c r="AD815" s="31">
        <v>8570574</v>
      </c>
      <c r="AE815" s="16">
        <v>5498709</v>
      </c>
      <c r="AF815" s="16">
        <v>2852317</v>
      </c>
      <c r="AG815" s="31">
        <v>8351026</v>
      </c>
      <c r="AH815" s="16">
        <v>5877540</v>
      </c>
      <c r="AI815" s="16">
        <v>3028926</v>
      </c>
      <c r="AJ815" s="31">
        <v>8906466</v>
      </c>
      <c r="AK815" s="16">
        <v>5712864</v>
      </c>
      <c r="AL815" s="16">
        <v>3711290</v>
      </c>
      <c r="AM815" s="31">
        <v>9424154</v>
      </c>
      <c r="AN815" s="16">
        <v>6001698</v>
      </c>
      <c r="AO815" s="16">
        <v>4149309</v>
      </c>
      <c r="AP815" s="31">
        <v>10151007</v>
      </c>
      <c r="AQ815" s="42"/>
      <c r="AR815" s="43"/>
      <c r="AS815" s="42"/>
      <c r="AT815" s="42"/>
    </row>
    <row r="816" spans="1:46" ht="12.9" customHeight="1" x14ac:dyDescent="0.25">
      <c r="A816" s="28" t="s">
        <v>1663</v>
      </c>
      <c r="B816" s="29" t="s">
        <v>1664</v>
      </c>
      <c r="C816" s="30" t="s">
        <v>17</v>
      </c>
      <c r="D816" s="40">
        <v>700990</v>
      </c>
      <c r="E816" s="26">
        <v>467557</v>
      </c>
      <c r="F816" s="26">
        <f t="shared" si="24"/>
        <v>1168547</v>
      </c>
      <c r="G816" s="40">
        <v>686333</v>
      </c>
      <c r="H816" s="26">
        <v>466778</v>
      </c>
      <c r="I816" s="27">
        <f t="shared" si="25"/>
        <v>1153111</v>
      </c>
      <c r="J816" s="40">
        <v>714918</v>
      </c>
      <c r="K816" s="26">
        <v>457560</v>
      </c>
      <c r="L816" s="27">
        <v>1172478</v>
      </c>
      <c r="M816" s="26">
        <v>723101</v>
      </c>
      <c r="N816" s="26">
        <v>490383</v>
      </c>
      <c r="O816" s="27">
        <v>1213484</v>
      </c>
      <c r="P816" s="26">
        <v>745601</v>
      </c>
      <c r="Q816" s="26">
        <v>422377</v>
      </c>
      <c r="R816" s="27">
        <v>1167978</v>
      </c>
      <c r="S816" s="26">
        <v>684314</v>
      </c>
      <c r="T816" s="26">
        <v>467972</v>
      </c>
      <c r="U816" s="27">
        <v>1152286</v>
      </c>
      <c r="V816" s="26">
        <v>676624</v>
      </c>
      <c r="W816" s="26">
        <v>437324</v>
      </c>
      <c r="X816" s="31">
        <v>1113948</v>
      </c>
      <c r="Y816" s="16">
        <v>665600</v>
      </c>
      <c r="Z816" s="16">
        <v>435802</v>
      </c>
      <c r="AA816" s="31">
        <v>1101402</v>
      </c>
      <c r="AB816" s="32">
        <v>682065</v>
      </c>
      <c r="AC816" s="16">
        <v>427233</v>
      </c>
      <c r="AD816" s="31">
        <v>1109298</v>
      </c>
      <c r="AE816" s="16">
        <v>712055</v>
      </c>
      <c r="AF816" s="16">
        <v>450989</v>
      </c>
      <c r="AG816" s="31">
        <v>1163044</v>
      </c>
      <c r="AH816" s="16">
        <v>644225.45454545401</v>
      </c>
      <c r="AI816" s="16">
        <v>410880</v>
      </c>
      <c r="AJ816" s="31">
        <v>1055105.4545454541</v>
      </c>
      <c r="AK816" s="16">
        <v>632369</v>
      </c>
      <c r="AL816" s="16">
        <v>380096</v>
      </c>
      <c r="AM816" s="31">
        <v>1012465</v>
      </c>
      <c r="AN816" s="16">
        <v>659953.5</v>
      </c>
      <c r="AO816" s="16">
        <v>416732</v>
      </c>
      <c r="AP816" s="31">
        <v>1076685.5</v>
      </c>
      <c r="AQ816" s="42"/>
      <c r="AR816" s="43"/>
      <c r="AS816" s="42"/>
      <c r="AT816" s="42"/>
    </row>
    <row r="817" spans="1:46" ht="12.9" customHeight="1" x14ac:dyDescent="0.25">
      <c r="A817" s="28" t="s">
        <v>1665</v>
      </c>
      <c r="B817" s="29" t="s">
        <v>1666</v>
      </c>
      <c r="C817" s="30" t="s">
        <v>42</v>
      </c>
      <c r="D817" s="40">
        <v>3241.6</v>
      </c>
      <c r="E817" s="26">
        <v>13033</v>
      </c>
      <c r="F817" s="26">
        <f t="shared" si="24"/>
        <v>16274.6</v>
      </c>
      <c r="G817" s="40">
        <f>1273+810</f>
        <v>2083</v>
      </c>
      <c r="H817" s="26">
        <v>13033</v>
      </c>
      <c r="I817" s="27">
        <f t="shared" si="25"/>
        <v>15116</v>
      </c>
      <c r="J817" s="40">
        <v>1880</v>
      </c>
      <c r="K817" s="26">
        <v>13316</v>
      </c>
      <c r="L817" s="27">
        <v>15196</v>
      </c>
      <c r="M817" s="26">
        <v>3874</v>
      </c>
      <c r="N817" s="26">
        <v>316</v>
      </c>
      <c r="O817" s="27">
        <v>4190</v>
      </c>
      <c r="P817" s="26">
        <v>4017</v>
      </c>
      <c r="Q817" s="26">
        <v>272</v>
      </c>
      <c r="R817" s="27">
        <v>4289</v>
      </c>
      <c r="S817" s="26">
        <v>2733</v>
      </c>
      <c r="T817" s="26">
        <v>302</v>
      </c>
      <c r="U817" s="27">
        <v>3035</v>
      </c>
      <c r="V817" s="26">
        <v>3855</v>
      </c>
      <c r="W817" s="26">
        <v>607</v>
      </c>
      <c r="X817" s="31">
        <v>4462</v>
      </c>
      <c r="Y817" s="16">
        <v>4354</v>
      </c>
      <c r="Z817" s="16">
        <v>927</v>
      </c>
      <c r="AA817" s="31">
        <v>5281</v>
      </c>
      <c r="AB817" s="32">
        <v>4354</v>
      </c>
      <c r="AC817" s="16">
        <v>927</v>
      </c>
      <c r="AD817" s="31">
        <v>5281</v>
      </c>
      <c r="AE817" s="16">
        <v>4172</v>
      </c>
      <c r="AF817" s="16">
        <v>612</v>
      </c>
      <c r="AG817" s="31">
        <v>4784</v>
      </c>
      <c r="AH817" s="16">
        <v>3744</v>
      </c>
      <c r="AI817" s="16">
        <v>618</v>
      </c>
      <c r="AJ817" s="31">
        <v>4362</v>
      </c>
      <c r="AK817" s="16">
        <v>4632</v>
      </c>
      <c r="AL817" s="16">
        <v>13227</v>
      </c>
      <c r="AM817" s="31">
        <v>17859</v>
      </c>
      <c r="AN817" s="16">
        <v>5513</v>
      </c>
      <c r="AO817" s="16">
        <v>13363</v>
      </c>
      <c r="AP817" s="31">
        <v>18876</v>
      </c>
      <c r="AQ817" s="42"/>
      <c r="AR817" s="43"/>
      <c r="AS817" s="42"/>
      <c r="AT817" s="42"/>
    </row>
    <row r="818" spans="1:46" ht="12.9" customHeight="1" x14ac:dyDescent="0.25">
      <c r="A818" s="28" t="s">
        <v>1667</v>
      </c>
      <c r="B818" s="29" t="s">
        <v>1668</v>
      </c>
      <c r="C818" s="30" t="s">
        <v>281</v>
      </c>
      <c r="D818" s="40">
        <v>5294</v>
      </c>
      <c r="E818" s="26">
        <v>3476</v>
      </c>
      <c r="F818" s="26">
        <f t="shared" si="24"/>
        <v>8770</v>
      </c>
      <c r="G818" s="40">
        <v>5238</v>
      </c>
      <c r="H818" s="26">
        <v>3142</v>
      </c>
      <c r="I818" s="27">
        <f t="shared" si="25"/>
        <v>8380</v>
      </c>
      <c r="J818" s="40">
        <v>5757</v>
      </c>
      <c r="K818" s="26">
        <v>3357</v>
      </c>
      <c r="L818" s="27">
        <v>9114</v>
      </c>
      <c r="M818" s="26">
        <v>5441</v>
      </c>
      <c r="N818" s="26">
        <v>3262</v>
      </c>
      <c r="O818" s="27">
        <v>8703</v>
      </c>
      <c r="P818" s="26">
        <v>5327</v>
      </c>
      <c r="Q818" s="26">
        <v>2108</v>
      </c>
      <c r="R818" s="27">
        <v>7435</v>
      </c>
      <c r="S818" s="26">
        <v>5044</v>
      </c>
      <c r="T818" s="26">
        <v>3156</v>
      </c>
      <c r="U818" s="27">
        <v>8200</v>
      </c>
      <c r="V818" s="26">
        <v>5215</v>
      </c>
      <c r="W818" s="26">
        <v>4491</v>
      </c>
      <c r="X818" s="31">
        <v>9706</v>
      </c>
      <c r="Y818" s="16">
        <v>5210</v>
      </c>
      <c r="Z818" s="16">
        <v>4798</v>
      </c>
      <c r="AA818" s="31">
        <v>10008</v>
      </c>
      <c r="AB818" s="32">
        <v>4785</v>
      </c>
      <c r="AC818" s="16">
        <v>3962</v>
      </c>
      <c r="AD818" s="31">
        <v>8747</v>
      </c>
      <c r="AE818" s="16">
        <v>9847</v>
      </c>
      <c r="AF818" s="16">
        <v>0</v>
      </c>
      <c r="AG818" s="31">
        <v>9847</v>
      </c>
      <c r="AH818" s="32" t="s">
        <v>160</v>
      </c>
      <c r="AI818" s="32" t="s">
        <v>160</v>
      </c>
      <c r="AJ818" s="31">
        <v>0</v>
      </c>
      <c r="AK818" s="16">
        <v>5142</v>
      </c>
      <c r="AL818" s="16">
        <v>0</v>
      </c>
      <c r="AM818" s="31">
        <v>5142</v>
      </c>
      <c r="AN818" s="16">
        <v>4208</v>
      </c>
      <c r="AO818" s="16">
        <v>0</v>
      </c>
      <c r="AP818" s="31">
        <v>4208</v>
      </c>
      <c r="AQ818" s="42"/>
      <c r="AR818" s="43"/>
      <c r="AS818" s="42"/>
      <c r="AT818" s="42"/>
    </row>
    <row r="819" spans="1:46" ht="12.9" customHeight="1" x14ac:dyDescent="0.25">
      <c r="A819" s="28" t="s">
        <v>1669</v>
      </c>
      <c r="B819" s="29" t="s">
        <v>1670</v>
      </c>
      <c r="C819" s="30" t="s">
        <v>113</v>
      </c>
      <c r="D819" s="40">
        <v>13147</v>
      </c>
      <c r="E819" s="26">
        <v>11242</v>
      </c>
      <c r="F819" s="26">
        <f t="shared" si="24"/>
        <v>24389</v>
      </c>
      <c r="G819" s="40">
        <v>13578</v>
      </c>
      <c r="H819" s="26">
        <v>16580</v>
      </c>
      <c r="I819" s="27">
        <f t="shared" si="25"/>
        <v>30158</v>
      </c>
      <c r="J819" s="40">
        <v>12004</v>
      </c>
      <c r="K819" s="26">
        <v>10290</v>
      </c>
      <c r="L819" s="27">
        <v>22294</v>
      </c>
      <c r="M819" s="26">
        <v>13119</v>
      </c>
      <c r="N819" s="26">
        <v>11615</v>
      </c>
      <c r="O819" s="27">
        <v>24734</v>
      </c>
      <c r="P819" s="26">
        <v>12458</v>
      </c>
      <c r="Q819" s="26">
        <v>11954</v>
      </c>
      <c r="R819" s="27">
        <v>24412</v>
      </c>
      <c r="S819" s="26">
        <v>11638</v>
      </c>
      <c r="T819" s="26">
        <v>13137</v>
      </c>
      <c r="U819" s="27">
        <v>24775</v>
      </c>
      <c r="V819" s="26">
        <v>10451</v>
      </c>
      <c r="W819" s="26">
        <v>12234</v>
      </c>
      <c r="X819" s="31">
        <v>22685</v>
      </c>
      <c r="Y819" s="16">
        <v>12530</v>
      </c>
      <c r="Z819" s="16">
        <v>13247</v>
      </c>
      <c r="AA819" s="31">
        <v>25777</v>
      </c>
      <c r="AB819" s="32">
        <v>11917</v>
      </c>
      <c r="AC819" s="16">
        <v>11822</v>
      </c>
      <c r="AD819" s="31">
        <v>23739</v>
      </c>
      <c r="AE819" s="16">
        <v>12258</v>
      </c>
      <c r="AF819" s="16">
        <v>8878</v>
      </c>
      <c r="AG819" s="31">
        <v>21136</v>
      </c>
      <c r="AH819" s="16">
        <v>9620</v>
      </c>
      <c r="AI819" s="16">
        <v>7778</v>
      </c>
      <c r="AJ819" s="31">
        <v>17398</v>
      </c>
      <c r="AK819" s="16">
        <v>12859</v>
      </c>
      <c r="AL819" s="16">
        <v>6898</v>
      </c>
      <c r="AM819" s="31">
        <v>19757</v>
      </c>
      <c r="AN819" s="16">
        <v>14497.6</v>
      </c>
      <c r="AO819" s="16">
        <v>7620</v>
      </c>
      <c r="AP819" s="31">
        <v>22117.599999999999</v>
      </c>
      <c r="AQ819" s="42"/>
      <c r="AR819" s="43"/>
      <c r="AS819" s="42"/>
      <c r="AT819" s="42"/>
    </row>
    <row r="820" spans="1:46" ht="12.9" customHeight="1" x14ac:dyDescent="0.25">
      <c r="A820" s="28" t="s">
        <v>1671</v>
      </c>
      <c r="B820" s="29" t="s">
        <v>1672</v>
      </c>
      <c r="C820" s="30" t="s">
        <v>113</v>
      </c>
      <c r="D820" s="40">
        <v>10538</v>
      </c>
      <c r="E820" s="26">
        <v>6011</v>
      </c>
      <c r="F820" s="26">
        <f t="shared" si="24"/>
        <v>16549</v>
      </c>
      <c r="G820" s="40">
        <v>10565</v>
      </c>
      <c r="H820" s="26">
        <v>3765</v>
      </c>
      <c r="I820" s="27">
        <f t="shared" si="25"/>
        <v>14330</v>
      </c>
      <c r="J820" s="40">
        <v>10633</v>
      </c>
      <c r="K820" s="26">
        <v>3511</v>
      </c>
      <c r="L820" s="27">
        <v>14144</v>
      </c>
      <c r="M820" s="26">
        <v>11156</v>
      </c>
      <c r="N820" s="26">
        <v>2967</v>
      </c>
      <c r="O820" s="27">
        <v>14123</v>
      </c>
      <c r="P820" s="26">
        <v>8899</v>
      </c>
      <c r="Q820" s="26">
        <v>2509</v>
      </c>
      <c r="R820" s="27">
        <v>11408</v>
      </c>
      <c r="S820" s="26">
        <v>8899</v>
      </c>
      <c r="T820" s="26">
        <v>2535</v>
      </c>
      <c r="U820" s="27">
        <v>11434</v>
      </c>
      <c r="V820" s="26">
        <v>8997</v>
      </c>
      <c r="W820" s="26">
        <v>3837</v>
      </c>
      <c r="X820" s="31">
        <v>12834</v>
      </c>
      <c r="Y820" s="16">
        <v>10056</v>
      </c>
      <c r="Z820" s="16">
        <v>2703</v>
      </c>
      <c r="AA820" s="31">
        <v>12759</v>
      </c>
      <c r="AB820" s="32">
        <v>10056</v>
      </c>
      <c r="AC820" s="16">
        <v>2696</v>
      </c>
      <c r="AD820" s="31">
        <v>12752</v>
      </c>
      <c r="AE820" s="16">
        <v>10189</v>
      </c>
      <c r="AF820" s="16">
        <v>2896</v>
      </c>
      <c r="AG820" s="31">
        <v>13085</v>
      </c>
      <c r="AH820" s="16">
        <v>7659</v>
      </c>
      <c r="AI820" s="16">
        <v>2420</v>
      </c>
      <c r="AJ820" s="31">
        <v>10079</v>
      </c>
      <c r="AK820" s="16">
        <v>7242</v>
      </c>
      <c r="AL820" s="16">
        <v>2807</v>
      </c>
      <c r="AM820" s="31">
        <v>10049</v>
      </c>
      <c r="AN820" s="16">
        <v>12311</v>
      </c>
      <c r="AO820" s="16">
        <v>4971</v>
      </c>
      <c r="AP820" s="31">
        <v>17282</v>
      </c>
      <c r="AQ820" s="42"/>
      <c r="AR820" s="43"/>
      <c r="AS820" s="42"/>
      <c r="AT820" s="42"/>
    </row>
    <row r="821" spans="1:46" ht="12.9" customHeight="1" x14ac:dyDescent="0.25">
      <c r="A821" s="28" t="s">
        <v>1673</v>
      </c>
      <c r="B821" s="29" t="s">
        <v>1674</v>
      </c>
      <c r="C821" s="30" t="s">
        <v>80</v>
      </c>
      <c r="D821" s="40">
        <v>324589</v>
      </c>
      <c r="E821" s="26">
        <v>125018</v>
      </c>
      <c r="F821" s="26">
        <f t="shared" si="24"/>
        <v>449607</v>
      </c>
      <c r="G821" s="40">
        <v>355044</v>
      </c>
      <c r="H821" s="26">
        <v>115915</v>
      </c>
      <c r="I821" s="27">
        <f t="shared" si="25"/>
        <v>470959</v>
      </c>
      <c r="J821" s="40">
        <v>385627</v>
      </c>
      <c r="K821" s="26">
        <v>135886</v>
      </c>
      <c r="L821" s="27">
        <v>521513</v>
      </c>
      <c r="M821" s="26">
        <v>404101</v>
      </c>
      <c r="N821" s="26">
        <v>132190</v>
      </c>
      <c r="O821" s="27">
        <v>536291</v>
      </c>
      <c r="P821" s="26">
        <v>393991</v>
      </c>
      <c r="Q821" s="26">
        <v>108955</v>
      </c>
      <c r="R821" s="27">
        <v>502946</v>
      </c>
      <c r="S821" s="26">
        <v>373511</v>
      </c>
      <c r="T821" s="26">
        <v>117231</v>
      </c>
      <c r="U821" s="27">
        <v>490742</v>
      </c>
      <c r="V821" s="26">
        <v>357992</v>
      </c>
      <c r="W821" s="26">
        <v>116421</v>
      </c>
      <c r="X821" s="31">
        <v>474413</v>
      </c>
      <c r="Y821" s="16">
        <v>360855</v>
      </c>
      <c r="Z821" s="16">
        <v>112730</v>
      </c>
      <c r="AA821" s="31">
        <v>473585</v>
      </c>
      <c r="AB821" s="32">
        <v>354926</v>
      </c>
      <c r="AC821" s="16">
        <v>133727</v>
      </c>
      <c r="AD821" s="31">
        <v>488653</v>
      </c>
      <c r="AE821" s="16">
        <v>350084</v>
      </c>
      <c r="AF821" s="16">
        <v>126643</v>
      </c>
      <c r="AG821" s="31">
        <v>476727</v>
      </c>
      <c r="AH821" s="16">
        <v>323534</v>
      </c>
      <c r="AI821" s="16">
        <v>120940</v>
      </c>
      <c r="AJ821" s="31">
        <v>444474</v>
      </c>
      <c r="AK821" s="16">
        <v>334926</v>
      </c>
      <c r="AL821" s="16">
        <v>124956</v>
      </c>
      <c r="AM821" s="31">
        <v>459882</v>
      </c>
      <c r="AN821" s="16">
        <v>337475</v>
      </c>
      <c r="AO821" s="16">
        <v>169120</v>
      </c>
      <c r="AP821" s="31">
        <v>506595</v>
      </c>
      <c r="AQ821" s="42"/>
      <c r="AR821" s="43"/>
      <c r="AS821" s="42"/>
      <c r="AT821" s="42"/>
    </row>
    <row r="822" spans="1:46" ht="12.9" customHeight="1" x14ac:dyDescent="0.25">
      <c r="A822" s="28" t="s">
        <v>1675</v>
      </c>
      <c r="B822" s="29" t="s">
        <v>1676</v>
      </c>
      <c r="C822" s="30" t="s">
        <v>14</v>
      </c>
      <c r="D822" s="40">
        <v>54055</v>
      </c>
      <c r="E822" s="26">
        <v>138327</v>
      </c>
      <c r="F822" s="26">
        <f t="shared" si="24"/>
        <v>192382</v>
      </c>
      <c r="G822" s="40">
        <v>57225</v>
      </c>
      <c r="H822" s="26">
        <v>136814</v>
      </c>
      <c r="I822" s="27">
        <f t="shared" si="25"/>
        <v>194039</v>
      </c>
      <c r="J822" s="40">
        <v>56698</v>
      </c>
      <c r="K822" s="26">
        <v>118075</v>
      </c>
      <c r="L822" s="27">
        <v>174773</v>
      </c>
      <c r="M822" s="26">
        <v>56591</v>
      </c>
      <c r="N822" s="26">
        <v>125723</v>
      </c>
      <c r="O822" s="27">
        <v>182314</v>
      </c>
      <c r="P822" s="26">
        <v>57167</v>
      </c>
      <c r="Q822" s="26">
        <v>131013</v>
      </c>
      <c r="R822" s="27">
        <v>188180</v>
      </c>
      <c r="S822" s="26">
        <v>53283</v>
      </c>
      <c r="T822" s="26">
        <v>120612</v>
      </c>
      <c r="U822" s="27">
        <v>173895</v>
      </c>
      <c r="V822" s="26">
        <v>53293</v>
      </c>
      <c r="W822" s="26">
        <v>117741</v>
      </c>
      <c r="X822" s="31">
        <v>171034</v>
      </c>
      <c r="Y822" s="16">
        <v>56423</v>
      </c>
      <c r="Z822" s="16">
        <v>131040</v>
      </c>
      <c r="AA822" s="31">
        <v>187463</v>
      </c>
      <c r="AB822" s="32">
        <v>55687</v>
      </c>
      <c r="AC822" s="16">
        <v>117027</v>
      </c>
      <c r="AD822" s="31">
        <v>172714</v>
      </c>
      <c r="AE822" s="16">
        <v>54623</v>
      </c>
      <c r="AF822" s="16">
        <v>125160</v>
      </c>
      <c r="AG822" s="31">
        <v>179783</v>
      </c>
      <c r="AH822" s="16">
        <v>55635</v>
      </c>
      <c r="AI822" s="16">
        <v>116913</v>
      </c>
      <c r="AJ822" s="31">
        <v>172548</v>
      </c>
      <c r="AK822" s="16">
        <v>55856</v>
      </c>
      <c r="AL822" s="16">
        <v>92768</v>
      </c>
      <c r="AM822" s="31">
        <v>148624</v>
      </c>
      <c r="AN822" s="16">
        <v>61078</v>
      </c>
      <c r="AO822" s="16">
        <v>104490</v>
      </c>
      <c r="AP822" s="31">
        <v>165568</v>
      </c>
      <c r="AQ822" s="42"/>
      <c r="AR822" s="43"/>
      <c r="AS822" s="42"/>
      <c r="AT822" s="42"/>
    </row>
    <row r="823" spans="1:46" ht="12.9" customHeight="1" x14ac:dyDescent="0.25">
      <c r="A823" s="28" t="s">
        <v>1677</v>
      </c>
      <c r="B823" s="29" t="s">
        <v>1678</v>
      </c>
      <c r="C823" s="30" t="s">
        <v>23</v>
      </c>
      <c r="D823" s="40">
        <v>11642</v>
      </c>
      <c r="E823" s="26">
        <v>1670</v>
      </c>
      <c r="F823" s="26">
        <f t="shared" si="24"/>
        <v>13312</v>
      </c>
      <c r="G823" s="40">
        <v>12333</v>
      </c>
      <c r="H823" s="26">
        <v>1660</v>
      </c>
      <c r="I823" s="27">
        <f t="shared" si="25"/>
        <v>13993</v>
      </c>
      <c r="J823" s="40">
        <v>12512</v>
      </c>
      <c r="K823" s="26">
        <v>1534</v>
      </c>
      <c r="L823" s="27">
        <v>14046</v>
      </c>
      <c r="M823" s="26">
        <v>14094</v>
      </c>
      <c r="N823" s="26">
        <v>5497</v>
      </c>
      <c r="O823" s="27">
        <v>19591</v>
      </c>
      <c r="P823" s="26">
        <v>11771</v>
      </c>
      <c r="Q823" s="26">
        <v>3225</v>
      </c>
      <c r="R823" s="27">
        <v>14996</v>
      </c>
      <c r="S823" s="26">
        <v>12314</v>
      </c>
      <c r="T823" s="26">
        <v>2777</v>
      </c>
      <c r="U823" s="27">
        <v>15091</v>
      </c>
      <c r="V823" s="26">
        <v>10613</v>
      </c>
      <c r="W823" s="26">
        <v>1553</v>
      </c>
      <c r="X823" s="31">
        <v>12166</v>
      </c>
      <c r="Y823" s="16">
        <v>10505</v>
      </c>
      <c r="Z823" s="16">
        <v>1368</v>
      </c>
      <c r="AA823" s="31">
        <v>11873</v>
      </c>
      <c r="AB823" s="32">
        <v>10363</v>
      </c>
      <c r="AC823" s="16">
        <v>1612</v>
      </c>
      <c r="AD823" s="31">
        <v>11975</v>
      </c>
      <c r="AE823" s="16">
        <v>10798</v>
      </c>
      <c r="AF823" s="16">
        <v>1273</v>
      </c>
      <c r="AG823" s="31">
        <v>12071</v>
      </c>
      <c r="AH823" s="16">
        <v>9428</v>
      </c>
      <c r="AI823" s="16">
        <v>978</v>
      </c>
      <c r="AJ823" s="31">
        <v>10406</v>
      </c>
      <c r="AK823" s="16">
        <v>9491</v>
      </c>
      <c r="AL823" s="16">
        <v>1093</v>
      </c>
      <c r="AM823" s="31">
        <v>10584</v>
      </c>
      <c r="AN823" s="16">
        <v>11104</v>
      </c>
      <c r="AO823" s="16">
        <v>962</v>
      </c>
      <c r="AP823" s="31">
        <v>12066</v>
      </c>
      <c r="AQ823" s="42"/>
      <c r="AR823" s="43"/>
      <c r="AS823" s="42"/>
      <c r="AT823" s="42"/>
    </row>
    <row r="824" spans="1:46" ht="12.9" customHeight="1" x14ac:dyDescent="0.25">
      <c r="A824" s="28" t="s">
        <v>1679</v>
      </c>
      <c r="B824" s="29" t="s">
        <v>1680</v>
      </c>
      <c r="C824" s="30" t="s">
        <v>197</v>
      </c>
      <c r="D824" s="40">
        <v>7612004</v>
      </c>
      <c r="E824" s="26">
        <v>3835512</v>
      </c>
      <c r="F824" s="26">
        <f t="shared" si="24"/>
        <v>11447516</v>
      </c>
      <c r="G824" s="40">
        <v>8302227</v>
      </c>
      <c r="H824" s="26">
        <v>3723191</v>
      </c>
      <c r="I824" s="27">
        <f t="shared" si="25"/>
        <v>12025418</v>
      </c>
      <c r="J824" s="40">
        <v>8416998</v>
      </c>
      <c r="K824" s="26">
        <v>3774599</v>
      </c>
      <c r="L824" s="27">
        <v>12191597</v>
      </c>
      <c r="M824" s="26">
        <v>8807673</v>
      </c>
      <c r="N824" s="26">
        <v>3607166</v>
      </c>
      <c r="O824" s="27">
        <v>12414839</v>
      </c>
      <c r="P824" s="26">
        <v>8856559</v>
      </c>
      <c r="Q824" s="26">
        <v>2665514</v>
      </c>
      <c r="R824" s="27">
        <v>11522073</v>
      </c>
      <c r="S824" s="26">
        <v>8314944</v>
      </c>
      <c r="T824" s="26">
        <v>3678330</v>
      </c>
      <c r="U824" s="27">
        <v>11993274</v>
      </c>
      <c r="V824" s="26">
        <v>8040517</v>
      </c>
      <c r="W824" s="26">
        <v>3968208</v>
      </c>
      <c r="X824" s="31">
        <v>12008725</v>
      </c>
      <c r="Y824" s="16">
        <v>8049039</v>
      </c>
      <c r="Z824" s="16">
        <v>3769162</v>
      </c>
      <c r="AA824" s="31">
        <v>11818201</v>
      </c>
      <c r="AB824" s="32">
        <v>8078112</v>
      </c>
      <c r="AC824" s="16">
        <v>3723917</v>
      </c>
      <c r="AD824" s="31">
        <v>11802029</v>
      </c>
      <c r="AE824" s="16">
        <v>7829908</v>
      </c>
      <c r="AF824" s="16">
        <v>3811513</v>
      </c>
      <c r="AG824" s="31">
        <v>11641421</v>
      </c>
      <c r="AH824" s="16">
        <v>7741039</v>
      </c>
      <c r="AI824" s="16">
        <v>3557762</v>
      </c>
      <c r="AJ824" s="31">
        <v>11298801</v>
      </c>
      <c r="AK824" s="16">
        <v>7841138.6942148758</v>
      </c>
      <c r="AL824" s="16">
        <v>3498448</v>
      </c>
      <c r="AM824" s="31">
        <v>11339586.694214877</v>
      </c>
      <c r="AN824" s="16">
        <v>8044661</v>
      </c>
      <c r="AO824" s="16">
        <v>3877842</v>
      </c>
      <c r="AP824" s="31">
        <v>11922503</v>
      </c>
      <c r="AQ824" s="42"/>
      <c r="AR824" s="43"/>
      <c r="AS824" s="42"/>
      <c r="AT824" s="42"/>
    </row>
    <row r="825" spans="1:46" ht="12.9" customHeight="1" x14ac:dyDescent="0.25">
      <c r="A825" s="28" t="s">
        <v>1681</v>
      </c>
      <c r="B825" s="29" t="s">
        <v>1682</v>
      </c>
      <c r="C825" s="30" t="s">
        <v>80</v>
      </c>
      <c r="D825" s="40">
        <v>434336</v>
      </c>
      <c r="E825" s="26">
        <v>86863</v>
      </c>
      <c r="F825" s="26">
        <f t="shared" si="24"/>
        <v>521199</v>
      </c>
      <c r="G825" s="40">
        <v>383120</v>
      </c>
      <c r="H825" s="26">
        <v>96744</v>
      </c>
      <c r="I825" s="27">
        <f t="shared" si="25"/>
        <v>479864</v>
      </c>
      <c r="J825" s="40">
        <v>438888</v>
      </c>
      <c r="K825" s="26">
        <v>125357</v>
      </c>
      <c r="L825" s="27">
        <v>564245</v>
      </c>
      <c r="M825" s="26">
        <v>484348</v>
      </c>
      <c r="N825" s="26">
        <v>113495</v>
      </c>
      <c r="O825" s="27">
        <v>597843</v>
      </c>
      <c r="P825" s="26">
        <v>503714</v>
      </c>
      <c r="Q825" s="26">
        <v>109729</v>
      </c>
      <c r="R825" s="27">
        <v>613443</v>
      </c>
      <c r="S825" s="26">
        <v>432049</v>
      </c>
      <c r="T825" s="26">
        <v>120550</v>
      </c>
      <c r="U825" s="27">
        <v>552599</v>
      </c>
      <c r="V825" s="26">
        <v>443492</v>
      </c>
      <c r="W825" s="26">
        <v>127511</v>
      </c>
      <c r="X825" s="31">
        <v>571003</v>
      </c>
      <c r="Y825" s="16">
        <v>474218</v>
      </c>
      <c r="Z825" s="16">
        <v>133933</v>
      </c>
      <c r="AA825" s="31">
        <v>608151</v>
      </c>
      <c r="AB825" s="32">
        <v>441112</v>
      </c>
      <c r="AC825" s="16">
        <v>111697</v>
      </c>
      <c r="AD825" s="31">
        <v>552809</v>
      </c>
      <c r="AE825" s="16">
        <v>428501</v>
      </c>
      <c r="AF825" s="16">
        <v>124755</v>
      </c>
      <c r="AG825" s="31">
        <v>553256</v>
      </c>
      <c r="AH825" s="16">
        <v>416613</v>
      </c>
      <c r="AI825" s="16">
        <v>96583</v>
      </c>
      <c r="AJ825" s="31">
        <v>513196</v>
      </c>
      <c r="AK825" s="16">
        <v>408109</v>
      </c>
      <c r="AL825" s="16">
        <v>99653</v>
      </c>
      <c r="AM825" s="31">
        <v>507762</v>
      </c>
      <c r="AN825" s="16">
        <v>418229</v>
      </c>
      <c r="AO825" s="16">
        <v>121585</v>
      </c>
      <c r="AP825" s="31">
        <v>539814</v>
      </c>
      <c r="AQ825" s="42"/>
      <c r="AR825" s="43"/>
      <c r="AS825" s="42"/>
      <c r="AT825" s="42"/>
    </row>
    <row r="826" spans="1:46" ht="12.9" customHeight="1" x14ac:dyDescent="0.25">
      <c r="A826" s="28" t="s">
        <v>1683</v>
      </c>
      <c r="B826" s="29" t="s">
        <v>1684</v>
      </c>
      <c r="C826" s="30" t="s">
        <v>95</v>
      </c>
      <c r="D826" s="40">
        <v>13761</v>
      </c>
      <c r="E826" s="26">
        <v>2073</v>
      </c>
      <c r="F826" s="26">
        <f t="shared" si="24"/>
        <v>15834</v>
      </c>
      <c r="G826" s="40">
        <v>13761</v>
      </c>
      <c r="H826" s="26">
        <v>921</v>
      </c>
      <c r="I826" s="27">
        <f t="shared" si="25"/>
        <v>14682</v>
      </c>
      <c r="J826" s="40">
        <v>13761</v>
      </c>
      <c r="K826" s="26">
        <v>921</v>
      </c>
      <c r="L826" s="27">
        <v>14682</v>
      </c>
      <c r="M826" s="26">
        <v>12649</v>
      </c>
      <c r="N826" s="26">
        <v>921</v>
      </c>
      <c r="O826" s="27">
        <v>13570</v>
      </c>
      <c r="P826" s="26">
        <v>13624</v>
      </c>
      <c r="Q826" s="26">
        <v>2073</v>
      </c>
      <c r="R826" s="27">
        <v>15697</v>
      </c>
      <c r="S826" s="26">
        <v>13624</v>
      </c>
      <c r="T826" s="26">
        <v>2073</v>
      </c>
      <c r="U826" s="27">
        <v>15697</v>
      </c>
      <c r="V826" s="26">
        <v>16920</v>
      </c>
      <c r="W826" s="26">
        <v>1346</v>
      </c>
      <c r="X826" s="31">
        <v>18266</v>
      </c>
      <c r="Y826" s="16">
        <v>16920</v>
      </c>
      <c r="Z826" s="16">
        <v>1346</v>
      </c>
      <c r="AA826" s="31">
        <v>18266</v>
      </c>
      <c r="AB826" s="32">
        <v>16920</v>
      </c>
      <c r="AC826" s="16">
        <v>1346</v>
      </c>
      <c r="AD826" s="31">
        <v>18266</v>
      </c>
      <c r="AE826" s="16">
        <v>16920</v>
      </c>
      <c r="AF826" s="16">
        <v>1346</v>
      </c>
      <c r="AG826" s="31">
        <v>18266</v>
      </c>
      <c r="AH826" s="16">
        <v>16920</v>
      </c>
      <c r="AI826" s="16">
        <v>1346</v>
      </c>
      <c r="AJ826" s="31">
        <v>18266</v>
      </c>
      <c r="AK826" s="16">
        <v>8340</v>
      </c>
      <c r="AL826" s="16">
        <v>1362</v>
      </c>
      <c r="AM826" s="31">
        <v>9702</v>
      </c>
      <c r="AN826" s="16">
        <v>8340</v>
      </c>
      <c r="AO826" s="16">
        <v>1362</v>
      </c>
      <c r="AP826" s="31">
        <v>9702</v>
      </c>
      <c r="AQ826" s="42"/>
      <c r="AR826" s="43"/>
      <c r="AS826" s="42"/>
      <c r="AT826" s="42"/>
    </row>
    <row r="827" spans="1:46" ht="12.9" customHeight="1" x14ac:dyDescent="0.25">
      <c r="A827" s="28" t="s">
        <v>1685</v>
      </c>
      <c r="B827" s="29" t="s">
        <v>1686</v>
      </c>
      <c r="C827" s="30" t="s">
        <v>14</v>
      </c>
      <c r="D827" s="40">
        <v>1161</v>
      </c>
      <c r="E827" s="26">
        <v>990</v>
      </c>
      <c r="F827" s="26">
        <f t="shared" si="24"/>
        <v>2151</v>
      </c>
      <c r="G827" s="40">
        <v>2083</v>
      </c>
      <c r="H827" s="26">
        <v>918</v>
      </c>
      <c r="I827" s="27">
        <f t="shared" si="25"/>
        <v>3001</v>
      </c>
      <c r="J827" s="40">
        <v>990</v>
      </c>
      <c r="K827" s="26">
        <v>906</v>
      </c>
      <c r="L827" s="27">
        <v>1896</v>
      </c>
      <c r="M827" s="26">
        <v>990</v>
      </c>
      <c r="N827" s="26">
        <v>650</v>
      </c>
      <c r="O827" s="27">
        <v>1640</v>
      </c>
      <c r="P827" s="26">
        <v>990</v>
      </c>
      <c r="Q827" s="26">
        <v>906</v>
      </c>
      <c r="R827" s="27">
        <v>1896</v>
      </c>
      <c r="S827" s="26">
        <v>1188</v>
      </c>
      <c r="T827" s="26">
        <v>432</v>
      </c>
      <c r="U827" s="27">
        <v>1620</v>
      </c>
      <c r="V827" s="26">
        <v>1188</v>
      </c>
      <c r="W827" s="26">
        <v>432</v>
      </c>
      <c r="X827" s="31">
        <v>1620</v>
      </c>
      <c r="Y827" s="16">
        <v>1188</v>
      </c>
      <c r="Z827" s="16">
        <v>432</v>
      </c>
      <c r="AA827" s="31">
        <v>1620</v>
      </c>
      <c r="AB827" s="32">
        <v>1188</v>
      </c>
      <c r="AC827" s="16">
        <v>432</v>
      </c>
      <c r="AD827" s="31">
        <v>1620</v>
      </c>
      <c r="AE827" s="16">
        <v>1188</v>
      </c>
      <c r="AF827" s="16">
        <v>432</v>
      </c>
      <c r="AG827" s="31">
        <v>1620</v>
      </c>
      <c r="AH827" s="16">
        <v>1188</v>
      </c>
      <c r="AI827" s="16">
        <v>432</v>
      </c>
      <c r="AJ827" s="31">
        <v>1620</v>
      </c>
      <c r="AK827" s="16">
        <v>864</v>
      </c>
      <c r="AL827" s="16">
        <v>274</v>
      </c>
      <c r="AM827" s="31">
        <v>1138</v>
      </c>
      <c r="AN827" s="16">
        <v>864</v>
      </c>
      <c r="AO827" s="16">
        <v>274</v>
      </c>
      <c r="AP827" s="31">
        <v>1138</v>
      </c>
      <c r="AQ827" s="42"/>
      <c r="AR827" s="43"/>
      <c r="AS827" s="42"/>
      <c r="AT827" s="42"/>
    </row>
    <row r="828" spans="1:46" ht="12.9" customHeight="1" x14ac:dyDescent="0.25">
      <c r="A828" s="28" t="s">
        <v>1687</v>
      </c>
      <c r="B828" s="29" t="s">
        <v>1688</v>
      </c>
      <c r="C828" s="30" t="s">
        <v>73</v>
      </c>
      <c r="D828" s="40">
        <v>28226</v>
      </c>
      <c r="E828" s="26">
        <v>6763</v>
      </c>
      <c r="F828" s="26">
        <f t="shared" si="24"/>
        <v>34989</v>
      </c>
      <c r="G828" s="40">
        <v>28131</v>
      </c>
      <c r="H828" s="26">
        <v>8268</v>
      </c>
      <c r="I828" s="27">
        <f t="shared" si="25"/>
        <v>36399</v>
      </c>
      <c r="J828" s="40">
        <v>27466</v>
      </c>
      <c r="K828" s="26">
        <v>15767</v>
      </c>
      <c r="L828" s="27">
        <v>43233</v>
      </c>
      <c r="M828" s="26">
        <v>29417</v>
      </c>
      <c r="N828" s="26">
        <v>7141</v>
      </c>
      <c r="O828" s="27">
        <v>36558</v>
      </c>
      <c r="P828" s="26">
        <v>35955</v>
      </c>
      <c r="Q828" s="26">
        <v>10699</v>
      </c>
      <c r="R828" s="27">
        <v>46654</v>
      </c>
      <c r="S828" s="26">
        <v>30425</v>
      </c>
      <c r="T828" s="26">
        <v>12880</v>
      </c>
      <c r="U828" s="27">
        <v>43305</v>
      </c>
      <c r="V828" s="26">
        <v>29977</v>
      </c>
      <c r="W828" s="26">
        <v>11937</v>
      </c>
      <c r="X828" s="31">
        <v>41914</v>
      </c>
      <c r="Y828" s="16">
        <v>28530</v>
      </c>
      <c r="Z828" s="16">
        <v>11411</v>
      </c>
      <c r="AA828" s="31">
        <v>39941</v>
      </c>
      <c r="AB828" s="32">
        <v>31086</v>
      </c>
      <c r="AC828" s="16">
        <v>9104</v>
      </c>
      <c r="AD828" s="31">
        <v>40190</v>
      </c>
      <c r="AE828" s="16">
        <v>28913</v>
      </c>
      <c r="AF828" s="16">
        <v>8234</v>
      </c>
      <c r="AG828" s="31">
        <v>37147</v>
      </c>
      <c r="AH828" s="16">
        <v>30173</v>
      </c>
      <c r="AI828" s="16">
        <v>7671</v>
      </c>
      <c r="AJ828" s="31">
        <v>37844</v>
      </c>
      <c r="AK828" s="16">
        <v>28827</v>
      </c>
      <c r="AL828" s="16">
        <v>8223</v>
      </c>
      <c r="AM828" s="31">
        <v>37050</v>
      </c>
      <c r="AN828" s="16">
        <v>30368</v>
      </c>
      <c r="AO828" s="16">
        <v>6728</v>
      </c>
      <c r="AP828" s="31">
        <v>37096</v>
      </c>
      <c r="AQ828" s="42"/>
      <c r="AR828" s="43"/>
      <c r="AS828" s="42"/>
      <c r="AT828" s="42"/>
    </row>
    <row r="829" spans="1:46" ht="12.9" customHeight="1" x14ac:dyDescent="0.25">
      <c r="A829" s="28" t="s">
        <v>1689</v>
      </c>
      <c r="B829" s="29" t="s">
        <v>1690</v>
      </c>
      <c r="C829" s="30" t="s">
        <v>177</v>
      </c>
      <c r="D829" s="40">
        <v>66193</v>
      </c>
      <c r="E829" s="26">
        <v>60636</v>
      </c>
      <c r="F829" s="26">
        <f t="shared" si="24"/>
        <v>126829</v>
      </c>
      <c r="G829" s="40">
        <v>74469</v>
      </c>
      <c r="H829" s="26">
        <v>59669</v>
      </c>
      <c r="I829" s="27">
        <f t="shared" si="25"/>
        <v>134138</v>
      </c>
      <c r="J829" s="40">
        <v>66641</v>
      </c>
      <c r="K829" s="26">
        <v>68935</v>
      </c>
      <c r="L829" s="27">
        <v>135576</v>
      </c>
      <c r="M829" s="26">
        <v>60575</v>
      </c>
      <c r="N829" s="26">
        <v>54181</v>
      </c>
      <c r="O829" s="27">
        <v>114756</v>
      </c>
      <c r="P829" s="26">
        <v>69534</v>
      </c>
      <c r="Q829" s="26">
        <v>58453</v>
      </c>
      <c r="R829" s="27">
        <v>127987</v>
      </c>
      <c r="S829" s="26">
        <v>64121</v>
      </c>
      <c r="T829" s="26">
        <v>66399</v>
      </c>
      <c r="U829" s="27">
        <v>130520</v>
      </c>
      <c r="V829" s="26">
        <v>65948</v>
      </c>
      <c r="W829" s="26">
        <v>59656</v>
      </c>
      <c r="X829" s="31">
        <v>125604</v>
      </c>
      <c r="Y829" s="16">
        <v>73319</v>
      </c>
      <c r="Z829" s="16">
        <v>61971</v>
      </c>
      <c r="AA829" s="31">
        <v>135290</v>
      </c>
      <c r="AB829" s="32">
        <v>73882</v>
      </c>
      <c r="AC829" s="16">
        <v>43356</v>
      </c>
      <c r="AD829" s="31">
        <v>117238</v>
      </c>
      <c r="AE829" s="16">
        <v>72642</v>
      </c>
      <c r="AF829" s="16">
        <v>26039</v>
      </c>
      <c r="AG829" s="31">
        <v>98681</v>
      </c>
      <c r="AH829" s="16">
        <v>65859</v>
      </c>
      <c r="AI829" s="16">
        <v>23818</v>
      </c>
      <c r="AJ829" s="31">
        <v>89677</v>
      </c>
      <c r="AK829" s="16">
        <v>65322</v>
      </c>
      <c r="AL829" s="16">
        <v>31457</v>
      </c>
      <c r="AM829" s="31">
        <v>96779</v>
      </c>
      <c r="AN829" s="16">
        <v>67400</v>
      </c>
      <c r="AO829" s="16">
        <v>24354</v>
      </c>
      <c r="AP829" s="31">
        <v>91754</v>
      </c>
      <c r="AQ829" s="42"/>
      <c r="AR829" s="43"/>
      <c r="AS829" s="42"/>
      <c r="AT829" s="42"/>
    </row>
    <row r="830" spans="1:46" ht="12.9" customHeight="1" x14ac:dyDescent="0.25">
      <c r="A830" s="28" t="s">
        <v>1691</v>
      </c>
      <c r="B830" s="29" t="s">
        <v>1692</v>
      </c>
      <c r="C830" s="30" t="s">
        <v>113</v>
      </c>
      <c r="D830" s="40">
        <v>292846</v>
      </c>
      <c r="E830" s="26">
        <v>124116</v>
      </c>
      <c r="F830" s="26">
        <f t="shared" si="24"/>
        <v>416962</v>
      </c>
      <c r="G830" s="40">
        <v>300989</v>
      </c>
      <c r="H830" s="26">
        <v>137924</v>
      </c>
      <c r="I830" s="27">
        <f t="shared" si="25"/>
        <v>438913</v>
      </c>
      <c r="J830" s="40">
        <v>332148</v>
      </c>
      <c r="K830" s="26">
        <v>147841</v>
      </c>
      <c r="L830" s="27">
        <v>479989</v>
      </c>
      <c r="M830" s="26">
        <v>341025</v>
      </c>
      <c r="N830" s="26">
        <v>138643</v>
      </c>
      <c r="O830" s="27">
        <v>479668</v>
      </c>
      <c r="P830" s="26">
        <v>341334</v>
      </c>
      <c r="Q830" s="26">
        <v>120144</v>
      </c>
      <c r="R830" s="27">
        <v>461478</v>
      </c>
      <c r="S830" s="26">
        <v>320270</v>
      </c>
      <c r="T830" s="26">
        <v>123983</v>
      </c>
      <c r="U830" s="27">
        <v>444253</v>
      </c>
      <c r="V830" s="26">
        <v>306181</v>
      </c>
      <c r="W830" s="26">
        <v>122744</v>
      </c>
      <c r="X830" s="31">
        <v>428925</v>
      </c>
      <c r="Y830" s="16">
        <v>314613</v>
      </c>
      <c r="Z830" s="16">
        <v>140142</v>
      </c>
      <c r="AA830" s="31">
        <v>454755</v>
      </c>
      <c r="AB830" s="32">
        <v>303786</v>
      </c>
      <c r="AC830" s="16">
        <v>150276</v>
      </c>
      <c r="AD830" s="31">
        <v>454062</v>
      </c>
      <c r="AE830" s="16">
        <v>303433</v>
      </c>
      <c r="AF830" s="16">
        <v>147972</v>
      </c>
      <c r="AG830" s="31">
        <v>451405</v>
      </c>
      <c r="AH830" s="16">
        <v>279306</v>
      </c>
      <c r="AI830" s="16">
        <v>132860</v>
      </c>
      <c r="AJ830" s="31">
        <v>412166</v>
      </c>
      <c r="AK830" s="16">
        <v>287418</v>
      </c>
      <c r="AL830" s="16">
        <v>116506</v>
      </c>
      <c r="AM830" s="31">
        <v>403924</v>
      </c>
      <c r="AN830" s="16">
        <v>310396</v>
      </c>
      <c r="AO830" s="16">
        <v>107405</v>
      </c>
      <c r="AP830" s="31">
        <v>417801</v>
      </c>
      <c r="AQ830" s="42"/>
      <c r="AR830" s="43"/>
      <c r="AS830" s="42"/>
      <c r="AT830" s="42"/>
    </row>
    <row r="831" spans="1:46" ht="12.9" customHeight="1" x14ac:dyDescent="0.25">
      <c r="A831" s="28" t="s">
        <v>1693</v>
      </c>
      <c r="B831" s="29" t="s">
        <v>1694</v>
      </c>
      <c r="C831" s="30" t="s">
        <v>281</v>
      </c>
      <c r="D831" s="40">
        <v>45521</v>
      </c>
      <c r="E831" s="26">
        <v>50227</v>
      </c>
      <c r="F831" s="26">
        <f t="shared" si="24"/>
        <v>95748</v>
      </c>
      <c r="G831" s="40">
        <v>47026</v>
      </c>
      <c r="H831" s="26">
        <v>49726</v>
      </c>
      <c r="I831" s="27">
        <f t="shared" si="25"/>
        <v>96752</v>
      </c>
      <c r="J831" s="40">
        <v>48214</v>
      </c>
      <c r="K831" s="26">
        <v>49262</v>
      </c>
      <c r="L831" s="27">
        <v>97476</v>
      </c>
      <c r="M831" s="26">
        <v>52759</v>
      </c>
      <c r="N831" s="26">
        <v>42969</v>
      </c>
      <c r="O831" s="27">
        <v>95728</v>
      </c>
      <c r="P831" s="26">
        <v>47490</v>
      </c>
      <c r="Q831" s="26">
        <v>44948</v>
      </c>
      <c r="R831" s="27">
        <v>92438</v>
      </c>
      <c r="S831" s="26">
        <v>43586</v>
      </c>
      <c r="T831" s="26">
        <v>43560</v>
      </c>
      <c r="U831" s="27">
        <v>87146</v>
      </c>
      <c r="V831" s="26">
        <v>40997</v>
      </c>
      <c r="W831" s="26">
        <v>31776</v>
      </c>
      <c r="X831" s="31">
        <v>72773</v>
      </c>
      <c r="Y831" s="16">
        <v>40578</v>
      </c>
      <c r="Z831" s="16">
        <v>45129</v>
      </c>
      <c r="AA831" s="31">
        <v>85707</v>
      </c>
      <c r="AB831" s="32">
        <v>37300</v>
      </c>
      <c r="AC831" s="16">
        <v>41460</v>
      </c>
      <c r="AD831" s="31">
        <v>78760</v>
      </c>
      <c r="AE831" s="16">
        <v>37455</v>
      </c>
      <c r="AF831" s="16">
        <v>42824</v>
      </c>
      <c r="AG831" s="31">
        <v>80279</v>
      </c>
      <c r="AH831" s="16">
        <v>36710</v>
      </c>
      <c r="AI831" s="16">
        <v>38625</v>
      </c>
      <c r="AJ831" s="31">
        <v>75335</v>
      </c>
      <c r="AK831" s="16">
        <v>37335.062562396008</v>
      </c>
      <c r="AL831" s="16">
        <v>39587.383999999998</v>
      </c>
      <c r="AM831" s="31">
        <v>76922.446562396013</v>
      </c>
      <c r="AN831" s="16">
        <v>38569</v>
      </c>
      <c r="AO831" s="16">
        <v>28123</v>
      </c>
      <c r="AP831" s="31">
        <v>66692</v>
      </c>
      <c r="AQ831" s="42"/>
      <c r="AR831" s="43"/>
      <c r="AS831" s="42"/>
      <c r="AT831" s="42"/>
    </row>
    <row r="832" spans="1:46" ht="12.9" customHeight="1" x14ac:dyDescent="0.25">
      <c r="A832" s="28" t="s">
        <v>1695</v>
      </c>
      <c r="B832" s="29" t="s">
        <v>1696</v>
      </c>
      <c r="C832" s="30" t="s">
        <v>80</v>
      </c>
      <c r="D832" s="40">
        <v>754483</v>
      </c>
      <c r="E832" s="26">
        <v>266624</v>
      </c>
      <c r="F832" s="26">
        <f t="shared" si="24"/>
        <v>1021107</v>
      </c>
      <c r="G832" s="40">
        <v>799882</v>
      </c>
      <c r="H832" s="26">
        <v>293238</v>
      </c>
      <c r="I832" s="27">
        <f t="shared" si="25"/>
        <v>1093120</v>
      </c>
      <c r="J832" s="40">
        <v>855697</v>
      </c>
      <c r="K832" s="26">
        <v>300291</v>
      </c>
      <c r="L832" s="27">
        <v>1155988</v>
      </c>
      <c r="M832" s="26">
        <v>860549</v>
      </c>
      <c r="N832" s="26">
        <v>259676</v>
      </c>
      <c r="O832" s="27">
        <v>1120225</v>
      </c>
      <c r="P832" s="26">
        <v>839821</v>
      </c>
      <c r="Q832" s="26">
        <v>239334</v>
      </c>
      <c r="R832" s="27">
        <v>1079155</v>
      </c>
      <c r="S832" s="26">
        <v>807966</v>
      </c>
      <c r="T832" s="26">
        <v>280367</v>
      </c>
      <c r="U832" s="27">
        <v>1088333</v>
      </c>
      <c r="V832" s="26">
        <v>776898</v>
      </c>
      <c r="W832" s="26">
        <v>283827</v>
      </c>
      <c r="X832" s="31">
        <v>1060725</v>
      </c>
      <c r="Y832" s="16">
        <v>769060</v>
      </c>
      <c r="Z832" s="16">
        <v>301818</v>
      </c>
      <c r="AA832" s="31">
        <v>1070878</v>
      </c>
      <c r="AB832" s="32">
        <v>761256</v>
      </c>
      <c r="AC832" s="16">
        <v>323087</v>
      </c>
      <c r="AD832" s="31">
        <v>1084343</v>
      </c>
      <c r="AE832" s="16">
        <v>752859</v>
      </c>
      <c r="AF832" s="16">
        <v>313618</v>
      </c>
      <c r="AG832" s="31">
        <v>1066477</v>
      </c>
      <c r="AH832" s="16">
        <v>698913</v>
      </c>
      <c r="AI832" s="16">
        <v>274313</v>
      </c>
      <c r="AJ832" s="31">
        <v>973226</v>
      </c>
      <c r="AK832" s="16">
        <v>746417</v>
      </c>
      <c r="AL832" s="16">
        <v>268839</v>
      </c>
      <c r="AM832" s="31">
        <v>1015256</v>
      </c>
      <c r="AN832" s="16">
        <v>752082</v>
      </c>
      <c r="AO832" s="16">
        <v>276961</v>
      </c>
      <c r="AP832" s="31">
        <v>1029043</v>
      </c>
      <c r="AQ832" s="42"/>
      <c r="AR832" s="43"/>
      <c r="AS832" s="42"/>
      <c r="AT832" s="42"/>
    </row>
    <row r="833" spans="1:46" ht="12.9" customHeight="1" x14ac:dyDescent="0.25">
      <c r="A833" s="28" t="s">
        <v>1697</v>
      </c>
      <c r="B833" s="29" t="s">
        <v>1698</v>
      </c>
      <c r="C833" s="30" t="s">
        <v>113</v>
      </c>
      <c r="D833" s="40">
        <v>526891</v>
      </c>
      <c r="E833" s="26">
        <v>211345</v>
      </c>
      <c r="F833" s="26">
        <f t="shared" si="24"/>
        <v>738236</v>
      </c>
      <c r="G833" s="40">
        <f>654904*12/14</f>
        <v>561346.28571428568</v>
      </c>
      <c r="H833" s="26">
        <f>299742-193886+167391</f>
        <v>273247</v>
      </c>
      <c r="I833" s="27">
        <f t="shared" si="25"/>
        <v>834593.28571428568</v>
      </c>
      <c r="J833" s="40">
        <v>564020.5</v>
      </c>
      <c r="K833" s="26">
        <v>253678</v>
      </c>
      <c r="L833" s="27">
        <v>817698.5</v>
      </c>
      <c r="M833" s="26">
        <v>561294</v>
      </c>
      <c r="N833" s="26">
        <v>251711</v>
      </c>
      <c r="O833" s="27">
        <v>813005</v>
      </c>
      <c r="P833" s="26">
        <v>658001</v>
      </c>
      <c r="Q833" s="26">
        <v>240169</v>
      </c>
      <c r="R833" s="27">
        <v>898170</v>
      </c>
      <c r="S833" s="26">
        <v>529214</v>
      </c>
      <c r="T833" s="26">
        <v>293026</v>
      </c>
      <c r="U833" s="27">
        <v>822240</v>
      </c>
      <c r="V833" s="26">
        <v>509946</v>
      </c>
      <c r="W833" s="26">
        <v>278815</v>
      </c>
      <c r="X833" s="31">
        <v>788761</v>
      </c>
      <c r="Y833" s="16">
        <v>515782</v>
      </c>
      <c r="Z833" s="16">
        <v>289905</v>
      </c>
      <c r="AA833" s="31">
        <v>805687</v>
      </c>
      <c r="AB833" s="32">
        <v>503420</v>
      </c>
      <c r="AC833" s="16">
        <v>309958</v>
      </c>
      <c r="AD833" s="31">
        <v>813378</v>
      </c>
      <c r="AE833" s="16">
        <v>502084</v>
      </c>
      <c r="AF833" s="16">
        <v>306999</v>
      </c>
      <c r="AG833" s="31">
        <v>809083</v>
      </c>
      <c r="AH833" s="16">
        <v>483627</v>
      </c>
      <c r="AI833" s="16">
        <v>259137</v>
      </c>
      <c r="AJ833" s="31">
        <v>742764</v>
      </c>
      <c r="AK833" s="16">
        <v>481330</v>
      </c>
      <c r="AL833" s="16">
        <v>243104</v>
      </c>
      <c r="AM833" s="31">
        <v>724434</v>
      </c>
      <c r="AN833" s="16">
        <v>508470</v>
      </c>
      <c r="AO833" s="16">
        <v>248086</v>
      </c>
      <c r="AP833" s="31">
        <v>756556</v>
      </c>
      <c r="AQ833" s="42"/>
      <c r="AR833" s="43"/>
      <c r="AS833" s="42"/>
      <c r="AT833" s="42"/>
    </row>
    <row r="834" spans="1:46" ht="12.9" customHeight="1" x14ac:dyDescent="0.25">
      <c r="A834" s="28" t="s">
        <v>1699</v>
      </c>
      <c r="B834" s="29" t="s">
        <v>1700</v>
      </c>
      <c r="C834" s="30" t="s">
        <v>42</v>
      </c>
      <c r="D834" s="40">
        <v>4290</v>
      </c>
      <c r="E834" s="26">
        <v>921</v>
      </c>
      <c r="F834" s="26">
        <f t="shared" si="24"/>
        <v>5211</v>
      </c>
      <c r="G834" s="40">
        <v>4290</v>
      </c>
      <c r="H834" s="26">
        <v>967</v>
      </c>
      <c r="I834" s="27">
        <f t="shared" si="25"/>
        <v>5257</v>
      </c>
      <c r="J834" s="40">
        <v>4288</v>
      </c>
      <c r="K834" s="26">
        <v>1100</v>
      </c>
      <c r="L834" s="27">
        <v>5388</v>
      </c>
      <c r="M834" s="26">
        <v>4511</v>
      </c>
      <c r="N834" s="26">
        <v>299</v>
      </c>
      <c r="O834" s="27">
        <v>4810</v>
      </c>
      <c r="P834" s="26">
        <v>4850</v>
      </c>
      <c r="Q834" s="26">
        <v>888</v>
      </c>
      <c r="R834" s="27">
        <v>5738</v>
      </c>
      <c r="S834" s="26">
        <v>4823</v>
      </c>
      <c r="T834" s="26">
        <v>934</v>
      </c>
      <c r="U834" s="27">
        <v>5757</v>
      </c>
      <c r="V834" s="26">
        <v>5129</v>
      </c>
      <c r="W834" s="26">
        <v>2850</v>
      </c>
      <c r="X834" s="31">
        <v>7979</v>
      </c>
      <c r="Y834" s="16">
        <v>4871</v>
      </c>
      <c r="Z834" s="16">
        <v>1425</v>
      </c>
      <c r="AA834" s="31">
        <v>6296</v>
      </c>
      <c r="AB834" s="32">
        <v>5181</v>
      </c>
      <c r="AC834" s="16">
        <v>5994</v>
      </c>
      <c r="AD834" s="31">
        <v>11175</v>
      </c>
      <c r="AE834" s="16">
        <v>7758</v>
      </c>
      <c r="AF834" s="16">
        <v>2100</v>
      </c>
      <c r="AG834" s="31">
        <v>9858</v>
      </c>
      <c r="AH834" s="16">
        <v>4973</v>
      </c>
      <c r="AI834" s="16">
        <v>5045</v>
      </c>
      <c r="AJ834" s="31">
        <v>10018</v>
      </c>
      <c r="AK834" s="16">
        <v>4973</v>
      </c>
      <c r="AL834" s="16">
        <v>5045</v>
      </c>
      <c r="AM834" s="31">
        <v>10018</v>
      </c>
      <c r="AN834" s="16">
        <v>4973</v>
      </c>
      <c r="AO834" s="16">
        <v>5045</v>
      </c>
      <c r="AP834" s="31">
        <v>10018</v>
      </c>
      <c r="AQ834" s="42"/>
      <c r="AR834" s="43"/>
      <c r="AS834" s="42"/>
      <c r="AT834" s="42"/>
    </row>
    <row r="835" spans="1:46" ht="12.9" customHeight="1" x14ac:dyDescent="0.25">
      <c r="A835" s="28" t="s">
        <v>1701</v>
      </c>
      <c r="B835" s="29" t="s">
        <v>1702</v>
      </c>
      <c r="C835" s="30" t="s">
        <v>17</v>
      </c>
      <c r="D835" s="40">
        <v>62964</v>
      </c>
      <c r="E835" s="26">
        <v>4781</v>
      </c>
      <c r="F835" s="26">
        <f t="shared" si="24"/>
        <v>67745</v>
      </c>
      <c r="G835" s="40">
        <v>62964</v>
      </c>
      <c r="H835" s="26">
        <v>1610</v>
      </c>
      <c r="I835" s="27">
        <f t="shared" si="25"/>
        <v>64574</v>
      </c>
      <c r="J835" s="40">
        <v>62964</v>
      </c>
      <c r="K835" s="26">
        <v>1710</v>
      </c>
      <c r="L835" s="27">
        <v>64674</v>
      </c>
      <c r="M835" s="26">
        <v>62964</v>
      </c>
      <c r="N835" s="26">
        <v>1597</v>
      </c>
      <c r="O835" s="27">
        <v>64561</v>
      </c>
      <c r="P835" s="26">
        <v>62832</v>
      </c>
      <c r="Q835" s="26">
        <v>362</v>
      </c>
      <c r="R835" s="27">
        <v>63194</v>
      </c>
      <c r="S835" s="26">
        <v>61248</v>
      </c>
      <c r="T835" s="26">
        <v>330</v>
      </c>
      <c r="U835" s="27">
        <v>61578</v>
      </c>
      <c r="V835" s="26">
        <v>60984</v>
      </c>
      <c r="W835" s="26">
        <v>302</v>
      </c>
      <c r="X835" s="31">
        <v>61286</v>
      </c>
      <c r="Y835" s="16">
        <v>59136</v>
      </c>
      <c r="Z835" s="16">
        <v>419</v>
      </c>
      <c r="AA835" s="31">
        <v>59555</v>
      </c>
      <c r="AB835" s="32">
        <v>49680</v>
      </c>
      <c r="AC835" s="16">
        <v>1119</v>
      </c>
      <c r="AD835" s="31">
        <v>50799</v>
      </c>
      <c r="AE835" s="16">
        <v>49032</v>
      </c>
      <c r="AF835" s="16">
        <v>1061</v>
      </c>
      <c r="AG835" s="31">
        <v>50093</v>
      </c>
      <c r="AH835" s="16">
        <v>50652</v>
      </c>
      <c r="AI835" s="16">
        <v>960</v>
      </c>
      <c r="AJ835" s="31">
        <v>51612</v>
      </c>
      <c r="AK835" s="16">
        <v>49356</v>
      </c>
      <c r="AL835" s="16">
        <v>1068</v>
      </c>
      <c r="AM835" s="31">
        <v>50424</v>
      </c>
      <c r="AN835" s="16">
        <v>49356</v>
      </c>
      <c r="AO835" s="16">
        <v>1068</v>
      </c>
      <c r="AP835" s="31">
        <v>50424</v>
      </c>
      <c r="AQ835" s="42"/>
      <c r="AR835" s="43"/>
      <c r="AS835" s="42"/>
      <c r="AT835" s="42"/>
    </row>
    <row r="836" spans="1:46" ht="12.9" customHeight="1" x14ac:dyDescent="0.25">
      <c r="A836" s="28" t="s">
        <v>1703</v>
      </c>
      <c r="B836" s="29" t="s">
        <v>1704</v>
      </c>
      <c r="C836" s="30" t="s">
        <v>8</v>
      </c>
      <c r="D836" s="40">
        <v>63180</v>
      </c>
      <c r="E836" s="26">
        <v>8717</v>
      </c>
      <c r="F836" s="26">
        <f t="shared" si="24"/>
        <v>71897</v>
      </c>
      <c r="G836" s="40">
        <v>75816</v>
      </c>
      <c r="H836" s="26">
        <v>8732</v>
      </c>
      <c r="I836" s="27">
        <f t="shared" si="25"/>
        <v>84548</v>
      </c>
      <c r="J836" s="40">
        <v>76788</v>
      </c>
      <c r="K836" s="26">
        <v>5998</v>
      </c>
      <c r="L836" s="27">
        <v>82786</v>
      </c>
      <c r="M836" s="26">
        <v>76032</v>
      </c>
      <c r="N836" s="26">
        <v>16657</v>
      </c>
      <c r="O836" s="27">
        <v>92689</v>
      </c>
      <c r="P836" s="26">
        <v>79272</v>
      </c>
      <c r="Q836" s="26">
        <v>12765</v>
      </c>
      <c r="R836" s="27">
        <v>92037</v>
      </c>
      <c r="S836" s="26">
        <v>79272</v>
      </c>
      <c r="T836" s="26">
        <v>12710</v>
      </c>
      <c r="U836" s="27">
        <v>91982</v>
      </c>
      <c r="V836" s="26">
        <v>79236</v>
      </c>
      <c r="W836" s="26">
        <v>11876</v>
      </c>
      <c r="X836" s="31">
        <v>91112</v>
      </c>
      <c r="Y836" s="16">
        <v>72144</v>
      </c>
      <c r="Z836" s="16">
        <v>14648</v>
      </c>
      <c r="AA836" s="31">
        <v>86792</v>
      </c>
      <c r="AB836" s="32">
        <v>72144</v>
      </c>
      <c r="AC836" s="16">
        <v>14708</v>
      </c>
      <c r="AD836" s="31">
        <v>86852</v>
      </c>
      <c r="AE836" s="16">
        <v>72144</v>
      </c>
      <c r="AF836" s="16">
        <v>14669</v>
      </c>
      <c r="AG836" s="31">
        <v>86813</v>
      </c>
      <c r="AH836" s="16">
        <v>72144</v>
      </c>
      <c r="AI836" s="16">
        <v>14640</v>
      </c>
      <c r="AJ836" s="31">
        <v>86784</v>
      </c>
      <c r="AK836" s="16">
        <v>73764</v>
      </c>
      <c r="AL836" s="16">
        <v>21816</v>
      </c>
      <c r="AM836" s="31">
        <v>95580</v>
      </c>
      <c r="AN836" s="16">
        <v>71928</v>
      </c>
      <c r="AO836" s="16">
        <v>21816</v>
      </c>
      <c r="AP836" s="31">
        <v>93744</v>
      </c>
      <c r="AQ836" s="42"/>
      <c r="AR836" s="43"/>
      <c r="AS836" s="42"/>
      <c r="AT836" s="42"/>
    </row>
    <row r="837" spans="1:46" ht="12.9" customHeight="1" x14ac:dyDescent="0.25">
      <c r="A837" s="28" t="s">
        <v>1705</v>
      </c>
      <c r="B837" s="29" t="s">
        <v>1706</v>
      </c>
      <c r="C837" s="30" t="s">
        <v>153</v>
      </c>
      <c r="D837" s="40">
        <v>193220</v>
      </c>
      <c r="E837" s="26">
        <v>97780</v>
      </c>
      <c r="F837" s="26">
        <f t="shared" si="24"/>
        <v>291000</v>
      </c>
      <c r="G837" s="40">
        <v>218849</v>
      </c>
      <c r="H837" s="26">
        <v>94183</v>
      </c>
      <c r="I837" s="27">
        <f t="shared" si="25"/>
        <v>313032</v>
      </c>
      <c r="J837" s="40">
        <v>241897</v>
      </c>
      <c r="K837" s="26">
        <v>100844</v>
      </c>
      <c r="L837" s="27">
        <v>342741</v>
      </c>
      <c r="M837" s="26">
        <v>244864</v>
      </c>
      <c r="N837" s="26">
        <v>106645</v>
      </c>
      <c r="O837" s="27">
        <v>351509</v>
      </c>
      <c r="P837" s="26">
        <v>235234</v>
      </c>
      <c r="Q837" s="26">
        <v>101093</v>
      </c>
      <c r="R837" s="27">
        <v>336327</v>
      </c>
      <c r="S837" s="26">
        <v>236198</v>
      </c>
      <c r="T837" s="26">
        <v>115974</v>
      </c>
      <c r="U837" s="27">
        <v>352172</v>
      </c>
      <c r="V837" s="26">
        <v>199322</v>
      </c>
      <c r="W837" s="26">
        <v>141380</v>
      </c>
      <c r="X837" s="31">
        <v>340702</v>
      </c>
      <c r="Y837" s="16">
        <v>223091</v>
      </c>
      <c r="Z837" s="16">
        <v>135241</v>
      </c>
      <c r="AA837" s="31">
        <v>358332</v>
      </c>
      <c r="AB837" s="32">
        <v>215338</v>
      </c>
      <c r="AC837" s="16">
        <v>97805</v>
      </c>
      <c r="AD837" s="31">
        <v>313143</v>
      </c>
      <c r="AE837" s="16">
        <v>221203</v>
      </c>
      <c r="AF837" s="16">
        <v>92320</v>
      </c>
      <c r="AG837" s="31">
        <v>313523</v>
      </c>
      <c r="AH837" s="16">
        <v>152996</v>
      </c>
      <c r="AI837" s="16">
        <v>69108</v>
      </c>
      <c r="AJ837" s="31">
        <v>222104</v>
      </c>
      <c r="AK837" s="16">
        <v>183250.37854115549</v>
      </c>
      <c r="AL837" s="16">
        <v>84004</v>
      </c>
      <c r="AM837" s="31">
        <v>267254.37854115549</v>
      </c>
      <c r="AN837" s="16">
        <v>205134</v>
      </c>
      <c r="AO837" s="16">
        <v>117930</v>
      </c>
      <c r="AP837" s="31">
        <v>323064</v>
      </c>
      <c r="AQ837" s="42"/>
      <c r="AR837" s="43"/>
      <c r="AS837" s="42"/>
      <c r="AT837" s="42"/>
    </row>
    <row r="838" spans="1:46" ht="12.9" customHeight="1" x14ac:dyDescent="0.25">
      <c r="A838" s="28" t="s">
        <v>1707</v>
      </c>
      <c r="B838" s="29" t="s">
        <v>1708</v>
      </c>
      <c r="C838" s="30" t="s">
        <v>249</v>
      </c>
      <c r="D838" s="40">
        <v>3461</v>
      </c>
      <c r="E838" s="26">
        <v>294</v>
      </c>
      <c r="F838" s="26">
        <f t="shared" si="24"/>
        <v>3755</v>
      </c>
      <c r="G838" s="40">
        <v>4453</v>
      </c>
      <c r="H838" s="26">
        <v>345</v>
      </c>
      <c r="I838" s="27">
        <f t="shared" si="25"/>
        <v>4798</v>
      </c>
      <c r="J838" s="40">
        <v>4951</v>
      </c>
      <c r="K838" s="26">
        <v>435</v>
      </c>
      <c r="L838" s="27">
        <v>5386</v>
      </c>
      <c r="M838" s="26">
        <v>5426</v>
      </c>
      <c r="N838" s="26">
        <v>369</v>
      </c>
      <c r="O838" s="27">
        <v>5795</v>
      </c>
      <c r="P838" s="26">
        <v>5046</v>
      </c>
      <c r="Q838" s="26">
        <v>386</v>
      </c>
      <c r="R838" s="27">
        <v>5432</v>
      </c>
      <c r="S838" s="26">
        <v>4725</v>
      </c>
      <c r="T838" s="26">
        <v>346</v>
      </c>
      <c r="U838" s="27">
        <v>5071</v>
      </c>
      <c r="V838" s="26">
        <v>4615</v>
      </c>
      <c r="W838" s="26">
        <v>603</v>
      </c>
      <c r="X838" s="31">
        <v>5218</v>
      </c>
      <c r="Y838" s="16">
        <v>5163</v>
      </c>
      <c r="Z838" s="16">
        <v>367</v>
      </c>
      <c r="AA838" s="31">
        <v>5530</v>
      </c>
      <c r="AB838" s="32">
        <v>4599</v>
      </c>
      <c r="AC838" s="16">
        <v>436</v>
      </c>
      <c r="AD838" s="31">
        <v>5035</v>
      </c>
      <c r="AE838" s="16">
        <v>7989</v>
      </c>
      <c r="AF838" s="16">
        <v>349</v>
      </c>
      <c r="AG838" s="31">
        <v>8338</v>
      </c>
      <c r="AH838" s="16">
        <v>5398</v>
      </c>
      <c r="AI838" s="16">
        <v>332</v>
      </c>
      <c r="AJ838" s="31">
        <v>5730</v>
      </c>
      <c r="AK838" s="16">
        <v>4277</v>
      </c>
      <c r="AL838" s="16">
        <v>374</v>
      </c>
      <c r="AM838" s="31">
        <v>4651</v>
      </c>
      <c r="AN838" s="16">
        <v>4277</v>
      </c>
      <c r="AO838" s="16">
        <v>374</v>
      </c>
      <c r="AP838" s="31">
        <v>4651</v>
      </c>
      <c r="AQ838" s="42"/>
      <c r="AR838" s="43"/>
      <c r="AS838" s="42"/>
      <c r="AT838" s="42"/>
    </row>
    <row r="839" spans="1:46" ht="12.9" customHeight="1" x14ac:dyDescent="0.25">
      <c r="A839" s="28" t="s">
        <v>1709</v>
      </c>
      <c r="B839" s="29" t="s">
        <v>1710</v>
      </c>
      <c r="C839" s="30" t="s">
        <v>177</v>
      </c>
      <c r="D839" s="40">
        <v>23704</v>
      </c>
      <c r="E839" s="26">
        <v>6651</v>
      </c>
      <c r="F839" s="26">
        <f t="shared" si="24"/>
        <v>30355</v>
      </c>
      <c r="G839" s="40">
        <v>23715</v>
      </c>
      <c r="H839" s="26">
        <v>1736</v>
      </c>
      <c r="I839" s="27">
        <f t="shared" si="25"/>
        <v>25451</v>
      </c>
      <c r="J839" s="40">
        <v>24464</v>
      </c>
      <c r="K839" s="26">
        <v>1545</v>
      </c>
      <c r="L839" s="27">
        <v>26009</v>
      </c>
      <c r="M839" s="26">
        <v>25081</v>
      </c>
      <c r="N839" s="26">
        <v>2102</v>
      </c>
      <c r="O839" s="27">
        <v>27183</v>
      </c>
      <c r="P839" s="26">
        <v>25223</v>
      </c>
      <c r="Q839" s="26">
        <v>2133</v>
      </c>
      <c r="R839" s="27">
        <v>27356</v>
      </c>
      <c r="S839" s="26">
        <v>24233</v>
      </c>
      <c r="T839" s="26">
        <v>2048</v>
      </c>
      <c r="U839" s="27">
        <v>26281</v>
      </c>
      <c r="V839" s="26">
        <v>25420</v>
      </c>
      <c r="W839" s="26">
        <v>2390</v>
      </c>
      <c r="X839" s="31">
        <v>27810</v>
      </c>
      <c r="Y839" s="16">
        <v>24674</v>
      </c>
      <c r="Z839" s="16">
        <v>2029</v>
      </c>
      <c r="AA839" s="31">
        <v>26703</v>
      </c>
      <c r="AB839" s="32">
        <v>26913</v>
      </c>
      <c r="AC839" s="16">
        <v>1118</v>
      </c>
      <c r="AD839" s="31">
        <v>28031</v>
      </c>
      <c r="AE839" s="16">
        <v>24187</v>
      </c>
      <c r="AF839" s="16">
        <v>1221</v>
      </c>
      <c r="AG839" s="31">
        <v>25408</v>
      </c>
      <c r="AH839" s="16">
        <v>25340</v>
      </c>
      <c r="AI839" s="16">
        <v>1389</v>
      </c>
      <c r="AJ839" s="31">
        <v>26729</v>
      </c>
      <c r="AK839" s="16">
        <v>28852</v>
      </c>
      <c r="AL839" s="16">
        <v>1540</v>
      </c>
      <c r="AM839" s="31">
        <v>30392</v>
      </c>
      <c r="AN839" s="16">
        <v>28852</v>
      </c>
      <c r="AO839" s="16">
        <v>1540</v>
      </c>
      <c r="AP839" s="31">
        <v>30392</v>
      </c>
      <c r="AQ839" s="42"/>
      <c r="AR839" s="43"/>
      <c r="AS839" s="42"/>
      <c r="AT839" s="42"/>
    </row>
    <row r="840" spans="1:46" ht="12.9" customHeight="1" x14ac:dyDescent="0.25">
      <c r="A840" s="28" t="s">
        <v>1711</v>
      </c>
      <c r="B840" s="29" t="s">
        <v>1712</v>
      </c>
      <c r="C840" s="30" t="s">
        <v>34</v>
      </c>
      <c r="D840" s="40">
        <v>13621</v>
      </c>
      <c r="E840" s="26">
        <v>11752</v>
      </c>
      <c r="F840" s="26">
        <f t="shared" si="24"/>
        <v>25373</v>
      </c>
      <c r="G840" s="40">
        <v>13756</v>
      </c>
      <c r="H840" s="26">
        <v>9306</v>
      </c>
      <c r="I840" s="27">
        <f t="shared" si="25"/>
        <v>23062</v>
      </c>
      <c r="J840" s="40">
        <v>15035</v>
      </c>
      <c r="K840" s="26">
        <v>14592</v>
      </c>
      <c r="L840" s="27">
        <v>29627</v>
      </c>
      <c r="M840" s="26">
        <v>14142</v>
      </c>
      <c r="N840" s="26">
        <v>0</v>
      </c>
      <c r="O840" s="27">
        <v>14142</v>
      </c>
      <c r="P840" s="26">
        <v>14142</v>
      </c>
      <c r="Q840" s="26">
        <v>786</v>
      </c>
      <c r="R840" s="27">
        <v>14928</v>
      </c>
      <c r="S840" s="26">
        <v>12654</v>
      </c>
      <c r="T840" s="26">
        <v>13987</v>
      </c>
      <c r="U840" s="27">
        <v>26641</v>
      </c>
      <c r="V840" s="26">
        <v>14887</v>
      </c>
      <c r="W840" s="26">
        <v>8695</v>
      </c>
      <c r="X840" s="31">
        <v>23582</v>
      </c>
      <c r="Y840" s="16">
        <v>14887</v>
      </c>
      <c r="Z840" s="16">
        <v>8695</v>
      </c>
      <c r="AA840" s="31">
        <v>23582</v>
      </c>
      <c r="AB840" s="32">
        <v>14887</v>
      </c>
      <c r="AC840" s="16">
        <v>8695</v>
      </c>
      <c r="AD840" s="31">
        <v>23582</v>
      </c>
      <c r="AE840" s="16">
        <v>13726</v>
      </c>
      <c r="AF840" s="16">
        <v>10086</v>
      </c>
      <c r="AG840" s="31">
        <v>23812</v>
      </c>
      <c r="AH840" s="16">
        <v>13231</v>
      </c>
      <c r="AI840" s="16">
        <v>2710</v>
      </c>
      <c r="AJ840" s="31">
        <v>15941</v>
      </c>
      <c r="AK840" s="16">
        <v>13217</v>
      </c>
      <c r="AL840" s="16">
        <v>889</v>
      </c>
      <c r="AM840" s="31">
        <v>14106</v>
      </c>
      <c r="AN840" s="16">
        <v>14196</v>
      </c>
      <c r="AO840" s="16">
        <v>11474</v>
      </c>
      <c r="AP840" s="31">
        <v>25670</v>
      </c>
      <c r="AQ840" s="42"/>
      <c r="AR840" s="43"/>
      <c r="AS840" s="42"/>
      <c r="AT840" s="42"/>
    </row>
    <row r="841" spans="1:46" ht="12.9" customHeight="1" x14ac:dyDescent="0.25">
      <c r="A841" s="28" t="s">
        <v>1713</v>
      </c>
      <c r="B841" s="29" t="s">
        <v>1714</v>
      </c>
      <c r="C841" s="30" t="s">
        <v>120</v>
      </c>
      <c r="D841" s="40">
        <v>928128</v>
      </c>
      <c r="E841" s="26">
        <v>251802</v>
      </c>
      <c r="F841" s="26">
        <f t="shared" ref="F841:F904" si="26">+D841+E841</f>
        <v>1179930</v>
      </c>
      <c r="G841" s="40">
        <v>952091</v>
      </c>
      <c r="H841" s="26">
        <v>251811</v>
      </c>
      <c r="I841" s="27">
        <f t="shared" si="25"/>
        <v>1203902</v>
      </c>
      <c r="J841" s="40">
        <v>981057</v>
      </c>
      <c r="K841" s="26">
        <v>240640</v>
      </c>
      <c r="L841" s="27">
        <v>1221697</v>
      </c>
      <c r="M841" s="26">
        <v>984578</v>
      </c>
      <c r="N841" s="26">
        <v>197600</v>
      </c>
      <c r="O841" s="27">
        <v>1182178</v>
      </c>
      <c r="P841" s="26">
        <v>999257</v>
      </c>
      <c r="Q841" s="26">
        <v>157937</v>
      </c>
      <c r="R841" s="27">
        <v>1157194</v>
      </c>
      <c r="S841" s="26">
        <v>972205</v>
      </c>
      <c r="T841" s="26">
        <v>195475</v>
      </c>
      <c r="U841" s="27">
        <v>1167680</v>
      </c>
      <c r="V841" s="26">
        <v>936381</v>
      </c>
      <c r="W841" s="26">
        <v>209826</v>
      </c>
      <c r="X841" s="31">
        <v>1146207</v>
      </c>
      <c r="Y841" s="16">
        <v>943415</v>
      </c>
      <c r="Z841" s="16">
        <v>214452</v>
      </c>
      <c r="AA841" s="31">
        <v>1157867</v>
      </c>
      <c r="AB841" s="32">
        <v>902578</v>
      </c>
      <c r="AC841" s="16">
        <v>170635</v>
      </c>
      <c r="AD841" s="31">
        <v>1073213</v>
      </c>
      <c r="AE841" s="16">
        <v>897215</v>
      </c>
      <c r="AF841" s="16">
        <v>178372</v>
      </c>
      <c r="AG841" s="31">
        <v>1075587</v>
      </c>
      <c r="AH841" s="16">
        <v>882172</v>
      </c>
      <c r="AI841" s="16">
        <v>156272</v>
      </c>
      <c r="AJ841" s="31">
        <v>1038444</v>
      </c>
      <c r="AK841" s="16">
        <v>874957</v>
      </c>
      <c r="AL841" s="16">
        <v>165228</v>
      </c>
      <c r="AM841" s="31">
        <v>1040185</v>
      </c>
      <c r="AN841" s="16">
        <v>1209609</v>
      </c>
      <c r="AO841" s="16">
        <v>207612</v>
      </c>
      <c r="AP841" s="31">
        <v>1417221</v>
      </c>
      <c r="AQ841" s="42"/>
      <c r="AR841" s="43"/>
      <c r="AS841" s="42"/>
      <c r="AT841" s="42"/>
    </row>
    <row r="842" spans="1:46" ht="12.9" customHeight="1" x14ac:dyDescent="0.25">
      <c r="A842" s="28" t="s">
        <v>1715</v>
      </c>
      <c r="B842" s="29" t="s">
        <v>1716</v>
      </c>
      <c r="C842" s="30" t="s">
        <v>34</v>
      </c>
      <c r="D842" s="40">
        <v>195608</v>
      </c>
      <c r="E842" s="26">
        <v>109167</v>
      </c>
      <c r="F842" s="26">
        <f t="shared" si="26"/>
        <v>304775</v>
      </c>
      <c r="G842" s="40">
        <v>195608</v>
      </c>
      <c r="H842" s="26">
        <v>154167</v>
      </c>
      <c r="I842" s="27">
        <f t="shared" ref="I842:I905" si="27">+G842+H842</f>
        <v>349775</v>
      </c>
      <c r="J842" s="40">
        <v>195608</v>
      </c>
      <c r="K842" s="26">
        <v>169376</v>
      </c>
      <c r="L842" s="27">
        <v>364984</v>
      </c>
      <c r="M842" s="26">
        <v>195608</v>
      </c>
      <c r="N842" s="26">
        <v>142065</v>
      </c>
      <c r="O842" s="27">
        <v>337673</v>
      </c>
      <c r="P842" s="26">
        <v>195608</v>
      </c>
      <c r="Q842" s="26">
        <v>142385</v>
      </c>
      <c r="R842" s="27">
        <v>337993</v>
      </c>
      <c r="S842" s="26">
        <v>195608</v>
      </c>
      <c r="T842" s="26">
        <v>138230</v>
      </c>
      <c r="U842" s="27">
        <v>333838</v>
      </c>
      <c r="V842" s="26">
        <v>187068</v>
      </c>
      <c r="W842" s="26">
        <v>149073</v>
      </c>
      <c r="X842" s="31">
        <v>336141</v>
      </c>
      <c r="Y842" s="16">
        <v>187068</v>
      </c>
      <c r="Z842" s="16">
        <v>147355</v>
      </c>
      <c r="AA842" s="31">
        <v>334423</v>
      </c>
      <c r="AB842" s="32">
        <v>184369</v>
      </c>
      <c r="AC842" s="16">
        <v>117995</v>
      </c>
      <c r="AD842" s="31">
        <v>302364</v>
      </c>
      <c r="AE842" s="16">
        <v>182394</v>
      </c>
      <c r="AF842" s="16">
        <v>127105</v>
      </c>
      <c r="AG842" s="31">
        <v>309499</v>
      </c>
      <c r="AH842" s="16">
        <v>177429</v>
      </c>
      <c r="AI842" s="16">
        <v>140086</v>
      </c>
      <c r="AJ842" s="31">
        <v>317515</v>
      </c>
      <c r="AK842" s="16">
        <v>178377</v>
      </c>
      <c r="AL842" s="16">
        <v>111591</v>
      </c>
      <c r="AM842" s="31">
        <v>289968</v>
      </c>
      <c r="AN842" s="16">
        <v>176760.5</v>
      </c>
      <c r="AO842" s="16">
        <v>101953.5</v>
      </c>
      <c r="AP842" s="31">
        <v>278714</v>
      </c>
      <c r="AQ842" s="42"/>
      <c r="AR842" s="43"/>
      <c r="AS842" s="42"/>
      <c r="AT842" s="42"/>
    </row>
    <row r="843" spans="1:46" ht="12.9" customHeight="1" x14ac:dyDescent="0.25">
      <c r="A843" s="28" t="s">
        <v>1717</v>
      </c>
      <c r="B843" s="29" t="s">
        <v>1718</v>
      </c>
      <c r="C843" s="30" t="s">
        <v>281</v>
      </c>
      <c r="D843" s="40">
        <v>17880</v>
      </c>
      <c r="E843" s="26">
        <v>115041</v>
      </c>
      <c r="F843" s="26">
        <f t="shared" si="26"/>
        <v>132921</v>
      </c>
      <c r="G843" s="40">
        <v>17395</v>
      </c>
      <c r="H843" s="26">
        <v>130422</v>
      </c>
      <c r="I843" s="27">
        <f t="shared" si="27"/>
        <v>147817</v>
      </c>
      <c r="J843" s="40">
        <v>20064</v>
      </c>
      <c r="K843" s="26">
        <v>109155</v>
      </c>
      <c r="L843" s="27">
        <v>129219</v>
      </c>
      <c r="M843" s="26">
        <v>20179</v>
      </c>
      <c r="N843" s="26">
        <v>104175</v>
      </c>
      <c r="O843" s="27">
        <v>124354</v>
      </c>
      <c r="P843" s="26">
        <v>20286</v>
      </c>
      <c r="Q843" s="26">
        <v>100390</v>
      </c>
      <c r="R843" s="27">
        <v>120676</v>
      </c>
      <c r="S843" s="26">
        <v>18837</v>
      </c>
      <c r="T843" s="26">
        <v>102078</v>
      </c>
      <c r="U843" s="27">
        <v>120915</v>
      </c>
      <c r="V843" s="26">
        <v>17603</v>
      </c>
      <c r="W843" s="26">
        <v>113897</v>
      </c>
      <c r="X843" s="31">
        <v>131500</v>
      </c>
      <c r="Y843" s="16">
        <v>18227</v>
      </c>
      <c r="Z843" s="16">
        <v>110045</v>
      </c>
      <c r="AA843" s="31">
        <v>128272</v>
      </c>
      <c r="AB843" s="32">
        <v>25204</v>
      </c>
      <c r="AC843" s="16">
        <v>130206</v>
      </c>
      <c r="AD843" s="31">
        <v>155410</v>
      </c>
      <c r="AE843" s="16">
        <v>17345</v>
      </c>
      <c r="AF843" s="16">
        <v>75603</v>
      </c>
      <c r="AG843" s="31">
        <v>92948</v>
      </c>
      <c r="AH843" s="32" t="s">
        <v>160</v>
      </c>
      <c r="AI843" s="32" t="s">
        <v>160</v>
      </c>
      <c r="AJ843" s="31">
        <v>0</v>
      </c>
      <c r="AK843" s="16">
        <v>20547</v>
      </c>
      <c r="AL843" s="16">
        <v>0</v>
      </c>
      <c r="AM843" s="31">
        <v>20547</v>
      </c>
      <c r="AN843" s="16">
        <v>21238</v>
      </c>
      <c r="AO843" s="16">
        <v>0</v>
      </c>
      <c r="AP843" s="31">
        <v>21238</v>
      </c>
      <c r="AQ843" s="42"/>
      <c r="AR843" s="43"/>
      <c r="AS843" s="42"/>
      <c r="AT843" s="42"/>
    </row>
    <row r="844" spans="1:46" ht="12.9" customHeight="1" x14ac:dyDescent="0.25">
      <c r="A844" s="28" t="s">
        <v>1719</v>
      </c>
      <c r="B844" s="29" t="s">
        <v>1720</v>
      </c>
      <c r="C844" s="30" t="s">
        <v>215</v>
      </c>
      <c r="D844" s="40">
        <v>70081</v>
      </c>
      <c r="E844" s="26">
        <v>25105</v>
      </c>
      <c r="F844" s="26">
        <f t="shared" si="26"/>
        <v>95186</v>
      </c>
      <c r="G844" s="40">
        <v>62051</v>
      </c>
      <c r="H844" s="26">
        <v>22822</v>
      </c>
      <c r="I844" s="27">
        <f t="shared" si="27"/>
        <v>84873</v>
      </c>
      <c r="J844" s="40">
        <v>76061</v>
      </c>
      <c r="K844" s="26">
        <v>20568</v>
      </c>
      <c r="L844" s="27">
        <v>96629</v>
      </c>
      <c r="M844" s="26">
        <v>76061</v>
      </c>
      <c r="N844" s="26">
        <v>23946</v>
      </c>
      <c r="O844" s="27">
        <v>100007</v>
      </c>
      <c r="P844" s="26">
        <v>76061</v>
      </c>
      <c r="Q844" s="26">
        <v>25262</v>
      </c>
      <c r="R844" s="27">
        <v>101323</v>
      </c>
      <c r="S844" s="26">
        <v>76061</v>
      </c>
      <c r="T844" s="26">
        <v>30224</v>
      </c>
      <c r="U844" s="27">
        <v>106285</v>
      </c>
      <c r="V844" s="26">
        <v>81329</v>
      </c>
      <c r="W844" s="26">
        <v>37939</v>
      </c>
      <c r="X844" s="31">
        <v>119268</v>
      </c>
      <c r="Y844" s="16">
        <v>72801</v>
      </c>
      <c r="Z844" s="16">
        <v>36011</v>
      </c>
      <c r="AA844" s="31">
        <v>108812</v>
      </c>
      <c r="AB844" s="32">
        <v>77215</v>
      </c>
      <c r="AC844" s="16">
        <v>24587</v>
      </c>
      <c r="AD844" s="31">
        <v>101802</v>
      </c>
      <c r="AE844" s="16">
        <v>71346</v>
      </c>
      <c r="AF844" s="16">
        <v>34574</v>
      </c>
      <c r="AG844" s="31">
        <v>105920</v>
      </c>
      <c r="AH844" s="16">
        <v>89406</v>
      </c>
      <c r="AI844" s="16">
        <v>36971</v>
      </c>
      <c r="AJ844" s="31">
        <v>126377</v>
      </c>
      <c r="AK844" s="16">
        <v>89406</v>
      </c>
      <c r="AL844" s="16">
        <v>39540</v>
      </c>
      <c r="AM844" s="31">
        <v>128946</v>
      </c>
      <c r="AN844" s="16">
        <v>89406</v>
      </c>
      <c r="AO844" s="16">
        <v>36059</v>
      </c>
      <c r="AP844" s="31">
        <v>125465</v>
      </c>
      <c r="AQ844" s="42"/>
      <c r="AR844" s="43"/>
      <c r="AS844" s="42"/>
      <c r="AT844" s="42"/>
    </row>
    <row r="845" spans="1:46" ht="12.9" customHeight="1" x14ac:dyDescent="0.25">
      <c r="A845" s="28" t="s">
        <v>1721</v>
      </c>
      <c r="B845" s="29" t="s">
        <v>1722</v>
      </c>
      <c r="C845" s="30" t="s">
        <v>14</v>
      </c>
      <c r="D845" s="40">
        <v>34577</v>
      </c>
      <c r="E845" s="26">
        <v>8214</v>
      </c>
      <c r="F845" s="26">
        <f t="shared" si="26"/>
        <v>42791</v>
      </c>
      <c r="G845" s="40">
        <v>31076</v>
      </c>
      <c r="H845" s="26">
        <v>9714</v>
      </c>
      <c r="I845" s="27">
        <f t="shared" si="27"/>
        <v>40790</v>
      </c>
      <c r="J845" s="40">
        <v>30790</v>
      </c>
      <c r="K845" s="26">
        <v>12229</v>
      </c>
      <c r="L845" s="27">
        <v>43019</v>
      </c>
      <c r="M845" s="26">
        <v>32740</v>
      </c>
      <c r="N845" s="26">
        <v>13042</v>
      </c>
      <c r="O845" s="27">
        <v>45782</v>
      </c>
      <c r="P845" s="26">
        <v>30240</v>
      </c>
      <c r="Q845" s="26">
        <v>9710</v>
      </c>
      <c r="R845" s="27">
        <v>39950</v>
      </c>
      <c r="S845" s="26">
        <v>29572</v>
      </c>
      <c r="T845" s="26">
        <v>10034</v>
      </c>
      <c r="U845" s="27">
        <v>39606</v>
      </c>
      <c r="V845" s="26">
        <v>28226</v>
      </c>
      <c r="W845" s="26">
        <v>14812</v>
      </c>
      <c r="X845" s="31">
        <v>43038</v>
      </c>
      <c r="Y845" s="16">
        <v>28479</v>
      </c>
      <c r="Z845" s="16">
        <v>12213</v>
      </c>
      <c r="AA845" s="31">
        <v>40692</v>
      </c>
      <c r="AB845" s="32">
        <v>29251</v>
      </c>
      <c r="AC845" s="16">
        <v>12382</v>
      </c>
      <c r="AD845" s="31">
        <v>41633</v>
      </c>
      <c r="AE845" s="16">
        <v>31447</v>
      </c>
      <c r="AF845" s="16">
        <v>17574</v>
      </c>
      <c r="AG845" s="31">
        <v>49021</v>
      </c>
      <c r="AH845" s="16">
        <v>29819</v>
      </c>
      <c r="AI845" s="16">
        <v>22403</v>
      </c>
      <c r="AJ845" s="31">
        <v>52222</v>
      </c>
      <c r="AK845" s="16">
        <v>30319</v>
      </c>
      <c r="AL845" s="16">
        <v>17240</v>
      </c>
      <c r="AM845" s="31">
        <v>47559</v>
      </c>
      <c r="AN845" s="16">
        <v>28152</v>
      </c>
      <c r="AO845" s="16">
        <v>19646</v>
      </c>
      <c r="AP845" s="31">
        <v>47798</v>
      </c>
      <c r="AQ845" s="42"/>
      <c r="AR845" s="43"/>
      <c r="AS845" s="42"/>
      <c r="AT845" s="42"/>
    </row>
    <row r="846" spans="1:46" ht="12.9" customHeight="1" x14ac:dyDescent="0.25">
      <c r="A846" s="28" t="s">
        <v>1723</v>
      </c>
      <c r="B846" s="29" t="s">
        <v>1724</v>
      </c>
      <c r="C846" s="30" t="s">
        <v>191</v>
      </c>
      <c r="D846" s="40">
        <v>39700</v>
      </c>
      <c r="E846" s="26">
        <v>42427</v>
      </c>
      <c r="F846" s="26">
        <f t="shared" si="26"/>
        <v>82127</v>
      </c>
      <c r="G846" s="40">
        <v>39650</v>
      </c>
      <c r="H846" s="26">
        <v>50382</v>
      </c>
      <c r="I846" s="27">
        <f t="shared" si="27"/>
        <v>90032</v>
      </c>
      <c r="J846" s="40">
        <v>48107</v>
      </c>
      <c r="K846" s="26">
        <v>66347</v>
      </c>
      <c r="L846" s="27">
        <v>114454</v>
      </c>
      <c r="M846" s="26">
        <v>44601</v>
      </c>
      <c r="N846" s="26">
        <v>64230</v>
      </c>
      <c r="O846" s="27">
        <v>108831</v>
      </c>
      <c r="P846" s="26">
        <v>45049</v>
      </c>
      <c r="Q846" s="26">
        <v>56386</v>
      </c>
      <c r="R846" s="27">
        <v>101435</v>
      </c>
      <c r="S846" s="26">
        <v>40938</v>
      </c>
      <c r="T846" s="26">
        <v>71759</v>
      </c>
      <c r="U846" s="27">
        <v>112697</v>
      </c>
      <c r="V846" s="26">
        <v>41729</v>
      </c>
      <c r="W846" s="26">
        <v>63523</v>
      </c>
      <c r="X846" s="31">
        <v>105252</v>
      </c>
      <c r="Y846" s="16">
        <v>42330</v>
      </c>
      <c r="Z846" s="16">
        <v>67812</v>
      </c>
      <c r="AA846" s="31">
        <v>110142</v>
      </c>
      <c r="AB846" s="32">
        <v>42723</v>
      </c>
      <c r="AC846" s="16">
        <v>66990</v>
      </c>
      <c r="AD846" s="31">
        <v>109713</v>
      </c>
      <c r="AE846" s="16">
        <v>38378</v>
      </c>
      <c r="AF846" s="16">
        <v>69127</v>
      </c>
      <c r="AG846" s="31">
        <v>107505</v>
      </c>
      <c r="AH846" s="16">
        <v>37569</v>
      </c>
      <c r="AI846" s="16">
        <v>71481</v>
      </c>
      <c r="AJ846" s="31">
        <v>109050</v>
      </c>
      <c r="AK846" s="16">
        <v>37446</v>
      </c>
      <c r="AL846" s="16">
        <v>78717</v>
      </c>
      <c r="AM846" s="31">
        <v>116163</v>
      </c>
      <c r="AN846" s="16">
        <v>39461</v>
      </c>
      <c r="AO846" s="16">
        <v>81009</v>
      </c>
      <c r="AP846" s="31">
        <v>120470</v>
      </c>
      <c r="AQ846" s="42"/>
      <c r="AR846" s="43"/>
      <c r="AS846" s="42"/>
      <c r="AT846" s="42"/>
    </row>
    <row r="847" spans="1:46" ht="12.9" customHeight="1" x14ac:dyDescent="0.25">
      <c r="A847" s="28" t="s">
        <v>1725</v>
      </c>
      <c r="B847" s="29" t="s">
        <v>1726</v>
      </c>
      <c r="C847" s="30" t="s">
        <v>191</v>
      </c>
      <c r="D847" s="40">
        <v>118916</v>
      </c>
      <c r="E847" s="26">
        <v>22191</v>
      </c>
      <c r="F847" s="26">
        <f t="shared" si="26"/>
        <v>141107</v>
      </c>
      <c r="G847" s="40">
        <v>124692</v>
      </c>
      <c r="H847" s="26">
        <v>21132</v>
      </c>
      <c r="I847" s="27">
        <f t="shared" si="27"/>
        <v>145824</v>
      </c>
      <c r="J847" s="40">
        <v>126788</v>
      </c>
      <c r="K847" s="26">
        <v>19237</v>
      </c>
      <c r="L847" s="27">
        <v>146025</v>
      </c>
      <c r="M847" s="26">
        <v>123832</v>
      </c>
      <c r="N847" s="26">
        <v>19168</v>
      </c>
      <c r="O847" s="27">
        <v>143000</v>
      </c>
      <c r="P847" s="26">
        <v>132273</v>
      </c>
      <c r="Q847" s="26">
        <v>18356</v>
      </c>
      <c r="R847" s="27">
        <v>150629</v>
      </c>
      <c r="S847" s="26">
        <v>118811</v>
      </c>
      <c r="T847" s="26">
        <v>21776</v>
      </c>
      <c r="U847" s="27">
        <v>140587</v>
      </c>
      <c r="V847" s="26">
        <v>109065</v>
      </c>
      <c r="W847" s="26">
        <v>23026</v>
      </c>
      <c r="X847" s="31">
        <v>132091</v>
      </c>
      <c r="Y847" s="16">
        <v>110812</v>
      </c>
      <c r="Z847" s="16">
        <v>21302</v>
      </c>
      <c r="AA847" s="31">
        <v>132114</v>
      </c>
      <c r="AB847" s="32">
        <v>103633</v>
      </c>
      <c r="AC847" s="16">
        <v>18346</v>
      </c>
      <c r="AD847" s="31">
        <v>121979</v>
      </c>
      <c r="AE847" s="16">
        <v>105891</v>
      </c>
      <c r="AF847" s="16">
        <v>14700</v>
      </c>
      <c r="AG847" s="31">
        <v>120591</v>
      </c>
      <c r="AH847" s="16">
        <v>106488</v>
      </c>
      <c r="AI847" s="16">
        <v>16486</v>
      </c>
      <c r="AJ847" s="31">
        <v>122974</v>
      </c>
      <c r="AK847" s="16">
        <v>109369</v>
      </c>
      <c r="AL847" s="16">
        <v>10677</v>
      </c>
      <c r="AM847" s="31">
        <v>120046</v>
      </c>
      <c r="AN847" s="16">
        <v>123558</v>
      </c>
      <c r="AO847" s="16">
        <v>21795</v>
      </c>
      <c r="AP847" s="31">
        <v>145353</v>
      </c>
      <c r="AQ847" s="42"/>
      <c r="AR847" s="43"/>
      <c r="AS847" s="42"/>
      <c r="AT847" s="42"/>
    </row>
    <row r="848" spans="1:46" ht="12.9" customHeight="1" x14ac:dyDescent="0.25">
      <c r="A848" s="28" t="s">
        <v>1727</v>
      </c>
      <c r="B848" s="29" t="s">
        <v>1728</v>
      </c>
      <c r="C848" s="30" t="s">
        <v>11</v>
      </c>
      <c r="D848" s="40">
        <v>237393</v>
      </c>
      <c r="E848" s="26">
        <v>26712</v>
      </c>
      <c r="F848" s="26">
        <f t="shared" si="26"/>
        <v>264105</v>
      </c>
      <c r="G848" s="40">
        <v>265092</v>
      </c>
      <c r="H848" s="26">
        <v>27677</v>
      </c>
      <c r="I848" s="27">
        <f t="shared" si="27"/>
        <v>292769</v>
      </c>
      <c r="J848" s="40">
        <v>283413</v>
      </c>
      <c r="K848" s="26">
        <v>33120</v>
      </c>
      <c r="L848" s="27">
        <v>316533</v>
      </c>
      <c r="M848" s="26">
        <v>301740</v>
      </c>
      <c r="N848" s="26">
        <v>30435</v>
      </c>
      <c r="O848" s="27">
        <v>332175</v>
      </c>
      <c r="P848" s="26">
        <v>300665</v>
      </c>
      <c r="Q848" s="26">
        <v>27068</v>
      </c>
      <c r="R848" s="27">
        <v>327733</v>
      </c>
      <c r="S848" s="26">
        <v>259479</v>
      </c>
      <c r="T848" s="26">
        <v>44148</v>
      </c>
      <c r="U848" s="27">
        <v>303627</v>
      </c>
      <c r="V848" s="26">
        <v>252665</v>
      </c>
      <c r="W848" s="26">
        <v>34653</v>
      </c>
      <c r="X848" s="31">
        <v>287318</v>
      </c>
      <c r="Y848" s="16">
        <v>261357</v>
      </c>
      <c r="Z848" s="16">
        <v>41196</v>
      </c>
      <c r="AA848" s="31">
        <v>302553</v>
      </c>
      <c r="AB848" s="32">
        <v>250157</v>
      </c>
      <c r="AC848" s="16">
        <v>32496</v>
      </c>
      <c r="AD848" s="31">
        <v>282653</v>
      </c>
      <c r="AE848" s="16">
        <v>244630</v>
      </c>
      <c r="AF848" s="16">
        <v>36576</v>
      </c>
      <c r="AG848" s="31">
        <v>281206</v>
      </c>
      <c r="AH848" s="16">
        <v>241465</v>
      </c>
      <c r="AI848" s="16">
        <v>32086</v>
      </c>
      <c r="AJ848" s="31">
        <v>273551</v>
      </c>
      <c r="AK848" s="16">
        <v>244691</v>
      </c>
      <c r="AL848" s="16">
        <v>33124</v>
      </c>
      <c r="AM848" s="31">
        <v>277815</v>
      </c>
      <c r="AN848" s="16">
        <v>262489</v>
      </c>
      <c r="AO848" s="16">
        <v>28258</v>
      </c>
      <c r="AP848" s="31">
        <v>290747</v>
      </c>
      <c r="AQ848" s="42"/>
      <c r="AR848" s="43"/>
      <c r="AS848" s="42"/>
      <c r="AT848" s="42"/>
    </row>
    <row r="849" spans="1:46" ht="12.9" customHeight="1" x14ac:dyDescent="0.25">
      <c r="A849" s="28" t="s">
        <v>1729</v>
      </c>
      <c r="B849" s="29" t="s">
        <v>1730</v>
      </c>
      <c r="C849" s="30" t="s">
        <v>59</v>
      </c>
      <c r="D849" s="40">
        <v>24954</v>
      </c>
      <c r="E849" s="26">
        <v>23894</v>
      </c>
      <c r="F849" s="26">
        <f t="shared" si="26"/>
        <v>48848</v>
      </c>
      <c r="G849" s="40">
        <v>23615</v>
      </c>
      <c r="H849" s="26">
        <v>29830</v>
      </c>
      <c r="I849" s="27">
        <f t="shared" si="27"/>
        <v>53445</v>
      </c>
      <c r="J849" s="40">
        <v>33077</v>
      </c>
      <c r="K849" s="26">
        <v>30565</v>
      </c>
      <c r="L849" s="27">
        <v>63642</v>
      </c>
      <c r="M849" s="26">
        <v>39063</v>
      </c>
      <c r="N849" s="26">
        <v>27711</v>
      </c>
      <c r="O849" s="27">
        <v>66774</v>
      </c>
      <c r="P849" s="26">
        <v>29466</v>
      </c>
      <c r="Q849" s="26">
        <v>23704</v>
      </c>
      <c r="R849" s="27">
        <v>53170</v>
      </c>
      <c r="S849" s="26">
        <v>29274</v>
      </c>
      <c r="T849" s="26">
        <v>35805</v>
      </c>
      <c r="U849" s="27">
        <v>65079</v>
      </c>
      <c r="V849" s="26">
        <v>31297</v>
      </c>
      <c r="W849" s="26">
        <v>33292</v>
      </c>
      <c r="X849" s="31">
        <v>64589</v>
      </c>
      <c r="Y849" s="16">
        <v>37002</v>
      </c>
      <c r="Z849" s="16">
        <v>29938</v>
      </c>
      <c r="AA849" s="31">
        <v>66940</v>
      </c>
      <c r="AB849" s="32">
        <v>28914</v>
      </c>
      <c r="AC849" s="16">
        <v>33878</v>
      </c>
      <c r="AD849" s="31">
        <v>62792</v>
      </c>
      <c r="AE849" s="16">
        <v>28914</v>
      </c>
      <c r="AF849" s="16">
        <v>37675</v>
      </c>
      <c r="AG849" s="31">
        <v>66589</v>
      </c>
      <c r="AH849" s="16">
        <v>28052</v>
      </c>
      <c r="AI849" s="16">
        <v>27748</v>
      </c>
      <c r="AJ849" s="31">
        <v>55800</v>
      </c>
      <c r="AK849" s="16">
        <v>27768</v>
      </c>
      <c r="AL849" s="16">
        <v>28230</v>
      </c>
      <c r="AM849" s="31">
        <v>55998</v>
      </c>
      <c r="AN849" s="16">
        <v>29216</v>
      </c>
      <c r="AO849" s="16">
        <v>33414</v>
      </c>
      <c r="AP849" s="31">
        <v>62630</v>
      </c>
      <c r="AQ849" s="42"/>
      <c r="AR849" s="43"/>
      <c r="AS849" s="42"/>
      <c r="AT849" s="42"/>
    </row>
    <row r="850" spans="1:46" ht="12.9" customHeight="1" x14ac:dyDescent="0.25">
      <c r="A850" s="28" t="s">
        <v>1731</v>
      </c>
      <c r="B850" s="29" t="s">
        <v>1732</v>
      </c>
      <c r="C850" s="30" t="s">
        <v>34</v>
      </c>
      <c r="D850" s="40">
        <v>99516</v>
      </c>
      <c r="E850" s="26">
        <v>51804</v>
      </c>
      <c r="F850" s="26">
        <f t="shared" si="26"/>
        <v>151320</v>
      </c>
      <c r="G850" s="40">
        <v>99708</v>
      </c>
      <c r="H850" s="26">
        <v>59081</v>
      </c>
      <c r="I850" s="27">
        <f t="shared" si="27"/>
        <v>158789</v>
      </c>
      <c r="J850" s="40">
        <v>99708</v>
      </c>
      <c r="K850" s="26">
        <v>67743</v>
      </c>
      <c r="L850" s="27">
        <v>167451</v>
      </c>
      <c r="M850" s="26">
        <v>109428</v>
      </c>
      <c r="N850" s="26">
        <v>56037</v>
      </c>
      <c r="O850" s="27">
        <v>165465</v>
      </c>
      <c r="P850" s="26">
        <v>107744</v>
      </c>
      <c r="Q850" s="26">
        <v>35104</v>
      </c>
      <c r="R850" s="27">
        <v>142848</v>
      </c>
      <c r="S850" s="26">
        <v>106976</v>
      </c>
      <c r="T850" s="26">
        <v>19080</v>
      </c>
      <c r="U850" s="27">
        <v>126056</v>
      </c>
      <c r="V850" s="26">
        <v>108623</v>
      </c>
      <c r="W850" s="26">
        <v>21856</v>
      </c>
      <c r="X850" s="31">
        <v>130479</v>
      </c>
      <c r="Y850" s="16">
        <v>117732</v>
      </c>
      <c r="Z850" s="16">
        <v>30216</v>
      </c>
      <c r="AA850" s="31">
        <v>147948</v>
      </c>
      <c r="AB850" s="32">
        <v>116136</v>
      </c>
      <c r="AC850" s="16">
        <v>18873</v>
      </c>
      <c r="AD850" s="31">
        <v>135009</v>
      </c>
      <c r="AE850" s="16">
        <v>115631</v>
      </c>
      <c r="AF850" s="16">
        <v>16380</v>
      </c>
      <c r="AG850" s="31">
        <v>132011</v>
      </c>
      <c r="AH850" s="16">
        <v>113849</v>
      </c>
      <c r="AI850" s="16">
        <v>16433</v>
      </c>
      <c r="AJ850" s="31">
        <v>130282</v>
      </c>
      <c r="AK850" s="16">
        <v>112514</v>
      </c>
      <c r="AL850" s="16">
        <v>15650</v>
      </c>
      <c r="AM850" s="31">
        <v>128164</v>
      </c>
      <c r="AN850" s="16">
        <v>75956</v>
      </c>
      <c r="AO850" s="16">
        <v>10800</v>
      </c>
      <c r="AP850" s="31">
        <v>86756</v>
      </c>
      <c r="AQ850" s="42"/>
      <c r="AR850" s="43"/>
      <c r="AS850" s="42"/>
      <c r="AT850" s="42"/>
    </row>
    <row r="851" spans="1:46" ht="12.9" customHeight="1" x14ac:dyDescent="0.25">
      <c r="A851" s="28" t="s">
        <v>1733</v>
      </c>
      <c r="B851" s="29" t="s">
        <v>1734</v>
      </c>
      <c r="C851" s="30" t="s">
        <v>34</v>
      </c>
      <c r="D851" s="40">
        <v>16567</v>
      </c>
      <c r="E851" s="26">
        <v>17762</v>
      </c>
      <c r="F851" s="26">
        <f t="shared" si="26"/>
        <v>34329</v>
      </c>
      <c r="G851" s="40">
        <v>19498</v>
      </c>
      <c r="H851" s="26">
        <v>18918</v>
      </c>
      <c r="I851" s="27">
        <f t="shared" si="27"/>
        <v>38416</v>
      </c>
      <c r="J851" s="40">
        <v>15671</v>
      </c>
      <c r="K851" s="26">
        <v>17463</v>
      </c>
      <c r="L851" s="27">
        <v>33134</v>
      </c>
      <c r="M851" s="26">
        <v>14339</v>
      </c>
      <c r="N851" s="26">
        <v>17897</v>
      </c>
      <c r="O851" s="27">
        <v>32236</v>
      </c>
      <c r="P851" s="26">
        <v>13995</v>
      </c>
      <c r="Q851" s="26">
        <v>18984</v>
      </c>
      <c r="R851" s="27">
        <v>32979</v>
      </c>
      <c r="S851" s="26">
        <v>15061</v>
      </c>
      <c r="T851" s="26">
        <v>21883</v>
      </c>
      <c r="U851" s="27">
        <v>36944</v>
      </c>
      <c r="V851" s="26">
        <v>12944</v>
      </c>
      <c r="W851" s="26">
        <v>19551</v>
      </c>
      <c r="X851" s="31">
        <v>32495</v>
      </c>
      <c r="Y851" s="16">
        <v>13431</v>
      </c>
      <c r="Z851" s="16">
        <v>24253</v>
      </c>
      <c r="AA851" s="31">
        <v>37684</v>
      </c>
      <c r="AB851" s="32">
        <v>13431</v>
      </c>
      <c r="AC851" s="16">
        <v>27522</v>
      </c>
      <c r="AD851" s="31">
        <v>40953</v>
      </c>
      <c r="AE851" s="16">
        <v>13431</v>
      </c>
      <c r="AF851" s="16">
        <v>29478</v>
      </c>
      <c r="AG851" s="31">
        <v>42909</v>
      </c>
      <c r="AH851" s="16">
        <v>19043</v>
      </c>
      <c r="AI851" s="16">
        <v>21844</v>
      </c>
      <c r="AJ851" s="31">
        <v>40887</v>
      </c>
      <c r="AK851" s="16">
        <v>19043</v>
      </c>
      <c r="AL851" s="16">
        <v>22052</v>
      </c>
      <c r="AM851" s="31">
        <v>41095</v>
      </c>
      <c r="AN851" s="16">
        <v>19043</v>
      </c>
      <c r="AO851" s="16">
        <v>81718</v>
      </c>
      <c r="AP851" s="31">
        <v>100761</v>
      </c>
      <c r="AQ851" s="42"/>
      <c r="AR851" s="43"/>
      <c r="AS851" s="42"/>
      <c r="AT851" s="42"/>
    </row>
    <row r="852" spans="1:46" ht="12.9" customHeight="1" x14ac:dyDescent="0.25">
      <c r="A852" s="28" t="s">
        <v>1735</v>
      </c>
      <c r="B852" s="29" t="s">
        <v>1736</v>
      </c>
      <c r="C852" s="30" t="s">
        <v>23</v>
      </c>
      <c r="D852" s="40">
        <v>36503</v>
      </c>
      <c r="E852" s="26">
        <v>28663</v>
      </c>
      <c r="F852" s="26">
        <f t="shared" si="26"/>
        <v>65166</v>
      </c>
      <c r="G852" s="40">
        <v>41176</v>
      </c>
      <c r="H852" s="26">
        <v>37992</v>
      </c>
      <c r="I852" s="27">
        <f t="shared" si="27"/>
        <v>79168</v>
      </c>
      <c r="J852" s="40">
        <v>42822</v>
      </c>
      <c r="K852" s="26">
        <v>42945</v>
      </c>
      <c r="L852" s="27">
        <v>85767</v>
      </c>
      <c r="M852" s="26">
        <v>43486</v>
      </c>
      <c r="N852" s="26">
        <v>39462</v>
      </c>
      <c r="O852" s="27">
        <v>82948</v>
      </c>
      <c r="P852" s="26">
        <v>47621</v>
      </c>
      <c r="Q852" s="26">
        <v>30324</v>
      </c>
      <c r="R852" s="27">
        <v>77945</v>
      </c>
      <c r="S852" s="26">
        <v>49843</v>
      </c>
      <c r="T852" s="26">
        <v>42703</v>
      </c>
      <c r="U852" s="27">
        <v>92546</v>
      </c>
      <c r="V852" s="26">
        <v>46534</v>
      </c>
      <c r="W852" s="26">
        <v>33381</v>
      </c>
      <c r="X852" s="31">
        <v>79915</v>
      </c>
      <c r="Y852" s="16">
        <v>41380</v>
      </c>
      <c r="Z852" s="16">
        <v>36141</v>
      </c>
      <c r="AA852" s="31">
        <v>77521</v>
      </c>
      <c r="AB852" s="32">
        <v>46429</v>
      </c>
      <c r="AC852" s="16">
        <v>32495</v>
      </c>
      <c r="AD852" s="31">
        <v>78924</v>
      </c>
      <c r="AE852" s="16">
        <v>44394</v>
      </c>
      <c r="AF852" s="16">
        <v>33281</v>
      </c>
      <c r="AG852" s="31">
        <v>77675</v>
      </c>
      <c r="AH852" s="16">
        <v>52538</v>
      </c>
      <c r="AI852" s="16">
        <v>36164</v>
      </c>
      <c r="AJ852" s="31">
        <v>88702</v>
      </c>
      <c r="AK852" s="16">
        <v>52538</v>
      </c>
      <c r="AL852" s="16">
        <v>39909</v>
      </c>
      <c r="AM852" s="31">
        <v>92447</v>
      </c>
      <c r="AN852" s="16">
        <v>52538</v>
      </c>
      <c r="AO852" s="16">
        <v>34391</v>
      </c>
      <c r="AP852" s="31">
        <v>86929</v>
      </c>
      <c r="AQ852" s="42"/>
      <c r="AR852" s="43"/>
      <c r="AS852" s="42"/>
      <c r="AT852" s="42"/>
    </row>
    <row r="853" spans="1:46" ht="12.9" customHeight="1" x14ac:dyDescent="0.25">
      <c r="A853" s="28" t="s">
        <v>1737</v>
      </c>
      <c r="B853" s="29" t="s">
        <v>1738</v>
      </c>
      <c r="C853" s="30" t="s">
        <v>59</v>
      </c>
      <c r="D853" s="40">
        <v>761323</v>
      </c>
      <c r="E853" s="26">
        <v>692333</v>
      </c>
      <c r="F853" s="26">
        <f t="shared" si="26"/>
        <v>1453656</v>
      </c>
      <c r="G853" s="40">
        <v>777714</v>
      </c>
      <c r="H853" s="26">
        <v>708872</v>
      </c>
      <c r="I853" s="27">
        <f t="shared" si="27"/>
        <v>1486586</v>
      </c>
      <c r="J853" s="40">
        <v>884151</v>
      </c>
      <c r="K853" s="26">
        <v>801749</v>
      </c>
      <c r="L853" s="27">
        <v>1685900</v>
      </c>
      <c r="M853" s="26">
        <v>840090</v>
      </c>
      <c r="N853" s="26">
        <v>539093</v>
      </c>
      <c r="O853" s="27">
        <v>1379183</v>
      </c>
      <c r="P853" s="26">
        <v>792132</v>
      </c>
      <c r="Q853" s="26">
        <v>566433</v>
      </c>
      <c r="R853" s="27">
        <v>1358565</v>
      </c>
      <c r="S853" s="26">
        <v>823752</v>
      </c>
      <c r="T853" s="26">
        <v>652483</v>
      </c>
      <c r="U853" s="27">
        <v>1476235</v>
      </c>
      <c r="V853" s="26">
        <v>778469</v>
      </c>
      <c r="W853" s="26">
        <v>660651</v>
      </c>
      <c r="X853" s="31">
        <v>1439120</v>
      </c>
      <c r="Y853" s="16">
        <v>827328</v>
      </c>
      <c r="Z853" s="16">
        <v>699226</v>
      </c>
      <c r="AA853" s="31">
        <v>1526554</v>
      </c>
      <c r="AB853" s="32">
        <v>838352</v>
      </c>
      <c r="AC853" s="16">
        <v>634623</v>
      </c>
      <c r="AD853" s="31">
        <v>1472975</v>
      </c>
      <c r="AE853" s="16">
        <v>801066</v>
      </c>
      <c r="AF853" s="16">
        <v>620987</v>
      </c>
      <c r="AG853" s="31">
        <v>1422053</v>
      </c>
      <c r="AH853" s="16">
        <v>778076</v>
      </c>
      <c r="AI853" s="16">
        <v>583824</v>
      </c>
      <c r="AJ853" s="31">
        <v>1361900</v>
      </c>
      <c r="AK853" s="16">
        <v>713829.50533424679</v>
      </c>
      <c r="AL853" s="16">
        <v>530261</v>
      </c>
      <c r="AM853" s="31">
        <v>1244090.5053342469</v>
      </c>
      <c r="AN853" s="16">
        <v>783132</v>
      </c>
      <c r="AO853" s="16">
        <v>610446</v>
      </c>
      <c r="AP853" s="31">
        <v>1393578</v>
      </c>
      <c r="AQ853" s="42"/>
      <c r="AR853" s="43"/>
      <c r="AS853" s="42"/>
      <c r="AT853" s="42"/>
    </row>
    <row r="854" spans="1:46" ht="12.9" customHeight="1" x14ac:dyDescent="0.25">
      <c r="A854" s="28" t="s">
        <v>1739</v>
      </c>
      <c r="B854" s="29" t="s">
        <v>1740</v>
      </c>
      <c r="C854" s="30" t="s">
        <v>249</v>
      </c>
      <c r="D854" s="40">
        <v>6251</v>
      </c>
      <c r="E854" s="26">
        <v>312</v>
      </c>
      <c r="F854" s="26">
        <f t="shared" si="26"/>
        <v>6563</v>
      </c>
      <c r="G854" s="40">
        <v>7031</v>
      </c>
      <c r="H854" s="26">
        <v>288</v>
      </c>
      <c r="I854" s="27">
        <f t="shared" si="27"/>
        <v>7319</v>
      </c>
      <c r="J854" s="40">
        <v>7386</v>
      </c>
      <c r="K854" s="26">
        <v>656</v>
      </c>
      <c r="L854" s="27">
        <v>8042</v>
      </c>
      <c r="M854" s="26">
        <v>7560</v>
      </c>
      <c r="N854" s="26">
        <v>710</v>
      </c>
      <c r="O854" s="27">
        <v>8270</v>
      </c>
      <c r="P854" s="26">
        <v>7180</v>
      </c>
      <c r="Q854" s="26">
        <v>724</v>
      </c>
      <c r="R854" s="27">
        <v>7904</v>
      </c>
      <c r="S854" s="26">
        <v>7115</v>
      </c>
      <c r="T854" s="26">
        <v>560</v>
      </c>
      <c r="U854" s="27">
        <v>7675</v>
      </c>
      <c r="V854" s="26">
        <v>7145</v>
      </c>
      <c r="W854" s="26">
        <v>484</v>
      </c>
      <c r="X854" s="31">
        <v>7629</v>
      </c>
      <c r="Y854" s="16">
        <v>6699</v>
      </c>
      <c r="Z854" s="16">
        <v>509</v>
      </c>
      <c r="AA854" s="31">
        <v>7208</v>
      </c>
      <c r="AB854" s="32">
        <v>6709</v>
      </c>
      <c r="AC854" s="16">
        <v>493</v>
      </c>
      <c r="AD854" s="31">
        <v>7202</v>
      </c>
      <c r="AE854" s="16">
        <v>6351</v>
      </c>
      <c r="AF854" s="16">
        <v>558</v>
      </c>
      <c r="AG854" s="31">
        <v>6909</v>
      </c>
      <c r="AH854" s="16">
        <v>7100</v>
      </c>
      <c r="AI854" s="16">
        <v>566</v>
      </c>
      <c r="AJ854" s="31">
        <v>7666</v>
      </c>
      <c r="AK854" s="16">
        <v>8436</v>
      </c>
      <c r="AL854" s="16">
        <v>193</v>
      </c>
      <c r="AM854" s="31">
        <v>8629</v>
      </c>
      <c r="AN854" s="16">
        <v>8436</v>
      </c>
      <c r="AO854" s="16">
        <v>193</v>
      </c>
      <c r="AP854" s="31">
        <v>8629</v>
      </c>
      <c r="AQ854" s="42"/>
      <c r="AR854" s="43"/>
      <c r="AS854" s="42"/>
      <c r="AT854" s="42"/>
    </row>
    <row r="855" spans="1:46" ht="12.9" customHeight="1" x14ac:dyDescent="0.25">
      <c r="A855" s="28" t="s">
        <v>1741</v>
      </c>
      <c r="B855" s="29" t="s">
        <v>1742</v>
      </c>
      <c r="C855" s="30" t="s">
        <v>150</v>
      </c>
      <c r="D855" s="40">
        <v>29982</v>
      </c>
      <c r="E855" s="26">
        <v>26740</v>
      </c>
      <c r="F855" s="26">
        <f t="shared" si="26"/>
        <v>56722</v>
      </c>
      <c r="G855" s="40">
        <v>32038</v>
      </c>
      <c r="H855" s="26">
        <v>28602</v>
      </c>
      <c r="I855" s="27">
        <f t="shared" si="27"/>
        <v>60640</v>
      </c>
      <c r="J855" s="40">
        <v>36085</v>
      </c>
      <c r="K855" s="26">
        <v>37083</v>
      </c>
      <c r="L855" s="27">
        <v>73168</v>
      </c>
      <c r="M855" s="26">
        <v>33866</v>
      </c>
      <c r="N855" s="26">
        <v>32961</v>
      </c>
      <c r="O855" s="27">
        <v>66827</v>
      </c>
      <c r="P855" s="26">
        <v>33234</v>
      </c>
      <c r="Q855" s="26">
        <v>30998</v>
      </c>
      <c r="R855" s="27">
        <v>64232</v>
      </c>
      <c r="S855" s="26">
        <v>35180</v>
      </c>
      <c r="T855" s="26">
        <v>38654</v>
      </c>
      <c r="U855" s="27">
        <v>73834</v>
      </c>
      <c r="V855" s="26">
        <v>30978</v>
      </c>
      <c r="W855" s="26">
        <v>43175</v>
      </c>
      <c r="X855" s="31">
        <v>74153</v>
      </c>
      <c r="Y855" s="16">
        <v>35896</v>
      </c>
      <c r="Z855" s="16">
        <v>37050</v>
      </c>
      <c r="AA855" s="31">
        <v>72946</v>
      </c>
      <c r="AB855" s="32">
        <v>33879</v>
      </c>
      <c r="AC855" s="16">
        <v>36608</v>
      </c>
      <c r="AD855" s="31">
        <v>70487</v>
      </c>
      <c r="AE855" s="16">
        <v>34157</v>
      </c>
      <c r="AF855" s="16">
        <v>35151</v>
      </c>
      <c r="AG855" s="31">
        <v>69308</v>
      </c>
      <c r="AH855" s="16">
        <v>33387</v>
      </c>
      <c r="AI855" s="16">
        <v>39633</v>
      </c>
      <c r="AJ855" s="31">
        <v>73020</v>
      </c>
      <c r="AK855" s="16">
        <v>32924</v>
      </c>
      <c r="AL855" s="16">
        <v>28943</v>
      </c>
      <c r="AM855" s="31">
        <v>61867</v>
      </c>
      <c r="AN855" s="16">
        <v>40509</v>
      </c>
      <c r="AO855" s="16">
        <v>28613</v>
      </c>
      <c r="AP855" s="31">
        <v>69122</v>
      </c>
      <c r="AQ855" s="42"/>
      <c r="AR855" s="43"/>
      <c r="AS855" s="42"/>
      <c r="AT855" s="42"/>
    </row>
    <row r="856" spans="1:46" ht="12.9" customHeight="1" x14ac:dyDescent="0.25">
      <c r="A856" s="28" t="s">
        <v>1743</v>
      </c>
      <c r="B856" s="29" t="s">
        <v>1744</v>
      </c>
      <c r="C856" s="30" t="s">
        <v>73</v>
      </c>
      <c r="D856" s="40">
        <v>1044073</v>
      </c>
      <c r="E856" s="26">
        <v>3213733</v>
      </c>
      <c r="F856" s="26">
        <f t="shared" si="26"/>
        <v>4257806</v>
      </c>
      <c r="G856" s="40">
        <v>1066049</v>
      </c>
      <c r="H856" s="26">
        <v>3069316</v>
      </c>
      <c r="I856" s="27">
        <f t="shared" si="27"/>
        <v>4135365</v>
      </c>
      <c r="J856" s="40">
        <v>1069586</v>
      </c>
      <c r="K856" s="26">
        <v>2940850</v>
      </c>
      <c r="L856" s="27">
        <v>4010436</v>
      </c>
      <c r="M856" s="26">
        <v>1125420</v>
      </c>
      <c r="N856" s="26">
        <v>3331089</v>
      </c>
      <c r="O856" s="27">
        <v>4456509</v>
      </c>
      <c r="P856" s="26">
        <v>1172163</v>
      </c>
      <c r="Q856" s="26">
        <v>3032539</v>
      </c>
      <c r="R856" s="27">
        <v>4204702</v>
      </c>
      <c r="S856" s="26">
        <v>1142965</v>
      </c>
      <c r="T856" s="26">
        <v>3226903</v>
      </c>
      <c r="U856" s="27">
        <v>4369868</v>
      </c>
      <c r="V856" s="26">
        <v>1132488</v>
      </c>
      <c r="W856" s="26">
        <v>3122914</v>
      </c>
      <c r="X856" s="31">
        <v>4255402</v>
      </c>
      <c r="Y856" s="16">
        <v>1153109</v>
      </c>
      <c r="Z856" s="16">
        <v>2922662</v>
      </c>
      <c r="AA856" s="31">
        <v>4075771</v>
      </c>
      <c r="AB856" s="32">
        <v>1173416</v>
      </c>
      <c r="AC856" s="16">
        <v>2891338</v>
      </c>
      <c r="AD856" s="31">
        <v>4064754</v>
      </c>
      <c r="AE856" s="16">
        <v>1182422</v>
      </c>
      <c r="AF856" s="16">
        <v>2849977</v>
      </c>
      <c r="AG856" s="31">
        <v>4032399</v>
      </c>
      <c r="AH856" s="16">
        <v>1137659</v>
      </c>
      <c r="AI856" s="16">
        <v>3250160</v>
      </c>
      <c r="AJ856" s="31">
        <v>4387819</v>
      </c>
      <c r="AK856" s="16">
        <v>1129373</v>
      </c>
      <c r="AL856" s="16">
        <v>2541024</v>
      </c>
      <c r="AM856" s="31">
        <v>3670397</v>
      </c>
      <c r="AN856" s="16">
        <v>1220873</v>
      </c>
      <c r="AO856" s="16">
        <v>3317617</v>
      </c>
      <c r="AP856" s="31">
        <v>4538490</v>
      </c>
      <c r="AQ856" s="42"/>
      <c r="AR856" s="43"/>
      <c r="AS856" s="42"/>
      <c r="AT856" s="42"/>
    </row>
    <row r="857" spans="1:46" ht="12.9" customHeight="1" x14ac:dyDescent="0.25">
      <c r="A857" s="28" t="s">
        <v>1745</v>
      </c>
      <c r="B857" s="29" t="s">
        <v>1746</v>
      </c>
      <c r="C857" s="30" t="s">
        <v>384</v>
      </c>
      <c r="D857" s="40">
        <v>19602</v>
      </c>
      <c r="E857" s="26">
        <v>11398</v>
      </c>
      <c r="F857" s="26">
        <f t="shared" si="26"/>
        <v>31000</v>
      </c>
      <c r="G857" s="40">
        <v>18071</v>
      </c>
      <c r="H857" s="26">
        <v>21724</v>
      </c>
      <c r="I857" s="27">
        <f t="shared" si="27"/>
        <v>39795</v>
      </c>
      <c r="J857" s="40">
        <v>18047</v>
      </c>
      <c r="K857" s="26">
        <v>21205</v>
      </c>
      <c r="L857" s="27">
        <v>39252</v>
      </c>
      <c r="M857" s="26">
        <v>17927</v>
      </c>
      <c r="N857" s="26">
        <v>9400</v>
      </c>
      <c r="O857" s="27">
        <v>27327</v>
      </c>
      <c r="P857" s="26">
        <v>18492</v>
      </c>
      <c r="Q857" s="26">
        <v>9470</v>
      </c>
      <c r="R857" s="27">
        <v>27962</v>
      </c>
      <c r="S857" s="26">
        <v>18492</v>
      </c>
      <c r="T857" s="26">
        <v>35421</v>
      </c>
      <c r="U857" s="27">
        <v>53913</v>
      </c>
      <c r="V857" s="26">
        <v>16716</v>
      </c>
      <c r="W857" s="26">
        <v>7896</v>
      </c>
      <c r="X857" s="31">
        <v>24612</v>
      </c>
      <c r="Y857" s="16">
        <v>16716</v>
      </c>
      <c r="Z857" s="16">
        <v>9195</v>
      </c>
      <c r="AA857" s="31">
        <v>25911</v>
      </c>
      <c r="AB857" s="32">
        <v>16716</v>
      </c>
      <c r="AC857" s="16">
        <v>4940</v>
      </c>
      <c r="AD857" s="31">
        <v>21656</v>
      </c>
      <c r="AE857" s="16">
        <v>15048</v>
      </c>
      <c r="AF857" s="16">
        <v>7965</v>
      </c>
      <c r="AG857" s="31">
        <v>23013</v>
      </c>
      <c r="AH857" s="32" t="s">
        <v>160</v>
      </c>
      <c r="AI857" s="16">
        <v>4622</v>
      </c>
      <c r="AJ857" s="31">
        <v>4622</v>
      </c>
      <c r="AK857" s="16">
        <v>15192</v>
      </c>
      <c r="AL857" s="16">
        <v>5092</v>
      </c>
      <c r="AM857" s="31">
        <v>20284</v>
      </c>
      <c r="AN857" s="16">
        <v>15192</v>
      </c>
      <c r="AO857" s="16">
        <v>12820</v>
      </c>
      <c r="AP857" s="31">
        <v>28012</v>
      </c>
      <c r="AQ857" s="42"/>
      <c r="AR857" s="43"/>
      <c r="AS857" s="42"/>
      <c r="AT857" s="42"/>
    </row>
    <row r="858" spans="1:46" ht="12.9" customHeight="1" x14ac:dyDescent="0.25">
      <c r="A858" s="28" t="s">
        <v>1747</v>
      </c>
      <c r="B858" s="29" t="s">
        <v>1748</v>
      </c>
      <c r="C858" s="30" t="s">
        <v>123</v>
      </c>
      <c r="D858" s="40">
        <v>407135</v>
      </c>
      <c r="E858" s="26">
        <v>422960</v>
      </c>
      <c r="F858" s="26">
        <f t="shared" si="26"/>
        <v>830095</v>
      </c>
      <c r="G858" s="40">
        <v>437543</v>
      </c>
      <c r="H858" s="26">
        <v>477958</v>
      </c>
      <c r="I858" s="27">
        <f t="shared" si="27"/>
        <v>915501</v>
      </c>
      <c r="J858" s="40">
        <v>455931</v>
      </c>
      <c r="K858" s="26">
        <v>455346</v>
      </c>
      <c r="L858" s="27">
        <v>911277</v>
      </c>
      <c r="M858" s="26">
        <v>437009</v>
      </c>
      <c r="N858" s="26">
        <v>337786</v>
      </c>
      <c r="O858" s="27">
        <v>774795</v>
      </c>
      <c r="P858" s="26">
        <v>430558</v>
      </c>
      <c r="Q858" s="26">
        <v>255440</v>
      </c>
      <c r="R858" s="27">
        <v>685998</v>
      </c>
      <c r="S858" s="26">
        <v>461903</v>
      </c>
      <c r="T858" s="26">
        <v>488043</v>
      </c>
      <c r="U858" s="27">
        <v>949946</v>
      </c>
      <c r="V858" s="26">
        <v>438535</v>
      </c>
      <c r="W858" s="26">
        <v>514354</v>
      </c>
      <c r="X858" s="31">
        <v>952889</v>
      </c>
      <c r="Y858" s="16">
        <v>426093</v>
      </c>
      <c r="Z858" s="16">
        <v>534721</v>
      </c>
      <c r="AA858" s="31">
        <v>960814</v>
      </c>
      <c r="AB858" s="32">
        <v>480588</v>
      </c>
      <c r="AC858" s="16">
        <v>485353</v>
      </c>
      <c r="AD858" s="31">
        <v>965941</v>
      </c>
      <c r="AE858" s="16">
        <v>429549</v>
      </c>
      <c r="AF858" s="16">
        <v>491799</v>
      </c>
      <c r="AG858" s="31">
        <v>921348</v>
      </c>
      <c r="AH858" s="16">
        <v>428272</v>
      </c>
      <c r="AI858" s="16">
        <v>486759</v>
      </c>
      <c r="AJ858" s="31">
        <v>915031</v>
      </c>
      <c r="AK858" s="16">
        <v>396833</v>
      </c>
      <c r="AL858" s="16">
        <v>481710</v>
      </c>
      <c r="AM858" s="31">
        <v>878543</v>
      </c>
      <c r="AN858" s="16">
        <v>440099</v>
      </c>
      <c r="AO858" s="16">
        <v>490005</v>
      </c>
      <c r="AP858" s="31">
        <v>930104</v>
      </c>
      <c r="AQ858" s="42"/>
      <c r="AR858" s="43"/>
      <c r="AS858" s="42"/>
      <c r="AT858" s="42"/>
    </row>
    <row r="859" spans="1:46" ht="12.9" customHeight="1" x14ac:dyDescent="0.25">
      <c r="A859" s="28" t="s">
        <v>1749</v>
      </c>
      <c r="B859" s="29" t="s">
        <v>1750</v>
      </c>
      <c r="C859" s="30" t="s">
        <v>8</v>
      </c>
      <c r="D859" s="40">
        <v>244649</v>
      </c>
      <c r="E859" s="26">
        <v>87676</v>
      </c>
      <c r="F859" s="26">
        <f t="shared" si="26"/>
        <v>332325</v>
      </c>
      <c r="G859" s="40">
        <v>242466</v>
      </c>
      <c r="H859" s="26">
        <v>76702</v>
      </c>
      <c r="I859" s="27">
        <f t="shared" si="27"/>
        <v>319168</v>
      </c>
      <c r="J859" s="40">
        <v>236671</v>
      </c>
      <c r="K859" s="26">
        <v>76252</v>
      </c>
      <c r="L859" s="27">
        <v>312923</v>
      </c>
      <c r="M859" s="26">
        <v>236205</v>
      </c>
      <c r="N859" s="26">
        <v>67549</v>
      </c>
      <c r="O859" s="27">
        <v>303754</v>
      </c>
      <c r="P859" s="26">
        <v>238276</v>
      </c>
      <c r="Q859" s="26">
        <v>67168</v>
      </c>
      <c r="R859" s="27">
        <v>305444</v>
      </c>
      <c r="S859" s="26">
        <v>227777</v>
      </c>
      <c r="T859" s="26">
        <v>75363</v>
      </c>
      <c r="U859" s="27">
        <v>303140</v>
      </c>
      <c r="V859" s="26">
        <v>223406</v>
      </c>
      <c r="W859" s="26">
        <v>66380</v>
      </c>
      <c r="X859" s="31">
        <v>289786</v>
      </c>
      <c r="Y859" s="16">
        <v>222990.15615305066</v>
      </c>
      <c r="Z859" s="16">
        <v>61882</v>
      </c>
      <c r="AA859" s="31">
        <v>284872.15615305066</v>
      </c>
      <c r="AB859" s="32">
        <v>213567</v>
      </c>
      <c r="AC859" s="16">
        <v>59565</v>
      </c>
      <c r="AD859" s="31">
        <v>273132</v>
      </c>
      <c r="AE859" s="16">
        <v>218468</v>
      </c>
      <c r="AF859" s="16">
        <v>57783</v>
      </c>
      <c r="AG859" s="31">
        <v>276251</v>
      </c>
      <c r="AH859" s="16">
        <v>213985</v>
      </c>
      <c r="AI859" s="16">
        <v>55266</v>
      </c>
      <c r="AJ859" s="31">
        <v>269251</v>
      </c>
      <c r="AK859" s="16">
        <v>215254</v>
      </c>
      <c r="AL859" s="16">
        <v>58458</v>
      </c>
      <c r="AM859" s="31">
        <v>273712</v>
      </c>
      <c r="AN859" s="16">
        <v>236461</v>
      </c>
      <c r="AO859" s="16">
        <v>53525</v>
      </c>
      <c r="AP859" s="31">
        <v>289986</v>
      </c>
      <c r="AQ859" s="42"/>
      <c r="AR859" s="43"/>
      <c r="AS859" s="42"/>
      <c r="AT859" s="42"/>
    </row>
    <row r="860" spans="1:46" ht="12.9" customHeight="1" x14ac:dyDescent="0.25">
      <c r="A860" s="28" t="s">
        <v>1751</v>
      </c>
      <c r="B860" s="29" t="s">
        <v>1752</v>
      </c>
      <c r="C860" s="30" t="s">
        <v>59</v>
      </c>
      <c r="D860" s="40">
        <v>48940</v>
      </c>
      <c r="E860" s="26">
        <v>34874</v>
      </c>
      <c r="F860" s="26">
        <f t="shared" si="26"/>
        <v>83814</v>
      </c>
      <c r="G860" s="40">
        <v>52556</v>
      </c>
      <c r="H860" s="26">
        <v>42400</v>
      </c>
      <c r="I860" s="27">
        <f t="shared" si="27"/>
        <v>94956</v>
      </c>
      <c r="J860" s="40">
        <v>53323</v>
      </c>
      <c r="K860" s="26">
        <v>47896</v>
      </c>
      <c r="L860" s="27">
        <v>101219</v>
      </c>
      <c r="M860" s="26">
        <v>57743</v>
      </c>
      <c r="N860" s="26">
        <v>42385</v>
      </c>
      <c r="O860" s="27">
        <v>100128</v>
      </c>
      <c r="P860" s="26">
        <v>55541</v>
      </c>
      <c r="Q860" s="26">
        <v>39870</v>
      </c>
      <c r="R860" s="27">
        <v>95411</v>
      </c>
      <c r="S860" s="26">
        <v>54642</v>
      </c>
      <c r="T860" s="26">
        <v>39597</v>
      </c>
      <c r="U860" s="27">
        <v>94239</v>
      </c>
      <c r="V860" s="26">
        <v>52645</v>
      </c>
      <c r="W860" s="26">
        <v>33639</v>
      </c>
      <c r="X860" s="31">
        <v>86284</v>
      </c>
      <c r="Y860" s="16">
        <v>51267</v>
      </c>
      <c r="Z860" s="16">
        <v>42744</v>
      </c>
      <c r="AA860" s="31">
        <v>94011</v>
      </c>
      <c r="AB860" s="32">
        <v>50554</v>
      </c>
      <c r="AC860" s="16">
        <v>44232</v>
      </c>
      <c r="AD860" s="31">
        <v>94786</v>
      </c>
      <c r="AE860" s="16">
        <v>50317</v>
      </c>
      <c r="AF860" s="16">
        <v>44576</v>
      </c>
      <c r="AG860" s="31">
        <v>94893</v>
      </c>
      <c r="AH860" s="16">
        <v>50348</v>
      </c>
      <c r="AI860" s="16">
        <v>43264</v>
      </c>
      <c r="AJ860" s="31">
        <v>93612</v>
      </c>
      <c r="AK860" s="16">
        <v>46905</v>
      </c>
      <c r="AL860" s="16">
        <v>34048</v>
      </c>
      <c r="AM860" s="31">
        <v>80953</v>
      </c>
      <c r="AN860" s="16">
        <v>52567</v>
      </c>
      <c r="AO860" s="16">
        <v>44890</v>
      </c>
      <c r="AP860" s="31">
        <v>97457</v>
      </c>
      <c r="AQ860" s="42"/>
      <c r="AR860" s="43"/>
      <c r="AS860" s="42"/>
      <c r="AT860" s="42"/>
    </row>
    <row r="861" spans="1:46" ht="12.9" customHeight="1" x14ac:dyDescent="0.25">
      <c r="A861" s="28" t="s">
        <v>1753</v>
      </c>
      <c r="B861" s="29" t="s">
        <v>1754</v>
      </c>
      <c r="C861" s="30" t="s">
        <v>197</v>
      </c>
      <c r="D861" s="40">
        <v>72708</v>
      </c>
      <c r="E861" s="26">
        <v>20442.333333333332</v>
      </c>
      <c r="F861" s="26">
        <f t="shared" si="26"/>
        <v>93150.333333333328</v>
      </c>
      <c r="G861" s="40">
        <v>78470</v>
      </c>
      <c r="H861" s="26">
        <v>24110</v>
      </c>
      <c r="I861" s="27">
        <f t="shared" si="27"/>
        <v>102580</v>
      </c>
      <c r="J861" s="40">
        <v>92263</v>
      </c>
      <c r="K861" s="26">
        <v>26295</v>
      </c>
      <c r="L861" s="27">
        <v>118558</v>
      </c>
      <c r="M861" s="26">
        <v>90563</v>
      </c>
      <c r="N861" s="26">
        <v>23907</v>
      </c>
      <c r="O861" s="27">
        <v>114470</v>
      </c>
      <c r="P861" s="26">
        <v>87021</v>
      </c>
      <c r="Q861" s="26">
        <v>21204</v>
      </c>
      <c r="R861" s="27">
        <v>108225</v>
      </c>
      <c r="S861" s="26">
        <v>83993</v>
      </c>
      <c r="T861" s="26">
        <v>24188</v>
      </c>
      <c r="U861" s="27">
        <v>108181</v>
      </c>
      <c r="V861" s="26">
        <v>78914</v>
      </c>
      <c r="W861" s="26">
        <v>23091</v>
      </c>
      <c r="X861" s="31">
        <v>102005</v>
      </c>
      <c r="Y861" s="16">
        <v>81135</v>
      </c>
      <c r="Z861" s="16">
        <v>27200</v>
      </c>
      <c r="AA861" s="31">
        <v>108335</v>
      </c>
      <c r="AB861" s="32">
        <v>82959</v>
      </c>
      <c r="AC861" s="16">
        <v>24826</v>
      </c>
      <c r="AD861" s="31">
        <v>107785</v>
      </c>
      <c r="AE861" s="16">
        <v>76374</v>
      </c>
      <c r="AF861" s="16">
        <v>27066</v>
      </c>
      <c r="AG861" s="31">
        <v>103440</v>
      </c>
      <c r="AH861" s="16">
        <v>79604</v>
      </c>
      <c r="AI861" s="16">
        <v>28356</v>
      </c>
      <c r="AJ861" s="31">
        <v>107960</v>
      </c>
      <c r="AK861" s="16">
        <v>82731</v>
      </c>
      <c r="AL861" s="16">
        <v>31548</v>
      </c>
      <c r="AM861" s="31">
        <v>114279</v>
      </c>
      <c r="AN861" s="16">
        <v>87194</v>
      </c>
      <c r="AO861" s="16">
        <v>35843</v>
      </c>
      <c r="AP861" s="31">
        <v>123037</v>
      </c>
      <c r="AQ861" s="42"/>
      <c r="AR861" s="43"/>
      <c r="AS861" s="42"/>
      <c r="AT861" s="42"/>
    </row>
    <row r="862" spans="1:46" ht="12.9" customHeight="1" x14ac:dyDescent="0.25">
      <c r="A862" s="28" t="s">
        <v>1755</v>
      </c>
      <c r="B862" s="29" t="s">
        <v>1756</v>
      </c>
      <c r="C862" s="30" t="s">
        <v>59</v>
      </c>
      <c r="D862" s="40">
        <v>18202</v>
      </c>
      <c r="E862" s="26">
        <v>5162</v>
      </c>
      <c r="F862" s="26">
        <f t="shared" si="26"/>
        <v>23364</v>
      </c>
      <c r="G862" s="40">
        <v>21668</v>
      </c>
      <c r="H862" s="26">
        <v>3326</v>
      </c>
      <c r="I862" s="27">
        <f t="shared" si="27"/>
        <v>24994</v>
      </c>
      <c r="J862" s="40">
        <v>21668</v>
      </c>
      <c r="K862" s="26">
        <v>5725</v>
      </c>
      <c r="L862" s="27">
        <v>27393</v>
      </c>
      <c r="M862" s="26">
        <v>22632</v>
      </c>
      <c r="N862" s="26">
        <v>3422</v>
      </c>
      <c r="O862" s="27">
        <v>26054</v>
      </c>
      <c r="P862" s="26">
        <v>22872</v>
      </c>
      <c r="Q862" s="26">
        <v>3917</v>
      </c>
      <c r="R862" s="27">
        <v>26789</v>
      </c>
      <c r="S862" s="26">
        <v>23653</v>
      </c>
      <c r="T862" s="26">
        <v>4145</v>
      </c>
      <c r="U862" s="27">
        <v>27798</v>
      </c>
      <c r="V862" s="26">
        <v>25319</v>
      </c>
      <c r="W862" s="26">
        <v>4222</v>
      </c>
      <c r="X862" s="31">
        <v>29541</v>
      </c>
      <c r="Y862" s="16">
        <v>25230</v>
      </c>
      <c r="Z862" s="16">
        <v>3356</v>
      </c>
      <c r="AA862" s="31">
        <v>28586</v>
      </c>
      <c r="AB862" s="32">
        <v>28328</v>
      </c>
      <c r="AC862" s="16">
        <v>4174</v>
      </c>
      <c r="AD862" s="31">
        <v>32502</v>
      </c>
      <c r="AE862" s="16">
        <v>23871</v>
      </c>
      <c r="AF862" s="16">
        <v>5314</v>
      </c>
      <c r="AG862" s="31">
        <v>29185</v>
      </c>
      <c r="AH862" s="16">
        <v>18912</v>
      </c>
      <c r="AI862" s="16">
        <v>5094</v>
      </c>
      <c r="AJ862" s="31">
        <v>24006</v>
      </c>
      <c r="AK862" s="16">
        <v>25131.305210918115</v>
      </c>
      <c r="AL862" s="16">
        <v>5040</v>
      </c>
      <c r="AM862" s="31">
        <v>30171.305210918115</v>
      </c>
      <c r="AN862" s="16">
        <v>26650</v>
      </c>
      <c r="AO862" s="16">
        <v>11289</v>
      </c>
      <c r="AP862" s="31">
        <v>37939</v>
      </c>
      <c r="AQ862" s="42"/>
      <c r="AR862" s="43"/>
      <c r="AS862" s="42"/>
      <c r="AT862" s="42"/>
    </row>
    <row r="863" spans="1:46" ht="12.9" customHeight="1" x14ac:dyDescent="0.25">
      <c r="A863" s="28" t="s">
        <v>1757</v>
      </c>
      <c r="B863" s="29" t="s">
        <v>1758</v>
      </c>
      <c r="C863" s="30" t="s">
        <v>62</v>
      </c>
      <c r="D863" s="40">
        <v>233609</v>
      </c>
      <c r="E863" s="26">
        <v>215715</v>
      </c>
      <c r="F863" s="26">
        <f t="shared" si="26"/>
        <v>449324</v>
      </c>
      <c r="G863" s="40">
        <v>224270</v>
      </c>
      <c r="H863" s="26">
        <v>226393</v>
      </c>
      <c r="I863" s="27">
        <f t="shared" si="27"/>
        <v>450663</v>
      </c>
      <c r="J863" s="40">
        <v>224012</v>
      </c>
      <c r="K863" s="26">
        <v>216132</v>
      </c>
      <c r="L863" s="27">
        <v>440144</v>
      </c>
      <c r="M863" s="26">
        <v>225244</v>
      </c>
      <c r="N863" s="26">
        <v>171502</v>
      </c>
      <c r="O863" s="27">
        <v>396746</v>
      </c>
      <c r="P863" s="26">
        <v>263607</v>
      </c>
      <c r="Q863" s="26">
        <v>171609</v>
      </c>
      <c r="R863" s="27">
        <v>435216</v>
      </c>
      <c r="S863" s="26">
        <v>211603</v>
      </c>
      <c r="T863" s="26">
        <v>177270</v>
      </c>
      <c r="U863" s="27">
        <v>388873</v>
      </c>
      <c r="V863" s="26">
        <v>215052</v>
      </c>
      <c r="W863" s="26">
        <v>175533</v>
      </c>
      <c r="X863" s="31">
        <v>390585</v>
      </c>
      <c r="Y863" s="16">
        <v>212071</v>
      </c>
      <c r="Z863" s="16">
        <v>145699</v>
      </c>
      <c r="AA863" s="31">
        <v>357770</v>
      </c>
      <c r="AB863" s="32">
        <v>211205</v>
      </c>
      <c r="AC863" s="16">
        <v>137468</v>
      </c>
      <c r="AD863" s="31">
        <v>348673</v>
      </c>
      <c r="AE863" s="16">
        <v>206973</v>
      </c>
      <c r="AF863" s="16">
        <v>144321</v>
      </c>
      <c r="AG863" s="31">
        <v>351294</v>
      </c>
      <c r="AH863" s="16">
        <v>207124</v>
      </c>
      <c r="AI863" s="16">
        <v>143544</v>
      </c>
      <c r="AJ863" s="31">
        <v>350668</v>
      </c>
      <c r="AK863" s="16">
        <v>209013</v>
      </c>
      <c r="AL863" s="16">
        <v>151559</v>
      </c>
      <c r="AM863" s="31">
        <v>360572</v>
      </c>
      <c r="AN863" s="16">
        <v>220170</v>
      </c>
      <c r="AO863" s="16">
        <v>211164</v>
      </c>
      <c r="AP863" s="31">
        <v>431334</v>
      </c>
      <c r="AQ863" s="42"/>
      <c r="AR863" s="43"/>
      <c r="AS863" s="42"/>
      <c r="AT863" s="42"/>
    </row>
    <row r="864" spans="1:46" ht="12.9" customHeight="1" x14ac:dyDescent="0.25">
      <c r="A864" s="28" t="s">
        <v>1759</v>
      </c>
      <c r="B864" s="29" t="s">
        <v>1760</v>
      </c>
      <c r="C864" s="30" t="s">
        <v>249</v>
      </c>
      <c r="D864" s="40">
        <v>16639</v>
      </c>
      <c r="E864" s="26">
        <v>7424</v>
      </c>
      <c r="F864" s="26">
        <f t="shared" si="26"/>
        <v>24063</v>
      </c>
      <c r="G864" s="40">
        <v>17277</v>
      </c>
      <c r="H864" s="26">
        <v>5923</v>
      </c>
      <c r="I864" s="27">
        <f t="shared" si="27"/>
        <v>23200</v>
      </c>
      <c r="J864" s="40">
        <v>18064</v>
      </c>
      <c r="K864" s="26">
        <v>4966</v>
      </c>
      <c r="L864" s="27">
        <v>23030</v>
      </c>
      <c r="M864" s="26">
        <v>18805</v>
      </c>
      <c r="N864" s="26">
        <v>4659</v>
      </c>
      <c r="O864" s="27">
        <v>23464</v>
      </c>
      <c r="P864" s="26">
        <v>18949</v>
      </c>
      <c r="Q864" s="26">
        <v>4760</v>
      </c>
      <c r="R864" s="27">
        <v>23709</v>
      </c>
      <c r="S864" s="26">
        <v>18776</v>
      </c>
      <c r="T864" s="26">
        <v>7219</v>
      </c>
      <c r="U864" s="27">
        <v>25995</v>
      </c>
      <c r="V864" s="26">
        <v>17436</v>
      </c>
      <c r="W864" s="26">
        <v>6916</v>
      </c>
      <c r="X864" s="31">
        <v>24352</v>
      </c>
      <c r="Y864" s="16">
        <v>18527</v>
      </c>
      <c r="Z864" s="16">
        <v>7601</v>
      </c>
      <c r="AA864" s="31">
        <v>26128</v>
      </c>
      <c r="AB864" s="32">
        <v>19336</v>
      </c>
      <c r="AC864" s="16">
        <v>6504</v>
      </c>
      <c r="AD864" s="31">
        <v>25840</v>
      </c>
      <c r="AE864" s="16">
        <v>19068</v>
      </c>
      <c r="AF864" s="16">
        <v>5156</v>
      </c>
      <c r="AG864" s="31">
        <v>24224</v>
      </c>
      <c r="AH864" s="16">
        <v>20418</v>
      </c>
      <c r="AI864" s="16">
        <v>5370</v>
      </c>
      <c r="AJ864" s="31">
        <v>25788</v>
      </c>
      <c r="AK864" s="16">
        <v>22812</v>
      </c>
      <c r="AL864" s="16">
        <v>6614</v>
      </c>
      <c r="AM864" s="31">
        <v>29426</v>
      </c>
      <c r="AN864" s="16">
        <v>22812</v>
      </c>
      <c r="AO864" s="16">
        <v>6614</v>
      </c>
      <c r="AP864" s="31">
        <v>29426</v>
      </c>
      <c r="AQ864" s="42"/>
      <c r="AR864" s="43"/>
      <c r="AS864" s="42"/>
      <c r="AT864" s="42"/>
    </row>
    <row r="865" spans="1:46" ht="12.9" customHeight="1" x14ac:dyDescent="0.25">
      <c r="A865" s="28" t="s">
        <v>1761</v>
      </c>
      <c r="B865" s="29" t="s">
        <v>1762</v>
      </c>
      <c r="C865" s="30" t="s">
        <v>59</v>
      </c>
      <c r="D865" s="40">
        <v>12742</v>
      </c>
      <c r="E865" s="26">
        <v>11220</v>
      </c>
      <c r="F865" s="26">
        <f t="shared" si="26"/>
        <v>23962</v>
      </c>
      <c r="G865" s="40">
        <v>14322</v>
      </c>
      <c r="H865" s="26">
        <v>13107</v>
      </c>
      <c r="I865" s="27">
        <f t="shared" si="27"/>
        <v>27429</v>
      </c>
      <c r="J865" s="40">
        <v>15249</v>
      </c>
      <c r="K865" s="26">
        <v>13481</v>
      </c>
      <c r="L865" s="27">
        <v>28730</v>
      </c>
      <c r="M865" s="26">
        <v>14499</v>
      </c>
      <c r="N865" s="26">
        <v>12112</v>
      </c>
      <c r="O865" s="27">
        <v>26611</v>
      </c>
      <c r="P865" s="26">
        <v>13717</v>
      </c>
      <c r="Q865" s="26">
        <v>13468</v>
      </c>
      <c r="R865" s="27">
        <v>27185</v>
      </c>
      <c r="S865" s="26">
        <v>12724</v>
      </c>
      <c r="T865" s="26">
        <v>13920</v>
      </c>
      <c r="U865" s="27">
        <v>26644</v>
      </c>
      <c r="V865" s="26">
        <v>13544</v>
      </c>
      <c r="W865" s="26">
        <v>15806</v>
      </c>
      <c r="X865" s="31">
        <v>29350</v>
      </c>
      <c r="Y865" s="16">
        <v>13189</v>
      </c>
      <c r="Z865" s="16">
        <v>21019</v>
      </c>
      <c r="AA865" s="31">
        <v>34208</v>
      </c>
      <c r="AB865" s="32">
        <v>13245</v>
      </c>
      <c r="AC865" s="16">
        <v>18748</v>
      </c>
      <c r="AD865" s="31">
        <v>31993</v>
      </c>
      <c r="AE865" s="16">
        <v>12042</v>
      </c>
      <c r="AF865" s="16">
        <v>15123</v>
      </c>
      <c r="AG865" s="31">
        <v>27165</v>
      </c>
      <c r="AH865" s="16">
        <v>12488</v>
      </c>
      <c r="AI865" s="16">
        <v>21765</v>
      </c>
      <c r="AJ865" s="31">
        <v>34253</v>
      </c>
      <c r="AK865" s="16">
        <v>12223</v>
      </c>
      <c r="AL865" s="16">
        <v>25237</v>
      </c>
      <c r="AM865" s="31">
        <v>37460</v>
      </c>
      <c r="AN865" s="16">
        <v>12947</v>
      </c>
      <c r="AO865" s="16">
        <v>20263</v>
      </c>
      <c r="AP865" s="31">
        <v>33210</v>
      </c>
      <c r="AQ865" s="42"/>
      <c r="AR865" s="43"/>
      <c r="AS865" s="42"/>
      <c r="AT865" s="42"/>
    </row>
    <row r="866" spans="1:46" ht="12.9" customHeight="1" x14ac:dyDescent="0.25">
      <c r="A866" s="28" t="s">
        <v>1763</v>
      </c>
      <c r="B866" s="29" t="s">
        <v>1764</v>
      </c>
      <c r="C866" s="30" t="s">
        <v>110</v>
      </c>
      <c r="D866" s="40">
        <v>35013</v>
      </c>
      <c r="E866" s="26">
        <v>2020</v>
      </c>
      <c r="F866" s="26">
        <f t="shared" si="26"/>
        <v>37033</v>
      </c>
      <c r="G866" s="40">
        <v>39427</v>
      </c>
      <c r="H866" s="26">
        <v>2231</v>
      </c>
      <c r="I866" s="27">
        <f t="shared" si="27"/>
        <v>41658</v>
      </c>
      <c r="J866" s="40">
        <v>37985</v>
      </c>
      <c r="K866" s="26">
        <v>1945</v>
      </c>
      <c r="L866" s="27">
        <v>39930</v>
      </c>
      <c r="M866" s="26">
        <v>32531</v>
      </c>
      <c r="N866" s="26">
        <v>1913</v>
      </c>
      <c r="O866" s="27">
        <v>34444</v>
      </c>
      <c r="P866" s="26">
        <v>40097</v>
      </c>
      <c r="Q866" s="26">
        <v>1932</v>
      </c>
      <c r="R866" s="27">
        <v>42029</v>
      </c>
      <c r="S866" s="26">
        <v>37681</v>
      </c>
      <c r="T866" s="26">
        <v>2387</v>
      </c>
      <c r="U866" s="27">
        <v>40068</v>
      </c>
      <c r="V866" s="26">
        <v>38248</v>
      </c>
      <c r="W866" s="26">
        <v>1856</v>
      </c>
      <c r="X866" s="31">
        <v>40104</v>
      </c>
      <c r="Y866" s="16">
        <v>37918</v>
      </c>
      <c r="Z866" s="16">
        <v>1341</v>
      </c>
      <c r="AA866" s="31">
        <v>39259</v>
      </c>
      <c r="AB866" s="32">
        <v>38055</v>
      </c>
      <c r="AC866" s="16">
        <v>913</v>
      </c>
      <c r="AD866" s="31">
        <v>38968</v>
      </c>
      <c r="AE866" s="16">
        <v>22654</v>
      </c>
      <c r="AF866" s="16">
        <v>770</v>
      </c>
      <c r="AG866" s="31">
        <v>23424</v>
      </c>
      <c r="AH866" s="16">
        <v>22761</v>
      </c>
      <c r="AI866" s="16">
        <v>1273</v>
      </c>
      <c r="AJ866" s="31">
        <v>24034</v>
      </c>
      <c r="AK866" s="16">
        <v>42996</v>
      </c>
      <c r="AL866" s="16">
        <v>2882</v>
      </c>
      <c r="AM866" s="31">
        <v>45878</v>
      </c>
      <c r="AN866" s="16">
        <v>42996</v>
      </c>
      <c r="AO866" s="16">
        <v>1286</v>
      </c>
      <c r="AP866" s="31">
        <v>44282</v>
      </c>
      <c r="AQ866" s="42"/>
      <c r="AR866" s="43"/>
      <c r="AS866" s="42"/>
      <c r="AT866" s="42"/>
    </row>
    <row r="867" spans="1:46" ht="12.9" customHeight="1" x14ac:dyDescent="0.25">
      <c r="A867" s="28" t="s">
        <v>1765</v>
      </c>
      <c r="B867" s="29" t="s">
        <v>1766</v>
      </c>
      <c r="C867" s="30" t="s">
        <v>197</v>
      </c>
      <c r="D867" s="40">
        <v>348598</v>
      </c>
      <c r="E867" s="26">
        <v>187656</v>
      </c>
      <c r="F867" s="26">
        <f t="shared" si="26"/>
        <v>536254</v>
      </c>
      <c r="G867" s="40">
        <v>324849</v>
      </c>
      <c r="H867" s="26">
        <v>131885</v>
      </c>
      <c r="I867" s="27">
        <f t="shared" si="27"/>
        <v>456734</v>
      </c>
      <c r="J867" s="40">
        <v>360513</v>
      </c>
      <c r="K867" s="26">
        <v>141325</v>
      </c>
      <c r="L867" s="27">
        <v>501838</v>
      </c>
      <c r="M867" s="26">
        <v>353644</v>
      </c>
      <c r="N867" s="26">
        <v>167047</v>
      </c>
      <c r="O867" s="27">
        <v>520691</v>
      </c>
      <c r="P867" s="26">
        <v>351287</v>
      </c>
      <c r="Q867" s="26">
        <v>154072</v>
      </c>
      <c r="R867" s="27">
        <v>505359</v>
      </c>
      <c r="S867" s="26">
        <v>338692</v>
      </c>
      <c r="T867" s="26">
        <v>175540</v>
      </c>
      <c r="U867" s="27">
        <v>514232</v>
      </c>
      <c r="V867" s="26">
        <v>303999</v>
      </c>
      <c r="W867" s="26">
        <v>197883</v>
      </c>
      <c r="X867" s="31">
        <v>501882</v>
      </c>
      <c r="Y867" s="16">
        <v>327037</v>
      </c>
      <c r="Z867" s="16">
        <v>161720</v>
      </c>
      <c r="AA867" s="31">
        <v>488757</v>
      </c>
      <c r="AB867" s="32">
        <v>322630</v>
      </c>
      <c r="AC867" s="16">
        <v>163645</v>
      </c>
      <c r="AD867" s="31">
        <v>486275</v>
      </c>
      <c r="AE867" s="16">
        <v>322019</v>
      </c>
      <c r="AF867" s="16">
        <v>168418</v>
      </c>
      <c r="AG867" s="31">
        <v>490437</v>
      </c>
      <c r="AH867" s="16">
        <v>302528</v>
      </c>
      <c r="AI867" s="16">
        <v>159885</v>
      </c>
      <c r="AJ867" s="31">
        <v>462413</v>
      </c>
      <c r="AK867" s="16">
        <v>321058</v>
      </c>
      <c r="AL867" s="16">
        <v>155388</v>
      </c>
      <c r="AM867" s="31">
        <v>476446</v>
      </c>
      <c r="AN867" s="16">
        <v>360361</v>
      </c>
      <c r="AO867" s="16">
        <v>163291</v>
      </c>
      <c r="AP867" s="31">
        <v>523652</v>
      </c>
      <c r="AQ867" s="42"/>
      <c r="AR867" s="43"/>
      <c r="AS867" s="42"/>
      <c r="AT867" s="42"/>
    </row>
    <row r="868" spans="1:46" ht="12.9" customHeight="1" x14ac:dyDescent="0.25">
      <c r="A868" s="28" t="s">
        <v>1767</v>
      </c>
      <c r="B868" s="29" t="s">
        <v>1768</v>
      </c>
      <c r="C868" s="30" t="s">
        <v>23</v>
      </c>
      <c r="D868" s="40">
        <v>3169</v>
      </c>
      <c r="E868" s="26">
        <v>123</v>
      </c>
      <c r="F868" s="26">
        <f t="shared" si="26"/>
        <v>3292</v>
      </c>
      <c r="G868" s="40">
        <v>3693</v>
      </c>
      <c r="H868" s="26">
        <v>197</v>
      </c>
      <c r="I868" s="27">
        <f t="shared" si="27"/>
        <v>3890</v>
      </c>
      <c r="J868" s="40">
        <v>4182</v>
      </c>
      <c r="K868" s="26">
        <v>285</v>
      </c>
      <c r="L868" s="27">
        <v>4467</v>
      </c>
      <c r="M868" s="26">
        <v>4329</v>
      </c>
      <c r="N868" s="26">
        <v>334</v>
      </c>
      <c r="O868" s="27">
        <v>4663</v>
      </c>
      <c r="P868" s="26">
        <v>3511</v>
      </c>
      <c r="Q868" s="26">
        <v>534</v>
      </c>
      <c r="R868" s="27">
        <v>4045</v>
      </c>
      <c r="S868" s="26">
        <v>3713</v>
      </c>
      <c r="T868" s="26">
        <v>454</v>
      </c>
      <c r="U868" s="27">
        <v>4167</v>
      </c>
      <c r="V868" s="26">
        <v>3351</v>
      </c>
      <c r="W868" s="26">
        <v>371</v>
      </c>
      <c r="X868" s="31">
        <v>3722</v>
      </c>
      <c r="Y868" s="16">
        <v>3859</v>
      </c>
      <c r="Z868" s="16">
        <v>447</v>
      </c>
      <c r="AA868" s="31">
        <v>4306</v>
      </c>
      <c r="AB868" s="32">
        <v>5153</v>
      </c>
      <c r="AC868" s="16">
        <v>449</v>
      </c>
      <c r="AD868" s="31">
        <v>5602</v>
      </c>
      <c r="AE868" s="16">
        <v>3084</v>
      </c>
      <c r="AF868" s="16">
        <v>349</v>
      </c>
      <c r="AG868" s="31">
        <v>3433</v>
      </c>
      <c r="AH868" s="16">
        <v>3982</v>
      </c>
      <c r="AI868" s="16">
        <v>285</v>
      </c>
      <c r="AJ868" s="31">
        <v>4267</v>
      </c>
      <c r="AK868" s="16">
        <v>4384</v>
      </c>
      <c r="AL868" s="16">
        <v>282</v>
      </c>
      <c r="AM868" s="31">
        <v>4666</v>
      </c>
      <c r="AN868" s="16">
        <v>4551</v>
      </c>
      <c r="AO868" s="16">
        <v>502</v>
      </c>
      <c r="AP868" s="31">
        <v>5053</v>
      </c>
      <c r="AQ868" s="42"/>
      <c r="AR868" s="43"/>
      <c r="AS868" s="42"/>
      <c r="AT868" s="42"/>
    </row>
    <row r="869" spans="1:46" ht="12.9" customHeight="1" x14ac:dyDescent="0.25">
      <c r="A869" s="28" t="s">
        <v>1769</v>
      </c>
      <c r="B869" s="29" t="s">
        <v>1770</v>
      </c>
      <c r="C869" s="30" t="s">
        <v>150</v>
      </c>
      <c r="D869" s="40">
        <v>43315</v>
      </c>
      <c r="E869" s="26">
        <v>130604</v>
      </c>
      <c r="F869" s="26">
        <f t="shared" si="26"/>
        <v>173919</v>
      </c>
      <c r="G869" s="40">
        <v>48366</v>
      </c>
      <c r="H869" s="26">
        <v>124564</v>
      </c>
      <c r="I869" s="27">
        <f t="shared" si="27"/>
        <v>172930</v>
      </c>
      <c r="J869" s="40">
        <v>49991</v>
      </c>
      <c r="K869" s="26">
        <v>128343</v>
      </c>
      <c r="L869" s="27">
        <v>178334</v>
      </c>
      <c r="M869" s="26">
        <v>47095</v>
      </c>
      <c r="N869" s="26">
        <v>162453</v>
      </c>
      <c r="O869" s="27">
        <v>209548</v>
      </c>
      <c r="P869" s="26">
        <v>52093</v>
      </c>
      <c r="Q869" s="26">
        <v>120429</v>
      </c>
      <c r="R869" s="27">
        <v>172522</v>
      </c>
      <c r="S869" s="26">
        <v>47602</v>
      </c>
      <c r="T869" s="26">
        <v>112766</v>
      </c>
      <c r="U869" s="27">
        <v>160368</v>
      </c>
      <c r="V869" s="26">
        <v>43086</v>
      </c>
      <c r="W869" s="26">
        <v>152756</v>
      </c>
      <c r="X869" s="31">
        <v>195842</v>
      </c>
      <c r="Y869" s="16">
        <v>46548</v>
      </c>
      <c r="Z869" s="16">
        <v>148237</v>
      </c>
      <c r="AA869" s="31">
        <v>194785</v>
      </c>
      <c r="AB869" s="32">
        <v>44820</v>
      </c>
      <c r="AC869" s="16">
        <v>126125</v>
      </c>
      <c r="AD869" s="31">
        <v>170945</v>
      </c>
      <c r="AE869" s="16">
        <v>42154</v>
      </c>
      <c r="AF869" s="16">
        <v>123394</v>
      </c>
      <c r="AG869" s="31">
        <v>165548</v>
      </c>
      <c r="AH869" s="16">
        <v>40690</v>
      </c>
      <c r="AI869" s="16">
        <v>160587</v>
      </c>
      <c r="AJ869" s="31">
        <v>201277</v>
      </c>
      <c r="AK869" s="16">
        <v>46315</v>
      </c>
      <c r="AL869" s="16">
        <v>136919</v>
      </c>
      <c r="AM869" s="31">
        <v>183234</v>
      </c>
      <c r="AN869" s="16">
        <v>46315</v>
      </c>
      <c r="AO869" s="16">
        <v>148986</v>
      </c>
      <c r="AP869" s="31">
        <v>195301</v>
      </c>
      <c r="AQ869" s="42"/>
      <c r="AR869" s="43"/>
      <c r="AS869" s="42"/>
      <c r="AT869" s="42"/>
    </row>
    <row r="870" spans="1:46" ht="12.9" customHeight="1" x14ac:dyDescent="0.25">
      <c r="A870" s="28" t="s">
        <v>1771</v>
      </c>
      <c r="B870" s="29" t="s">
        <v>1772</v>
      </c>
      <c r="C870" s="30" t="s">
        <v>1181</v>
      </c>
      <c r="D870" s="40">
        <v>259365</v>
      </c>
      <c r="E870" s="26">
        <v>390015</v>
      </c>
      <c r="F870" s="26">
        <f t="shared" si="26"/>
        <v>649380</v>
      </c>
      <c r="G870" s="40">
        <v>259365</v>
      </c>
      <c r="H870" s="26">
        <v>208969</v>
      </c>
      <c r="I870" s="27">
        <f t="shared" si="27"/>
        <v>468334</v>
      </c>
      <c r="J870" s="40">
        <v>262033</v>
      </c>
      <c r="K870" s="26">
        <v>231383</v>
      </c>
      <c r="L870" s="27">
        <v>493416</v>
      </c>
      <c r="M870" s="26">
        <v>260149</v>
      </c>
      <c r="N870" s="26">
        <v>147058</v>
      </c>
      <c r="O870" s="27">
        <v>407207</v>
      </c>
      <c r="P870" s="26">
        <v>261405</v>
      </c>
      <c r="Q870" s="26">
        <v>273992</v>
      </c>
      <c r="R870" s="27">
        <v>535397</v>
      </c>
      <c r="S870" s="26">
        <v>262661</v>
      </c>
      <c r="T870" s="26">
        <v>193268</v>
      </c>
      <c r="U870" s="27">
        <v>455929</v>
      </c>
      <c r="V870" s="26">
        <v>267058</v>
      </c>
      <c r="W870" s="26">
        <v>142987</v>
      </c>
      <c r="X870" s="31">
        <v>410045</v>
      </c>
      <c r="Y870" s="16">
        <v>220059</v>
      </c>
      <c r="Z870" s="16">
        <v>193475</v>
      </c>
      <c r="AA870" s="31">
        <v>413534</v>
      </c>
      <c r="AB870" s="32">
        <v>176364</v>
      </c>
      <c r="AC870" s="16">
        <v>168843</v>
      </c>
      <c r="AD870" s="31">
        <v>345207</v>
      </c>
      <c r="AE870" s="16">
        <v>177552</v>
      </c>
      <c r="AF870" s="16">
        <v>160333</v>
      </c>
      <c r="AG870" s="31">
        <v>337885</v>
      </c>
      <c r="AH870" s="16">
        <v>177552</v>
      </c>
      <c r="AI870" s="16">
        <v>166917</v>
      </c>
      <c r="AJ870" s="31">
        <v>344469</v>
      </c>
      <c r="AK870" s="16">
        <v>176256</v>
      </c>
      <c r="AL870" s="16">
        <v>147463</v>
      </c>
      <c r="AM870" s="31">
        <v>323719</v>
      </c>
      <c r="AN870" s="16">
        <v>114480</v>
      </c>
      <c r="AO870" s="16">
        <v>225146</v>
      </c>
      <c r="AP870" s="31">
        <v>339626</v>
      </c>
      <c r="AQ870" s="42"/>
      <c r="AR870" s="43"/>
      <c r="AS870" s="42"/>
      <c r="AT870" s="42"/>
    </row>
    <row r="871" spans="1:46" ht="12.9" customHeight="1" x14ac:dyDescent="0.25">
      <c r="A871" s="28" t="s">
        <v>1773</v>
      </c>
      <c r="B871" s="29" t="s">
        <v>1774</v>
      </c>
      <c r="C871" s="30" t="s">
        <v>95</v>
      </c>
      <c r="D871" s="40">
        <v>47424</v>
      </c>
      <c r="E871" s="26">
        <v>14373</v>
      </c>
      <c r="F871" s="26">
        <f t="shared" si="26"/>
        <v>61797</v>
      </c>
      <c r="G871" s="40">
        <v>49005</v>
      </c>
      <c r="H871" s="26">
        <v>13401</v>
      </c>
      <c r="I871" s="27">
        <f t="shared" si="27"/>
        <v>62406</v>
      </c>
      <c r="J871" s="40">
        <v>57528</v>
      </c>
      <c r="K871" s="26">
        <v>7656</v>
      </c>
      <c r="L871" s="27">
        <v>65184</v>
      </c>
      <c r="M871" s="26">
        <v>56016</v>
      </c>
      <c r="N871" s="26">
        <v>7819</v>
      </c>
      <c r="O871" s="27">
        <v>63835</v>
      </c>
      <c r="P871" s="26">
        <v>55908</v>
      </c>
      <c r="Q871" s="26">
        <v>13531</v>
      </c>
      <c r="R871" s="27">
        <v>69439</v>
      </c>
      <c r="S871" s="26">
        <v>55152</v>
      </c>
      <c r="T871" s="26">
        <v>8152</v>
      </c>
      <c r="U871" s="27">
        <v>63304</v>
      </c>
      <c r="V871" s="26">
        <v>54612</v>
      </c>
      <c r="W871" s="26">
        <v>8212</v>
      </c>
      <c r="X871" s="31">
        <v>62824</v>
      </c>
      <c r="Y871" s="16">
        <v>54432</v>
      </c>
      <c r="Z871" s="16">
        <v>10624</v>
      </c>
      <c r="AA871" s="31">
        <v>65056</v>
      </c>
      <c r="AB871" s="32">
        <v>51192</v>
      </c>
      <c r="AC871" s="16">
        <v>10226</v>
      </c>
      <c r="AD871" s="31">
        <v>61418</v>
      </c>
      <c r="AE871" s="16">
        <v>50544</v>
      </c>
      <c r="AF871" s="16">
        <v>4572</v>
      </c>
      <c r="AG871" s="31">
        <v>55116</v>
      </c>
      <c r="AH871" s="32">
        <v>48816</v>
      </c>
      <c r="AI871" s="16">
        <v>4770</v>
      </c>
      <c r="AJ871" s="31">
        <v>53586</v>
      </c>
      <c r="AK871" s="16">
        <v>48816</v>
      </c>
      <c r="AL871" s="16">
        <v>11464</v>
      </c>
      <c r="AM871" s="31">
        <v>60280</v>
      </c>
      <c r="AN871" s="16">
        <v>31392</v>
      </c>
      <c r="AO871" s="16">
        <v>7173</v>
      </c>
      <c r="AP871" s="31">
        <v>38565</v>
      </c>
      <c r="AQ871" s="42"/>
      <c r="AR871" s="43"/>
      <c r="AS871" s="42"/>
      <c r="AT871" s="42"/>
    </row>
    <row r="872" spans="1:46" ht="12.9" customHeight="1" x14ac:dyDescent="0.25">
      <c r="A872" s="28" t="s">
        <v>1775</v>
      </c>
      <c r="B872" s="29" t="s">
        <v>1776</v>
      </c>
      <c r="C872" s="30" t="s">
        <v>150</v>
      </c>
      <c r="D872" s="40">
        <v>110364</v>
      </c>
      <c r="E872" s="26">
        <v>151259</v>
      </c>
      <c r="F872" s="26">
        <f t="shared" si="26"/>
        <v>261623</v>
      </c>
      <c r="G872" s="40">
        <v>119345</v>
      </c>
      <c r="H872" s="26">
        <v>202216</v>
      </c>
      <c r="I872" s="27">
        <f t="shared" si="27"/>
        <v>321561</v>
      </c>
      <c r="J872" s="40">
        <v>126049</v>
      </c>
      <c r="K872" s="26">
        <v>187762</v>
      </c>
      <c r="L872" s="27">
        <v>313811</v>
      </c>
      <c r="M872" s="26">
        <v>127960</v>
      </c>
      <c r="N872" s="26">
        <v>172570</v>
      </c>
      <c r="O872" s="27">
        <v>300530</v>
      </c>
      <c r="P872" s="26">
        <v>126494</v>
      </c>
      <c r="Q872" s="26">
        <v>179393</v>
      </c>
      <c r="R872" s="27">
        <v>305887</v>
      </c>
      <c r="S872" s="26">
        <v>128305</v>
      </c>
      <c r="T872" s="26">
        <v>168844</v>
      </c>
      <c r="U872" s="27">
        <v>297149</v>
      </c>
      <c r="V872" s="26">
        <v>123909</v>
      </c>
      <c r="W872" s="26">
        <v>166833</v>
      </c>
      <c r="X872" s="31">
        <v>290742</v>
      </c>
      <c r="Y872" s="16">
        <v>126395</v>
      </c>
      <c r="Z872" s="16">
        <v>144923</v>
      </c>
      <c r="AA872" s="31">
        <v>271318</v>
      </c>
      <c r="AB872" s="32">
        <v>122716</v>
      </c>
      <c r="AC872" s="16">
        <v>133647</v>
      </c>
      <c r="AD872" s="31">
        <v>256363</v>
      </c>
      <c r="AE872" s="16">
        <v>126862</v>
      </c>
      <c r="AF872" s="16">
        <v>155664</v>
      </c>
      <c r="AG872" s="31">
        <v>282526</v>
      </c>
      <c r="AH872" s="16">
        <v>114572</v>
      </c>
      <c r="AI872" s="16">
        <v>86167</v>
      </c>
      <c r="AJ872" s="31">
        <v>200739</v>
      </c>
      <c r="AK872" s="16">
        <v>120650</v>
      </c>
      <c r="AL872" s="16">
        <v>128318</v>
      </c>
      <c r="AM872" s="31">
        <v>248968</v>
      </c>
      <c r="AN872" s="16">
        <v>141131</v>
      </c>
      <c r="AO872" s="16">
        <v>111776</v>
      </c>
      <c r="AP872" s="31">
        <v>252907</v>
      </c>
      <c r="AQ872" s="42"/>
      <c r="AR872" s="43"/>
      <c r="AS872" s="42"/>
      <c r="AT872" s="42"/>
    </row>
    <row r="873" spans="1:46" ht="12.9" customHeight="1" x14ac:dyDescent="0.25">
      <c r="A873" s="28" t="s">
        <v>1777</v>
      </c>
      <c r="B873" s="29" t="s">
        <v>1778</v>
      </c>
      <c r="C873" s="30" t="s">
        <v>153</v>
      </c>
      <c r="D873" s="40">
        <v>55324</v>
      </c>
      <c r="E873" s="26">
        <v>6413</v>
      </c>
      <c r="F873" s="26">
        <f t="shared" si="26"/>
        <v>61737</v>
      </c>
      <c r="G873" s="40">
        <v>60738</v>
      </c>
      <c r="H873" s="26">
        <v>12709</v>
      </c>
      <c r="I873" s="27">
        <f t="shared" si="27"/>
        <v>73447</v>
      </c>
      <c r="J873" s="40">
        <v>68094</v>
      </c>
      <c r="K873" s="26">
        <v>17396</v>
      </c>
      <c r="L873" s="27">
        <v>85490</v>
      </c>
      <c r="M873" s="26">
        <v>66861</v>
      </c>
      <c r="N873" s="26">
        <v>17607</v>
      </c>
      <c r="O873" s="27">
        <v>84468</v>
      </c>
      <c r="P873" s="26">
        <v>69151</v>
      </c>
      <c r="Q873" s="26">
        <v>17426</v>
      </c>
      <c r="R873" s="27">
        <v>86577</v>
      </c>
      <c r="S873" s="26">
        <v>64448</v>
      </c>
      <c r="T873" s="26">
        <v>21592</v>
      </c>
      <c r="U873" s="27">
        <v>86040</v>
      </c>
      <c r="V873" s="26">
        <v>61914</v>
      </c>
      <c r="W873" s="26">
        <v>17756</v>
      </c>
      <c r="X873" s="31">
        <v>79670</v>
      </c>
      <c r="Y873" s="16">
        <v>60066</v>
      </c>
      <c r="Z873" s="16">
        <v>21037</v>
      </c>
      <c r="AA873" s="31">
        <v>81103</v>
      </c>
      <c r="AB873" s="32">
        <v>62515</v>
      </c>
      <c r="AC873" s="16">
        <v>25305</v>
      </c>
      <c r="AD873" s="31">
        <v>87820</v>
      </c>
      <c r="AE873" s="16">
        <v>64260</v>
      </c>
      <c r="AF873" s="16">
        <v>22049</v>
      </c>
      <c r="AG873" s="31">
        <v>86309</v>
      </c>
      <c r="AH873" s="16">
        <v>61064</v>
      </c>
      <c r="AI873" s="16">
        <v>20215</v>
      </c>
      <c r="AJ873" s="31">
        <v>81279</v>
      </c>
      <c r="AK873" s="16">
        <v>62791</v>
      </c>
      <c r="AL873" s="16">
        <v>13998</v>
      </c>
      <c r="AM873" s="31">
        <v>76789</v>
      </c>
      <c r="AN873" s="16">
        <v>69517</v>
      </c>
      <c r="AO873" s="16">
        <v>16290</v>
      </c>
      <c r="AP873" s="31">
        <v>85807</v>
      </c>
      <c r="AQ873" s="42"/>
      <c r="AR873" s="43"/>
      <c r="AS873" s="42"/>
      <c r="AT873" s="42"/>
    </row>
    <row r="874" spans="1:46" ht="12.9" customHeight="1" x14ac:dyDescent="0.25">
      <c r="A874" s="28" t="s">
        <v>1779</v>
      </c>
      <c r="B874" s="29" t="s">
        <v>1780</v>
      </c>
      <c r="C874" s="30" t="s">
        <v>17</v>
      </c>
      <c r="D874" s="40">
        <v>9765</v>
      </c>
      <c r="E874" s="26">
        <v>16818</v>
      </c>
      <c r="F874" s="26">
        <f t="shared" si="26"/>
        <v>26583</v>
      </c>
      <c r="G874" s="40">
        <v>10699</v>
      </c>
      <c r="H874" s="26">
        <v>20342</v>
      </c>
      <c r="I874" s="27">
        <f t="shared" si="27"/>
        <v>31041</v>
      </c>
      <c r="J874" s="40">
        <v>10966</v>
      </c>
      <c r="K874" s="26">
        <v>5580</v>
      </c>
      <c r="L874" s="27">
        <v>16546</v>
      </c>
      <c r="M874" s="26">
        <v>10177</v>
      </c>
      <c r="N874" s="26">
        <v>7570</v>
      </c>
      <c r="O874" s="27">
        <v>17747</v>
      </c>
      <c r="P874" s="26">
        <v>9478</v>
      </c>
      <c r="Q874" s="26">
        <v>3562</v>
      </c>
      <c r="R874" s="27">
        <v>13040</v>
      </c>
      <c r="S874" s="26">
        <v>9982</v>
      </c>
      <c r="T874" s="26">
        <v>22128</v>
      </c>
      <c r="U874" s="27">
        <v>32110</v>
      </c>
      <c r="V874" s="26">
        <v>11651</v>
      </c>
      <c r="W874" s="26">
        <v>4803</v>
      </c>
      <c r="X874" s="31">
        <v>16454</v>
      </c>
      <c r="Y874" s="16">
        <v>10196</v>
      </c>
      <c r="Z874" s="16">
        <v>12532</v>
      </c>
      <c r="AA874" s="31">
        <v>22728</v>
      </c>
      <c r="AB874" s="32">
        <v>12877</v>
      </c>
      <c r="AC874" s="16">
        <v>16574</v>
      </c>
      <c r="AD874" s="31">
        <v>29451</v>
      </c>
      <c r="AE874" s="16">
        <v>10176</v>
      </c>
      <c r="AF874" s="16">
        <v>20560</v>
      </c>
      <c r="AG874" s="31">
        <v>30736</v>
      </c>
      <c r="AH874" s="16">
        <v>12254</v>
      </c>
      <c r="AI874" s="16">
        <v>9154</v>
      </c>
      <c r="AJ874" s="31">
        <v>21408</v>
      </c>
      <c r="AK874" s="16">
        <v>13092</v>
      </c>
      <c r="AL874" s="16">
        <v>16034</v>
      </c>
      <c r="AM874" s="31">
        <v>29126</v>
      </c>
      <c r="AN874" s="16">
        <v>12191</v>
      </c>
      <c r="AO874" s="16">
        <v>11650</v>
      </c>
      <c r="AP874" s="31">
        <v>23841</v>
      </c>
      <c r="AQ874" s="42"/>
      <c r="AR874" s="43"/>
      <c r="AS874" s="42"/>
      <c r="AT874" s="42"/>
    </row>
    <row r="875" spans="1:46" ht="12.9" customHeight="1" x14ac:dyDescent="0.25">
      <c r="A875" s="28" t="s">
        <v>1781</v>
      </c>
      <c r="B875" s="29" t="s">
        <v>1782</v>
      </c>
      <c r="C875" s="30" t="s">
        <v>184</v>
      </c>
      <c r="D875" s="40">
        <v>6679</v>
      </c>
      <c r="E875" s="26">
        <v>1127</v>
      </c>
      <c r="F875" s="26">
        <f t="shared" si="26"/>
        <v>7806</v>
      </c>
      <c r="G875" s="40">
        <v>6546</v>
      </c>
      <c r="H875" s="26">
        <v>1115</v>
      </c>
      <c r="I875" s="27">
        <f t="shared" si="27"/>
        <v>7661</v>
      </c>
      <c r="J875" s="40">
        <v>6950</v>
      </c>
      <c r="K875" s="26">
        <v>1161</v>
      </c>
      <c r="L875" s="27">
        <v>8111</v>
      </c>
      <c r="M875" s="26">
        <v>7055</v>
      </c>
      <c r="N875" s="26">
        <v>1033</v>
      </c>
      <c r="O875" s="27">
        <v>8088</v>
      </c>
      <c r="P875" s="26">
        <v>5748</v>
      </c>
      <c r="Q875" s="26">
        <v>1108</v>
      </c>
      <c r="R875" s="27">
        <v>6856</v>
      </c>
      <c r="S875" s="26">
        <v>5748</v>
      </c>
      <c r="T875" s="26">
        <v>1145</v>
      </c>
      <c r="U875" s="27">
        <v>6893</v>
      </c>
      <c r="V875" s="26">
        <v>5245.333333333333</v>
      </c>
      <c r="W875" s="26">
        <v>570</v>
      </c>
      <c r="X875" s="31">
        <v>5815.333333333333</v>
      </c>
      <c r="Y875" s="16">
        <v>5611</v>
      </c>
      <c r="Z875" s="16">
        <v>368</v>
      </c>
      <c r="AA875" s="31">
        <v>5979</v>
      </c>
      <c r="AB875" s="32">
        <v>5611</v>
      </c>
      <c r="AC875" s="16">
        <v>380</v>
      </c>
      <c r="AD875" s="31">
        <v>5991</v>
      </c>
      <c r="AE875" s="16">
        <v>5611</v>
      </c>
      <c r="AF875" s="16">
        <v>385</v>
      </c>
      <c r="AG875" s="31">
        <v>5996</v>
      </c>
      <c r="AH875" s="16">
        <v>5393</v>
      </c>
      <c r="AI875" s="16">
        <v>386</v>
      </c>
      <c r="AJ875" s="31">
        <v>5779</v>
      </c>
      <c r="AK875" s="16">
        <v>5758</v>
      </c>
      <c r="AL875" s="16">
        <v>366</v>
      </c>
      <c r="AM875" s="31">
        <v>6124</v>
      </c>
      <c r="AN875" s="16">
        <v>5758</v>
      </c>
      <c r="AO875" s="16">
        <v>366</v>
      </c>
      <c r="AP875" s="31">
        <v>6124</v>
      </c>
      <c r="AQ875" s="42"/>
      <c r="AR875" s="43"/>
      <c r="AS875" s="42"/>
      <c r="AT875" s="42"/>
    </row>
    <row r="876" spans="1:46" ht="12.9" customHeight="1" x14ac:dyDescent="0.25">
      <c r="A876" s="28" t="s">
        <v>1783</v>
      </c>
      <c r="B876" s="29" t="s">
        <v>1784</v>
      </c>
      <c r="C876" s="30" t="s">
        <v>218</v>
      </c>
      <c r="D876" s="40">
        <v>4920</v>
      </c>
      <c r="E876" s="26">
        <v>2786</v>
      </c>
      <c r="F876" s="26">
        <f t="shared" si="26"/>
        <v>7706</v>
      </c>
      <c r="G876" s="40">
        <v>5881</v>
      </c>
      <c r="H876" s="26">
        <v>3395</v>
      </c>
      <c r="I876" s="27">
        <f t="shared" si="27"/>
        <v>9276</v>
      </c>
      <c r="J876" s="40">
        <v>4774</v>
      </c>
      <c r="K876" s="26">
        <v>13926</v>
      </c>
      <c r="L876" s="27">
        <v>18700</v>
      </c>
      <c r="M876" s="26">
        <v>6884</v>
      </c>
      <c r="N876" s="26">
        <v>3478</v>
      </c>
      <c r="O876" s="27">
        <v>10362</v>
      </c>
      <c r="P876" s="26">
        <v>5651</v>
      </c>
      <c r="Q876" s="26">
        <v>4700</v>
      </c>
      <c r="R876" s="27">
        <v>10351</v>
      </c>
      <c r="S876" s="26">
        <v>6587</v>
      </c>
      <c r="T876" s="26">
        <v>585</v>
      </c>
      <c r="U876" s="27">
        <v>7172</v>
      </c>
      <c r="V876" s="26">
        <v>6306</v>
      </c>
      <c r="W876" s="26">
        <v>3</v>
      </c>
      <c r="X876" s="31">
        <v>6309</v>
      </c>
      <c r="Y876" s="16">
        <v>10717</v>
      </c>
      <c r="Z876" s="16">
        <v>15</v>
      </c>
      <c r="AA876" s="31">
        <v>10732</v>
      </c>
      <c r="AB876" s="32">
        <v>9724</v>
      </c>
      <c r="AC876" s="16">
        <v>15</v>
      </c>
      <c r="AD876" s="31">
        <v>9739</v>
      </c>
      <c r="AE876" s="16">
        <v>8200</v>
      </c>
      <c r="AF876" s="16">
        <v>20</v>
      </c>
      <c r="AG876" s="31">
        <v>8220</v>
      </c>
      <c r="AH876" s="16">
        <v>8809</v>
      </c>
      <c r="AI876" s="16">
        <v>327</v>
      </c>
      <c r="AJ876" s="31">
        <v>9136</v>
      </c>
      <c r="AK876" s="16">
        <v>9188</v>
      </c>
      <c r="AL876" s="16">
        <v>284</v>
      </c>
      <c r="AM876" s="31">
        <v>9472</v>
      </c>
      <c r="AN876" s="16">
        <v>9188</v>
      </c>
      <c r="AO876" s="16">
        <v>284</v>
      </c>
      <c r="AP876" s="31">
        <v>9472</v>
      </c>
      <c r="AQ876" s="42"/>
      <c r="AR876" s="43"/>
      <c r="AS876" s="42"/>
      <c r="AT876" s="42"/>
    </row>
    <row r="877" spans="1:46" ht="12.9" customHeight="1" x14ac:dyDescent="0.25">
      <c r="A877" s="28" t="s">
        <v>1785</v>
      </c>
      <c r="B877" s="29" t="s">
        <v>1786</v>
      </c>
      <c r="C877" s="30" t="s">
        <v>14</v>
      </c>
      <c r="D877" s="40">
        <v>94299</v>
      </c>
      <c r="E877" s="26">
        <v>46891</v>
      </c>
      <c r="F877" s="26">
        <f t="shared" si="26"/>
        <v>141190</v>
      </c>
      <c r="G877" s="40">
        <v>113321</v>
      </c>
      <c r="H877" s="26">
        <v>74485</v>
      </c>
      <c r="I877" s="27">
        <f t="shared" si="27"/>
        <v>187806</v>
      </c>
      <c r="J877" s="40">
        <v>88690</v>
      </c>
      <c r="K877" s="26">
        <v>159895</v>
      </c>
      <c r="L877" s="27">
        <v>248585</v>
      </c>
      <c r="M877" s="26">
        <v>88690</v>
      </c>
      <c r="N877" s="26">
        <v>226314</v>
      </c>
      <c r="O877" s="27">
        <v>315004</v>
      </c>
      <c r="P877" s="26">
        <v>81596</v>
      </c>
      <c r="Q877" s="26">
        <v>270855</v>
      </c>
      <c r="R877" s="27">
        <v>352451</v>
      </c>
      <c r="S877" s="26">
        <v>81596</v>
      </c>
      <c r="T877" s="26">
        <v>253967</v>
      </c>
      <c r="U877" s="27">
        <v>335563</v>
      </c>
      <c r="V877" s="26">
        <v>75704</v>
      </c>
      <c r="W877" s="26">
        <v>264015</v>
      </c>
      <c r="X877" s="31">
        <v>339719</v>
      </c>
      <c r="Y877" s="16">
        <v>81973</v>
      </c>
      <c r="Z877" s="16">
        <v>278419</v>
      </c>
      <c r="AA877" s="31">
        <v>360392</v>
      </c>
      <c r="AB877" s="32">
        <v>73394</v>
      </c>
      <c r="AC877" s="16">
        <v>174408</v>
      </c>
      <c r="AD877" s="31">
        <v>247802</v>
      </c>
      <c r="AE877" s="16">
        <v>71820</v>
      </c>
      <c r="AF877" s="16">
        <v>169080</v>
      </c>
      <c r="AG877" s="31">
        <v>240900</v>
      </c>
      <c r="AH877" s="16">
        <v>82832</v>
      </c>
      <c r="AI877" s="16">
        <v>164644</v>
      </c>
      <c r="AJ877" s="31">
        <v>247476</v>
      </c>
      <c r="AK877" s="16">
        <v>76225</v>
      </c>
      <c r="AL877" s="16">
        <v>158264</v>
      </c>
      <c r="AM877" s="31">
        <v>234489</v>
      </c>
      <c r="AN877" s="16">
        <v>87572</v>
      </c>
      <c r="AO877" s="16">
        <v>150308</v>
      </c>
      <c r="AP877" s="31">
        <v>237880</v>
      </c>
      <c r="AQ877" s="42"/>
      <c r="AR877" s="43"/>
      <c r="AS877" s="42"/>
      <c r="AT877" s="42"/>
    </row>
    <row r="878" spans="1:46" ht="12.9" customHeight="1" x14ac:dyDescent="0.25">
      <c r="A878" s="28" t="s">
        <v>1787</v>
      </c>
      <c r="B878" s="29" t="s">
        <v>1788</v>
      </c>
      <c r="C878" s="30" t="s">
        <v>384</v>
      </c>
      <c r="D878" s="40">
        <v>9752</v>
      </c>
      <c r="E878" s="26">
        <v>8348</v>
      </c>
      <c r="F878" s="26">
        <f t="shared" si="26"/>
        <v>18100</v>
      </c>
      <c r="G878" s="40">
        <v>9702</v>
      </c>
      <c r="H878" s="26">
        <v>10127</v>
      </c>
      <c r="I878" s="27">
        <f t="shared" si="27"/>
        <v>19829</v>
      </c>
      <c r="J878" s="40">
        <v>4401</v>
      </c>
      <c r="K878" s="26">
        <v>7000</v>
      </c>
      <c r="L878" s="27">
        <v>11401</v>
      </c>
      <c r="M878" s="26">
        <v>8099</v>
      </c>
      <c r="N878" s="26">
        <v>10071</v>
      </c>
      <c r="O878" s="27">
        <v>18170</v>
      </c>
      <c r="P878" s="26">
        <v>7739</v>
      </c>
      <c r="Q878" s="26">
        <v>7976</v>
      </c>
      <c r="R878" s="27">
        <v>15715</v>
      </c>
      <c r="S878" s="26">
        <v>7855</v>
      </c>
      <c r="T878" s="26">
        <v>8289</v>
      </c>
      <c r="U878" s="27">
        <v>16144</v>
      </c>
      <c r="V878" s="26">
        <v>7187</v>
      </c>
      <c r="W878" s="26">
        <v>7301</v>
      </c>
      <c r="X878" s="31">
        <v>14488</v>
      </c>
      <c r="Y878" s="16">
        <v>8452</v>
      </c>
      <c r="Z878" s="16">
        <v>3506</v>
      </c>
      <c r="AA878" s="31">
        <v>11958</v>
      </c>
      <c r="AB878" s="32">
        <v>7648</v>
      </c>
      <c r="AC878" s="16">
        <v>2448</v>
      </c>
      <c r="AD878" s="31">
        <v>10096</v>
      </c>
      <c r="AE878" s="16">
        <v>7951</v>
      </c>
      <c r="AF878" s="16">
        <v>6898</v>
      </c>
      <c r="AG878" s="31">
        <v>14849</v>
      </c>
      <c r="AH878" s="16">
        <v>7951</v>
      </c>
      <c r="AI878" s="16">
        <v>4475</v>
      </c>
      <c r="AJ878" s="31">
        <v>12426</v>
      </c>
      <c r="AK878" s="16">
        <v>11853</v>
      </c>
      <c r="AL878" s="16">
        <v>3203</v>
      </c>
      <c r="AM878" s="31">
        <v>15056</v>
      </c>
      <c r="AN878" s="16">
        <v>11853</v>
      </c>
      <c r="AO878" s="16">
        <v>3296</v>
      </c>
      <c r="AP878" s="31">
        <v>15149</v>
      </c>
      <c r="AQ878" s="42"/>
      <c r="AR878" s="43"/>
      <c r="AS878" s="42"/>
      <c r="AT878" s="42"/>
    </row>
    <row r="879" spans="1:46" ht="12.9" customHeight="1" x14ac:dyDescent="0.25">
      <c r="A879" s="28" t="s">
        <v>1789</v>
      </c>
      <c r="B879" s="29" t="s">
        <v>1790</v>
      </c>
      <c r="C879" s="30" t="s">
        <v>218</v>
      </c>
      <c r="D879" s="40">
        <v>4556</v>
      </c>
      <c r="E879" s="26">
        <v>9716</v>
      </c>
      <c r="F879" s="26">
        <f t="shared" si="26"/>
        <v>14272</v>
      </c>
      <c r="G879" s="40">
        <v>4883</v>
      </c>
      <c r="H879" s="26">
        <v>9710</v>
      </c>
      <c r="I879" s="27">
        <f t="shared" si="27"/>
        <v>14593</v>
      </c>
      <c r="J879" s="40">
        <v>5593</v>
      </c>
      <c r="K879" s="26">
        <v>9709</v>
      </c>
      <c r="L879" s="27">
        <v>15302</v>
      </c>
      <c r="M879" s="26">
        <v>5091</v>
      </c>
      <c r="N879" s="26">
        <v>9707</v>
      </c>
      <c r="O879" s="27">
        <v>14798</v>
      </c>
      <c r="P879" s="26">
        <v>5035</v>
      </c>
      <c r="Q879" s="26">
        <v>9711</v>
      </c>
      <c r="R879" s="27">
        <v>14746</v>
      </c>
      <c r="S879" s="26">
        <v>5052</v>
      </c>
      <c r="T879" s="26">
        <v>9707</v>
      </c>
      <c r="U879" s="27">
        <v>14759</v>
      </c>
      <c r="V879" s="26">
        <v>5242</v>
      </c>
      <c r="W879" s="26">
        <v>9713</v>
      </c>
      <c r="X879" s="31">
        <v>14955</v>
      </c>
      <c r="Y879" s="16">
        <v>5438</v>
      </c>
      <c r="Z879" s="16">
        <v>9716</v>
      </c>
      <c r="AA879" s="31">
        <v>15154</v>
      </c>
      <c r="AB879" s="32">
        <v>5652</v>
      </c>
      <c r="AC879" s="16">
        <v>9710</v>
      </c>
      <c r="AD879" s="31">
        <v>15362</v>
      </c>
      <c r="AE879" s="16">
        <v>6123</v>
      </c>
      <c r="AF879" s="16">
        <v>9709</v>
      </c>
      <c r="AG879" s="31">
        <v>15832</v>
      </c>
      <c r="AH879" s="16">
        <v>5916</v>
      </c>
      <c r="AI879" s="16">
        <v>9707</v>
      </c>
      <c r="AJ879" s="31">
        <v>15623</v>
      </c>
      <c r="AK879" s="16">
        <v>6826</v>
      </c>
      <c r="AL879" s="16">
        <v>9708</v>
      </c>
      <c r="AM879" s="31">
        <v>16534</v>
      </c>
      <c r="AN879" s="16">
        <v>6826</v>
      </c>
      <c r="AO879" s="16">
        <v>9708</v>
      </c>
      <c r="AP879" s="31">
        <v>16534</v>
      </c>
      <c r="AQ879" s="42"/>
      <c r="AR879" s="43"/>
      <c r="AS879" s="42"/>
      <c r="AT879" s="42"/>
    </row>
    <row r="880" spans="1:46" ht="12.9" customHeight="1" x14ac:dyDescent="0.25">
      <c r="A880" s="28" t="s">
        <v>1791</v>
      </c>
      <c r="B880" s="29" t="s">
        <v>1792</v>
      </c>
      <c r="C880" s="30" t="s">
        <v>26</v>
      </c>
      <c r="D880" s="40">
        <v>135858</v>
      </c>
      <c r="E880" s="26">
        <v>24533</v>
      </c>
      <c r="F880" s="26">
        <f t="shared" si="26"/>
        <v>160391</v>
      </c>
      <c r="G880" s="40">
        <v>138291</v>
      </c>
      <c r="H880" s="26">
        <v>23567</v>
      </c>
      <c r="I880" s="27">
        <f t="shared" si="27"/>
        <v>161858</v>
      </c>
      <c r="J880" s="40">
        <v>143414</v>
      </c>
      <c r="K880" s="26">
        <v>27381</v>
      </c>
      <c r="L880" s="27">
        <v>170795</v>
      </c>
      <c r="M880" s="26">
        <v>138332</v>
      </c>
      <c r="N880" s="26">
        <v>24962</v>
      </c>
      <c r="O880" s="27">
        <v>163294</v>
      </c>
      <c r="P880" s="26">
        <v>146372</v>
      </c>
      <c r="Q880" s="26">
        <v>23084</v>
      </c>
      <c r="R880" s="27">
        <v>169456</v>
      </c>
      <c r="S880" s="26">
        <v>140169</v>
      </c>
      <c r="T880" s="26">
        <v>22442</v>
      </c>
      <c r="U880" s="27">
        <v>162611</v>
      </c>
      <c r="V880" s="26">
        <v>116861</v>
      </c>
      <c r="W880" s="26">
        <v>25537</v>
      </c>
      <c r="X880" s="31">
        <v>142398</v>
      </c>
      <c r="Y880" s="16">
        <v>127182</v>
      </c>
      <c r="Z880" s="16">
        <v>24802</v>
      </c>
      <c r="AA880" s="31">
        <v>151984</v>
      </c>
      <c r="AB880" s="32">
        <v>135814</v>
      </c>
      <c r="AC880" s="16">
        <v>23987</v>
      </c>
      <c r="AD880" s="31">
        <v>159801</v>
      </c>
      <c r="AE880" s="16">
        <v>119519</v>
      </c>
      <c r="AF880" s="16">
        <v>23536</v>
      </c>
      <c r="AG880" s="31">
        <v>143055</v>
      </c>
      <c r="AH880" s="16">
        <v>110113</v>
      </c>
      <c r="AI880" s="16">
        <v>27831</v>
      </c>
      <c r="AJ880" s="31">
        <v>137944</v>
      </c>
      <c r="AK880" s="16">
        <v>107508</v>
      </c>
      <c r="AL880" s="16">
        <v>31983</v>
      </c>
      <c r="AM880" s="31">
        <v>139491</v>
      </c>
      <c r="AN880" s="16">
        <v>126067</v>
      </c>
      <c r="AO880" s="16">
        <v>35107</v>
      </c>
      <c r="AP880" s="31">
        <v>161174</v>
      </c>
      <c r="AQ880" s="42"/>
      <c r="AR880" s="43"/>
      <c r="AS880" s="42"/>
      <c r="AT880" s="42"/>
    </row>
    <row r="881" spans="1:46" ht="12.9" customHeight="1" x14ac:dyDescent="0.25">
      <c r="A881" s="28" t="s">
        <v>1793</v>
      </c>
      <c r="B881" s="29" t="s">
        <v>1794</v>
      </c>
      <c r="C881" s="30" t="s">
        <v>11</v>
      </c>
      <c r="D881" s="40">
        <v>656907</v>
      </c>
      <c r="E881" s="26">
        <v>103412</v>
      </c>
      <c r="F881" s="26">
        <f t="shared" si="26"/>
        <v>760319</v>
      </c>
      <c r="G881" s="40">
        <v>704380</v>
      </c>
      <c r="H881" s="26">
        <v>134042</v>
      </c>
      <c r="I881" s="27">
        <f t="shared" si="27"/>
        <v>838422</v>
      </c>
      <c r="J881" s="40">
        <v>720017</v>
      </c>
      <c r="K881" s="26">
        <v>128592</v>
      </c>
      <c r="L881" s="27">
        <v>848609</v>
      </c>
      <c r="M881" s="26">
        <v>745809</v>
      </c>
      <c r="N881" s="26">
        <v>141771</v>
      </c>
      <c r="O881" s="27">
        <v>887580</v>
      </c>
      <c r="P881" s="26">
        <v>729695</v>
      </c>
      <c r="Q881" s="26">
        <v>125341</v>
      </c>
      <c r="R881" s="27">
        <v>855036</v>
      </c>
      <c r="S881" s="26">
        <v>658061</v>
      </c>
      <c r="T881" s="26">
        <v>136458</v>
      </c>
      <c r="U881" s="27">
        <v>794519</v>
      </c>
      <c r="V881" s="26">
        <v>634529</v>
      </c>
      <c r="W881" s="26">
        <v>119388</v>
      </c>
      <c r="X881" s="31">
        <v>753917</v>
      </c>
      <c r="Y881" s="16">
        <v>640464</v>
      </c>
      <c r="Z881" s="16">
        <v>122423</v>
      </c>
      <c r="AA881" s="31">
        <v>762887</v>
      </c>
      <c r="AB881" s="32">
        <v>632726</v>
      </c>
      <c r="AC881" s="16">
        <v>125227</v>
      </c>
      <c r="AD881" s="31">
        <v>757953</v>
      </c>
      <c r="AE881" s="16">
        <v>634320</v>
      </c>
      <c r="AF881" s="16">
        <v>126264</v>
      </c>
      <c r="AG881" s="31">
        <v>760584</v>
      </c>
      <c r="AH881" s="16">
        <v>590080</v>
      </c>
      <c r="AI881" s="16">
        <v>116405</v>
      </c>
      <c r="AJ881" s="31">
        <v>706485</v>
      </c>
      <c r="AK881" s="16">
        <v>638909</v>
      </c>
      <c r="AL881" s="16">
        <v>127919</v>
      </c>
      <c r="AM881" s="31">
        <v>766828</v>
      </c>
      <c r="AN881" s="16">
        <v>676214</v>
      </c>
      <c r="AO881" s="16">
        <v>138818</v>
      </c>
      <c r="AP881" s="31">
        <v>815032</v>
      </c>
      <c r="AQ881" s="42"/>
      <c r="AR881" s="43"/>
      <c r="AS881" s="42"/>
      <c r="AT881" s="42"/>
    </row>
    <row r="882" spans="1:46" ht="12.9" customHeight="1" x14ac:dyDescent="0.25">
      <c r="A882" s="28" t="s">
        <v>1795</v>
      </c>
      <c r="B882" s="29" t="s">
        <v>1796</v>
      </c>
      <c r="C882" s="30" t="s">
        <v>59</v>
      </c>
      <c r="D882" s="40">
        <v>57154</v>
      </c>
      <c r="E882" s="26">
        <v>33212</v>
      </c>
      <c r="F882" s="26">
        <f t="shared" si="26"/>
        <v>90366</v>
      </c>
      <c r="G882" s="40">
        <v>55733</v>
      </c>
      <c r="H882" s="26">
        <v>29562</v>
      </c>
      <c r="I882" s="27">
        <f t="shared" si="27"/>
        <v>85295</v>
      </c>
      <c r="J882" s="40">
        <v>57231</v>
      </c>
      <c r="K882" s="26">
        <v>27570</v>
      </c>
      <c r="L882" s="27">
        <v>84801</v>
      </c>
      <c r="M882" s="26">
        <v>56384</v>
      </c>
      <c r="N882" s="26">
        <v>25422</v>
      </c>
      <c r="O882" s="27">
        <v>81806</v>
      </c>
      <c r="P882" s="26">
        <v>56446</v>
      </c>
      <c r="Q882" s="26">
        <v>19377</v>
      </c>
      <c r="R882" s="27">
        <v>75823</v>
      </c>
      <c r="S882" s="26">
        <v>59274</v>
      </c>
      <c r="T882" s="26">
        <v>21328</v>
      </c>
      <c r="U882" s="27">
        <v>80602</v>
      </c>
      <c r="V882" s="26">
        <v>50749</v>
      </c>
      <c r="W882" s="26">
        <v>26939</v>
      </c>
      <c r="X882" s="31">
        <v>77688</v>
      </c>
      <c r="Y882" s="16">
        <v>53217</v>
      </c>
      <c r="Z882" s="16">
        <v>23317</v>
      </c>
      <c r="AA882" s="31">
        <v>76534</v>
      </c>
      <c r="AB882" s="32">
        <v>63527</v>
      </c>
      <c r="AC882" s="16">
        <v>23472</v>
      </c>
      <c r="AD882" s="31">
        <v>86999</v>
      </c>
      <c r="AE882" s="16">
        <v>53166</v>
      </c>
      <c r="AF882" s="16">
        <v>20128</v>
      </c>
      <c r="AG882" s="31">
        <v>73294</v>
      </c>
      <c r="AH882" s="16">
        <v>49697</v>
      </c>
      <c r="AI882" s="16">
        <v>15516</v>
      </c>
      <c r="AJ882" s="31">
        <v>65213</v>
      </c>
      <c r="AK882" s="16">
        <v>51949</v>
      </c>
      <c r="AL882" s="16">
        <v>20036</v>
      </c>
      <c r="AM882" s="31">
        <v>71985</v>
      </c>
      <c r="AN882" s="16">
        <v>56304</v>
      </c>
      <c r="AO882" s="16">
        <v>26720</v>
      </c>
      <c r="AP882" s="31">
        <v>83024</v>
      </c>
      <c r="AQ882" s="42"/>
      <c r="AR882" s="43"/>
      <c r="AS882" s="42"/>
      <c r="AT882" s="42"/>
    </row>
    <row r="883" spans="1:46" ht="12.9" customHeight="1" x14ac:dyDescent="0.25">
      <c r="A883" s="28" t="s">
        <v>1797</v>
      </c>
      <c r="B883" s="29" t="s">
        <v>1798</v>
      </c>
      <c r="C883" s="30" t="s">
        <v>29</v>
      </c>
      <c r="D883" s="40">
        <v>77002</v>
      </c>
      <c r="E883" s="26">
        <v>281710</v>
      </c>
      <c r="F883" s="26">
        <f t="shared" si="26"/>
        <v>358712</v>
      </c>
      <c r="G883" s="40">
        <v>66219</v>
      </c>
      <c r="H883" s="26">
        <v>179608</v>
      </c>
      <c r="I883" s="27">
        <f t="shared" si="27"/>
        <v>245827</v>
      </c>
      <c r="J883" s="40">
        <v>64046</v>
      </c>
      <c r="K883" s="26">
        <v>314979</v>
      </c>
      <c r="L883" s="27">
        <v>379025</v>
      </c>
      <c r="M883" s="26">
        <v>82859</v>
      </c>
      <c r="N883" s="26">
        <v>281201</v>
      </c>
      <c r="O883" s="27">
        <v>364060</v>
      </c>
      <c r="P883" s="26">
        <v>73909</v>
      </c>
      <c r="Q883" s="26">
        <v>149292</v>
      </c>
      <c r="R883" s="27">
        <v>223201</v>
      </c>
      <c r="S883" s="26">
        <v>80139</v>
      </c>
      <c r="T883" s="26">
        <v>288945</v>
      </c>
      <c r="U883" s="27">
        <v>369084</v>
      </c>
      <c r="V883" s="26">
        <v>74391</v>
      </c>
      <c r="W883" s="26">
        <v>251405</v>
      </c>
      <c r="X883" s="31">
        <v>325796</v>
      </c>
      <c r="Y883" s="16">
        <v>76837</v>
      </c>
      <c r="Z883" s="16">
        <v>222561</v>
      </c>
      <c r="AA883" s="31">
        <v>299398</v>
      </c>
      <c r="AB883" s="32">
        <v>76563</v>
      </c>
      <c r="AC883" s="16">
        <v>208199</v>
      </c>
      <c r="AD883" s="31">
        <v>284762</v>
      </c>
      <c r="AE883" s="16">
        <v>71227</v>
      </c>
      <c r="AF883" s="16">
        <v>229875</v>
      </c>
      <c r="AG883" s="31">
        <v>301102</v>
      </c>
      <c r="AH883" s="16">
        <v>73172</v>
      </c>
      <c r="AI883" s="16">
        <v>246268</v>
      </c>
      <c r="AJ883" s="31">
        <v>319440</v>
      </c>
      <c r="AK883" s="16">
        <v>78406</v>
      </c>
      <c r="AL883" s="16">
        <v>165914</v>
      </c>
      <c r="AM883" s="31">
        <v>244320</v>
      </c>
      <c r="AN883" s="16">
        <v>78406</v>
      </c>
      <c r="AO883" s="16">
        <v>161131</v>
      </c>
      <c r="AP883" s="31">
        <v>239537</v>
      </c>
      <c r="AQ883" s="42"/>
      <c r="AR883" s="43"/>
      <c r="AS883" s="42"/>
      <c r="AT883" s="42"/>
    </row>
    <row r="884" spans="1:46" ht="12.9" customHeight="1" x14ac:dyDescent="0.25">
      <c r="A884" s="28" t="s">
        <v>1799</v>
      </c>
      <c r="B884" s="29" t="s">
        <v>1800</v>
      </c>
      <c r="C884" s="30" t="s">
        <v>26</v>
      </c>
      <c r="D884" s="40">
        <v>158792</v>
      </c>
      <c r="E884" s="26">
        <v>204002</v>
      </c>
      <c r="F884" s="26">
        <f t="shared" si="26"/>
        <v>362794</v>
      </c>
      <c r="G884" s="40">
        <v>173534</v>
      </c>
      <c r="H884" s="26">
        <v>257481</v>
      </c>
      <c r="I884" s="27">
        <f t="shared" si="27"/>
        <v>431015</v>
      </c>
      <c r="J884" s="40">
        <v>194575</v>
      </c>
      <c r="K884" s="26">
        <v>231355</v>
      </c>
      <c r="L884" s="27">
        <v>425930</v>
      </c>
      <c r="M884" s="26">
        <v>195369</v>
      </c>
      <c r="N884" s="26">
        <v>223801</v>
      </c>
      <c r="O884" s="27">
        <v>419170</v>
      </c>
      <c r="P884" s="26">
        <v>191261</v>
      </c>
      <c r="Q884" s="26">
        <v>172924</v>
      </c>
      <c r="R884" s="27">
        <v>364185</v>
      </c>
      <c r="S884" s="26">
        <v>190541</v>
      </c>
      <c r="T884" s="26">
        <v>210993</v>
      </c>
      <c r="U884" s="27">
        <v>401534</v>
      </c>
      <c r="V884" s="26">
        <v>170801</v>
      </c>
      <c r="W884" s="26">
        <v>232075</v>
      </c>
      <c r="X884" s="31">
        <v>402876</v>
      </c>
      <c r="Y884" s="16">
        <v>186226</v>
      </c>
      <c r="Z884" s="16">
        <v>297015</v>
      </c>
      <c r="AA884" s="31">
        <v>483241</v>
      </c>
      <c r="AB884" s="32">
        <v>205588</v>
      </c>
      <c r="AC884" s="16">
        <v>223786</v>
      </c>
      <c r="AD884" s="31">
        <v>429374</v>
      </c>
      <c r="AE884" s="16">
        <v>181403</v>
      </c>
      <c r="AF884" s="16">
        <v>240509</v>
      </c>
      <c r="AG884" s="31">
        <v>421912</v>
      </c>
      <c r="AH884" s="16">
        <v>167842</v>
      </c>
      <c r="AI884" s="16">
        <v>144280</v>
      </c>
      <c r="AJ884" s="31">
        <v>312122</v>
      </c>
      <c r="AK884" s="16">
        <v>166721</v>
      </c>
      <c r="AL884" s="16">
        <v>227272</v>
      </c>
      <c r="AM884" s="31">
        <v>393993</v>
      </c>
      <c r="AN884" s="16">
        <v>205758</v>
      </c>
      <c r="AO884" s="16">
        <v>292182</v>
      </c>
      <c r="AP884" s="31">
        <v>497940</v>
      </c>
      <c r="AQ884" s="42"/>
      <c r="AR884" s="43"/>
      <c r="AS884" s="42"/>
      <c r="AT884" s="42"/>
    </row>
    <row r="885" spans="1:46" ht="12.9" customHeight="1" x14ac:dyDescent="0.25">
      <c r="A885" s="28" t="s">
        <v>1801</v>
      </c>
      <c r="B885" s="29" t="s">
        <v>1802</v>
      </c>
      <c r="C885" s="30" t="s">
        <v>29</v>
      </c>
      <c r="D885" s="40">
        <v>766175</v>
      </c>
      <c r="E885" s="26">
        <v>538615</v>
      </c>
      <c r="F885" s="26">
        <f t="shared" si="26"/>
        <v>1304790</v>
      </c>
      <c r="G885" s="40">
        <v>790724</v>
      </c>
      <c r="H885" s="26">
        <v>586470</v>
      </c>
      <c r="I885" s="27">
        <f t="shared" si="27"/>
        <v>1377194</v>
      </c>
      <c r="J885" s="40">
        <v>794869</v>
      </c>
      <c r="K885" s="26">
        <v>634579</v>
      </c>
      <c r="L885" s="27">
        <v>1429448</v>
      </c>
      <c r="M885" s="26">
        <v>793435</v>
      </c>
      <c r="N885" s="26">
        <v>587686</v>
      </c>
      <c r="O885" s="27">
        <v>1381121</v>
      </c>
      <c r="P885" s="26">
        <v>816912</v>
      </c>
      <c r="Q885" s="26">
        <v>581134</v>
      </c>
      <c r="R885" s="27">
        <v>1398046</v>
      </c>
      <c r="S885" s="26">
        <v>774753</v>
      </c>
      <c r="T885" s="26">
        <v>660320</v>
      </c>
      <c r="U885" s="27">
        <v>1435073</v>
      </c>
      <c r="V885" s="26">
        <v>772493</v>
      </c>
      <c r="W885" s="26">
        <v>572746</v>
      </c>
      <c r="X885" s="31">
        <v>1345239</v>
      </c>
      <c r="Y885" s="16">
        <v>765952</v>
      </c>
      <c r="Z885" s="16">
        <v>641211</v>
      </c>
      <c r="AA885" s="31">
        <v>1407163</v>
      </c>
      <c r="AB885" s="32">
        <v>780855</v>
      </c>
      <c r="AC885" s="16">
        <v>554775</v>
      </c>
      <c r="AD885" s="31">
        <v>1335630</v>
      </c>
      <c r="AE885" s="16">
        <v>757982</v>
      </c>
      <c r="AF885" s="16">
        <v>583430</v>
      </c>
      <c r="AG885" s="31">
        <v>1341412</v>
      </c>
      <c r="AH885" s="16">
        <v>741746</v>
      </c>
      <c r="AI885" s="16">
        <v>521567</v>
      </c>
      <c r="AJ885" s="31">
        <v>1263313</v>
      </c>
      <c r="AK885" s="16">
        <v>758959</v>
      </c>
      <c r="AL885" s="16">
        <v>554414</v>
      </c>
      <c r="AM885" s="31">
        <v>1313373</v>
      </c>
      <c r="AN885" s="16">
        <v>845115</v>
      </c>
      <c r="AO885" s="16">
        <v>515025</v>
      </c>
      <c r="AP885" s="31">
        <v>1360140</v>
      </c>
      <c r="AQ885" s="42"/>
      <c r="AR885" s="43"/>
      <c r="AS885" s="42"/>
      <c r="AT885" s="42"/>
    </row>
    <row r="886" spans="1:46" ht="12.9" customHeight="1" x14ac:dyDescent="0.25">
      <c r="A886" s="28" t="s">
        <v>1803</v>
      </c>
      <c r="B886" s="29" t="s">
        <v>1804</v>
      </c>
      <c r="C886" s="30" t="s">
        <v>39</v>
      </c>
      <c r="D886" s="40">
        <v>11335</v>
      </c>
      <c r="E886" s="26">
        <v>13423</v>
      </c>
      <c r="F886" s="26">
        <f t="shared" si="26"/>
        <v>24758</v>
      </c>
      <c r="G886" s="40">
        <v>8744</v>
      </c>
      <c r="H886" s="26">
        <v>752</v>
      </c>
      <c r="I886" s="27">
        <f t="shared" si="27"/>
        <v>9496</v>
      </c>
      <c r="J886" s="40">
        <v>13841</v>
      </c>
      <c r="K886" s="26">
        <v>1541</v>
      </c>
      <c r="L886" s="27">
        <v>15382</v>
      </c>
      <c r="M886" s="26">
        <v>7934</v>
      </c>
      <c r="N886" s="26">
        <v>859</v>
      </c>
      <c r="O886" s="27">
        <v>8793</v>
      </c>
      <c r="P886" s="26">
        <v>7984</v>
      </c>
      <c r="Q886" s="26">
        <v>1130</v>
      </c>
      <c r="R886" s="27">
        <v>9114</v>
      </c>
      <c r="S886" s="26">
        <v>6668</v>
      </c>
      <c r="T886" s="26">
        <v>1154</v>
      </c>
      <c r="U886" s="27">
        <v>7822</v>
      </c>
      <c r="V886" s="26">
        <v>7260</v>
      </c>
      <c r="W886" s="26">
        <v>1248</v>
      </c>
      <c r="X886" s="31">
        <v>8508</v>
      </c>
      <c r="Y886" s="16">
        <v>8528</v>
      </c>
      <c r="Z886" s="16">
        <v>1717</v>
      </c>
      <c r="AA886" s="31">
        <v>10245</v>
      </c>
      <c r="AB886" s="32">
        <v>8856</v>
      </c>
      <c r="AC886" s="16">
        <v>2944</v>
      </c>
      <c r="AD886" s="31">
        <v>11800</v>
      </c>
      <c r="AE886" s="16">
        <v>7293</v>
      </c>
      <c r="AF886" s="16">
        <v>2339</v>
      </c>
      <c r="AG886" s="31">
        <v>9632</v>
      </c>
      <c r="AH886" s="16">
        <v>7424</v>
      </c>
      <c r="AI886" s="16">
        <v>2202</v>
      </c>
      <c r="AJ886" s="31">
        <v>9626</v>
      </c>
      <c r="AK886" s="16">
        <v>8915</v>
      </c>
      <c r="AL886" s="16">
        <v>2609</v>
      </c>
      <c r="AM886" s="31">
        <v>11524</v>
      </c>
      <c r="AN886" s="16">
        <v>7269</v>
      </c>
      <c r="AO886" s="16">
        <v>2180</v>
      </c>
      <c r="AP886" s="31">
        <v>9449</v>
      </c>
      <c r="AQ886" s="42"/>
      <c r="AR886" s="43"/>
      <c r="AS886" s="42"/>
      <c r="AT886" s="42"/>
    </row>
    <row r="887" spans="1:46" ht="12.9" customHeight="1" x14ac:dyDescent="0.25">
      <c r="A887" s="28" t="s">
        <v>1805</v>
      </c>
      <c r="B887" s="29" t="s">
        <v>1806</v>
      </c>
      <c r="C887" s="30" t="s">
        <v>39</v>
      </c>
      <c r="D887" s="40">
        <v>42660</v>
      </c>
      <c r="E887" s="26">
        <v>20956</v>
      </c>
      <c r="F887" s="26">
        <f t="shared" si="26"/>
        <v>63616</v>
      </c>
      <c r="G887" s="40">
        <v>42336</v>
      </c>
      <c r="H887" s="26">
        <v>22800</v>
      </c>
      <c r="I887" s="27">
        <f t="shared" si="27"/>
        <v>65136</v>
      </c>
      <c r="J887" s="40">
        <v>42588</v>
      </c>
      <c r="K887" s="26">
        <v>25844</v>
      </c>
      <c r="L887" s="27">
        <v>68432</v>
      </c>
      <c r="M887" s="26">
        <v>42624</v>
      </c>
      <c r="N887" s="26">
        <v>24158</v>
      </c>
      <c r="O887" s="27">
        <v>66782</v>
      </c>
      <c r="P887" s="26">
        <v>42552</v>
      </c>
      <c r="Q887" s="26">
        <v>18328</v>
      </c>
      <c r="R887" s="27">
        <v>60880</v>
      </c>
      <c r="S887" s="26">
        <v>42552</v>
      </c>
      <c r="T887" s="26">
        <v>21323</v>
      </c>
      <c r="U887" s="27">
        <v>63875</v>
      </c>
      <c r="V887" s="26">
        <v>41904</v>
      </c>
      <c r="W887" s="26">
        <v>25551</v>
      </c>
      <c r="X887" s="31">
        <v>67455</v>
      </c>
      <c r="Y887" s="16">
        <v>41976</v>
      </c>
      <c r="Z887" s="16">
        <v>22277</v>
      </c>
      <c r="AA887" s="31">
        <v>64253</v>
      </c>
      <c r="AB887" s="32">
        <v>42300</v>
      </c>
      <c r="AC887" s="16">
        <v>18016</v>
      </c>
      <c r="AD887" s="31">
        <v>60316</v>
      </c>
      <c r="AE887" s="16">
        <v>41940</v>
      </c>
      <c r="AF887" s="16">
        <v>23331</v>
      </c>
      <c r="AG887" s="31">
        <v>65271</v>
      </c>
      <c r="AH887" s="16">
        <v>42120</v>
      </c>
      <c r="AI887" s="16">
        <v>15653</v>
      </c>
      <c r="AJ887" s="31">
        <v>57773</v>
      </c>
      <c r="AK887" s="16">
        <v>42336</v>
      </c>
      <c r="AL887" s="16">
        <v>16926</v>
      </c>
      <c r="AM887" s="31">
        <v>59262</v>
      </c>
      <c r="AN887" s="16">
        <v>43524</v>
      </c>
      <c r="AO887" s="16">
        <v>35362</v>
      </c>
      <c r="AP887" s="31">
        <v>78886</v>
      </c>
      <c r="AQ887" s="42"/>
      <c r="AR887" s="43"/>
      <c r="AS887" s="42"/>
      <c r="AT887" s="42"/>
    </row>
    <row r="888" spans="1:46" ht="12.9" customHeight="1" x14ac:dyDescent="0.25">
      <c r="A888" s="28" t="s">
        <v>1807</v>
      </c>
      <c r="B888" s="29" t="s">
        <v>1808</v>
      </c>
      <c r="C888" s="30" t="s">
        <v>56</v>
      </c>
      <c r="D888" s="40">
        <v>350902</v>
      </c>
      <c r="E888" s="26">
        <v>211296</v>
      </c>
      <c r="F888" s="26">
        <f t="shared" si="26"/>
        <v>562198</v>
      </c>
      <c r="G888" s="40">
        <v>368704</v>
      </c>
      <c r="H888" s="26">
        <v>163847</v>
      </c>
      <c r="I888" s="27">
        <f t="shared" si="27"/>
        <v>532551</v>
      </c>
      <c r="J888" s="40">
        <v>376641</v>
      </c>
      <c r="K888" s="26">
        <v>254100</v>
      </c>
      <c r="L888" s="27">
        <v>630741</v>
      </c>
      <c r="M888" s="26">
        <v>380565</v>
      </c>
      <c r="N888" s="26">
        <v>261967</v>
      </c>
      <c r="O888" s="27">
        <v>642532</v>
      </c>
      <c r="P888" s="26">
        <v>371866</v>
      </c>
      <c r="Q888" s="26">
        <v>272369</v>
      </c>
      <c r="R888" s="27">
        <v>644235</v>
      </c>
      <c r="S888" s="26">
        <v>368108</v>
      </c>
      <c r="T888" s="26">
        <v>254524</v>
      </c>
      <c r="U888" s="27">
        <v>622632</v>
      </c>
      <c r="V888" s="26">
        <v>367158</v>
      </c>
      <c r="W888" s="26">
        <v>881964</v>
      </c>
      <c r="X888" s="31">
        <v>1249122</v>
      </c>
      <c r="Y888" s="16">
        <v>359897</v>
      </c>
      <c r="Z888" s="16">
        <v>270202</v>
      </c>
      <c r="AA888" s="31">
        <v>630099</v>
      </c>
      <c r="AB888" s="32">
        <v>354333</v>
      </c>
      <c r="AC888" s="16">
        <v>844672</v>
      </c>
      <c r="AD888" s="31">
        <v>1199005</v>
      </c>
      <c r="AE888" s="16">
        <v>339601</v>
      </c>
      <c r="AF888" s="16">
        <v>785420</v>
      </c>
      <c r="AG888" s="31">
        <v>1125021</v>
      </c>
      <c r="AH888" s="16">
        <v>339559</v>
      </c>
      <c r="AI888" s="16">
        <v>243340</v>
      </c>
      <c r="AJ888" s="31">
        <v>582899</v>
      </c>
      <c r="AK888" s="16">
        <v>335977</v>
      </c>
      <c r="AL888" s="16">
        <v>207587</v>
      </c>
      <c r="AM888" s="31">
        <v>543564</v>
      </c>
      <c r="AN888" s="16">
        <v>408056.14823731728</v>
      </c>
      <c r="AO888" s="16">
        <v>172698.73008323426</v>
      </c>
      <c r="AP888" s="31">
        <v>580754.87832055148</v>
      </c>
      <c r="AQ888" s="42"/>
      <c r="AR888" s="43"/>
      <c r="AS888" s="42"/>
      <c r="AT888" s="42"/>
    </row>
    <row r="889" spans="1:46" ht="12.9" customHeight="1" x14ac:dyDescent="0.25">
      <c r="A889" s="28" t="s">
        <v>1809</v>
      </c>
      <c r="B889" s="29" t="s">
        <v>1810</v>
      </c>
      <c r="C889" s="30" t="s">
        <v>39</v>
      </c>
      <c r="D889" s="40">
        <v>23561</v>
      </c>
      <c r="E889" s="26">
        <v>2527</v>
      </c>
      <c r="F889" s="26">
        <f t="shared" si="26"/>
        <v>26088</v>
      </c>
      <c r="G889" s="40">
        <v>23561</v>
      </c>
      <c r="H889" s="26">
        <v>2527</v>
      </c>
      <c r="I889" s="27">
        <f t="shared" si="27"/>
        <v>26088</v>
      </c>
      <c r="J889" s="40">
        <v>23561</v>
      </c>
      <c r="K889" s="26">
        <v>1555</v>
      </c>
      <c r="L889" s="27">
        <v>25116</v>
      </c>
      <c r="M889" s="26">
        <v>21658</v>
      </c>
      <c r="N889" s="26">
        <v>1555</v>
      </c>
      <c r="O889" s="27">
        <v>23213</v>
      </c>
      <c r="P889" s="26">
        <v>7976</v>
      </c>
      <c r="Q889" s="26">
        <v>0</v>
      </c>
      <c r="R889" s="27">
        <v>7976</v>
      </c>
      <c r="S889" s="26">
        <v>7976</v>
      </c>
      <c r="T889" s="26">
        <v>0</v>
      </c>
      <c r="U889" s="27">
        <v>7976</v>
      </c>
      <c r="V889" s="26">
        <v>7976</v>
      </c>
      <c r="W889" s="26">
        <v>0</v>
      </c>
      <c r="X889" s="31">
        <v>7976</v>
      </c>
      <c r="Y889" s="16">
        <v>7976</v>
      </c>
      <c r="Z889" s="16">
        <v>0</v>
      </c>
      <c r="AA889" s="31">
        <v>7976</v>
      </c>
      <c r="AB889" s="32">
        <v>7976</v>
      </c>
      <c r="AC889" s="16">
        <v>0</v>
      </c>
      <c r="AD889" s="31">
        <v>7976</v>
      </c>
      <c r="AE889" s="16">
        <v>7975.7142857142853</v>
      </c>
      <c r="AF889" s="16">
        <v>0</v>
      </c>
      <c r="AG889" s="31">
        <v>7975.7142857142853</v>
      </c>
      <c r="AH889" s="16">
        <v>7975.7142857142853</v>
      </c>
      <c r="AI889" s="16">
        <v>0</v>
      </c>
      <c r="AJ889" s="31">
        <v>7975.7142857142853</v>
      </c>
      <c r="AK889" s="16">
        <v>7975.7142857142853</v>
      </c>
      <c r="AL889" s="16">
        <v>0</v>
      </c>
      <c r="AM889" s="31">
        <v>7975.7142857142853</v>
      </c>
      <c r="AN889" s="16">
        <v>7975.7142857142853</v>
      </c>
      <c r="AO889" s="16">
        <v>0</v>
      </c>
      <c r="AP889" s="31">
        <v>7975.7142857142853</v>
      </c>
      <c r="AQ889" s="42"/>
      <c r="AR889" s="43"/>
      <c r="AS889" s="42"/>
      <c r="AT889" s="42"/>
    </row>
    <row r="890" spans="1:46" ht="12.9" customHeight="1" x14ac:dyDescent="0.25">
      <c r="A890" s="28" t="s">
        <v>1811</v>
      </c>
      <c r="B890" s="29" t="s">
        <v>1812</v>
      </c>
      <c r="C890" s="30" t="s">
        <v>153</v>
      </c>
      <c r="D890" s="40">
        <v>3623</v>
      </c>
      <c r="E890" s="26">
        <v>29761</v>
      </c>
      <c r="F890" s="26">
        <f t="shared" si="26"/>
        <v>33384</v>
      </c>
      <c r="G890" s="40">
        <v>3817</v>
      </c>
      <c r="H890" s="26">
        <v>25292</v>
      </c>
      <c r="I890" s="27">
        <f t="shared" si="27"/>
        <v>29109</v>
      </c>
      <c r="J890" s="40">
        <v>3994</v>
      </c>
      <c r="K890" s="26">
        <v>4494</v>
      </c>
      <c r="L890" s="27">
        <v>8488</v>
      </c>
      <c r="M890" s="26">
        <v>4077</v>
      </c>
      <c r="N890" s="26">
        <v>4175</v>
      </c>
      <c r="O890" s="27">
        <v>8252</v>
      </c>
      <c r="P890" s="26">
        <v>4372</v>
      </c>
      <c r="Q890" s="26">
        <v>3910</v>
      </c>
      <c r="R890" s="27">
        <v>8282</v>
      </c>
      <c r="S890" s="26">
        <v>3760</v>
      </c>
      <c r="T890" s="26">
        <v>3976</v>
      </c>
      <c r="U890" s="27">
        <v>7736</v>
      </c>
      <c r="V890" s="26">
        <v>5908</v>
      </c>
      <c r="W890" s="26">
        <v>3434</v>
      </c>
      <c r="X890" s="31">
        <v>9342</v>
      </c>
      <c r="Y890" s="16">
        <v>5908</v>
      </c>
      <c r="Z890" s="16">
        <v>3434</v>
      </c>
      <c r="AA890" s="31">
        <v>9342</v>
      </c>
      <c r="AB890" s="32">
        <v>5908</v>
      </c>
      <c r="AC890" s="16">
        <v>3434</v>
      </c>
      <c r="AD890" s="31">
        <v>9342</v>
      </c>
      <c r="AE890" s="16">
        <v>5510</v>
      </c>
      <c r="AF890" s="16">
        <v>3972</v>
      </c>
      <c r="AG890" s="31">
        <v>9482</v>
      </c>
      <c r="AH890" s="16">
        <v>4863</v>
      </c>
      <c r="AI890" s="16">
        <v>3428</v>
      </c>
      <c r="AJ890" s="31">
        <v>8291</v>
      </c>
      <c r="AK890" s="16">
        <v>4714</v>
      </c>
      <c r="AL890" s="16">
        <v>3412</v>
      </c>
      <c r="AM890" s="31">
        <v>8126</v>
      </c>
      <c r="AN890" s="16">
        <v>8730</v>
      </c>
      <c r="AO890" s="16">
        <v>39367</v>
      </c>
      <c r="AP890" s="31">
        <v>48097</v>
      </c>
      <c r="AQ890" s="42"/>
      <c r="AR890" s="43"/>
      <c r="AS890" s="42"/>
      <c r="AT890" s="42"/>
    </row>
    <row r="891" spans="1:46" ht="12.9" customHeight="1" x14ac:dyDescent="0.25">
      <c r="A891" s="28" t="s">
        <v>1813</v>
      </c>
      <c r="B891" s="29" t="s">
        <v>1814</v>
      </c>
      <c r="C891" s="30" t="s">
        <v>53</v>
      </c>
      <c r="D891" s="40">
        <v>2184356</v>
      </c>
      <c r="E891" s="26">
        <v>557492</v>
      </c>
      <c r="F891" s="26">
        <f t="shared" si="26"/>
        <v>2741848</v>
      </c>
      <c r="G891" s="40">
        <v>2263141</v>
      </c>
      <c r="H891" s="26">
        <v>566049</v>
      </c>
      <c r="I891" s="27">
        <f t="shared" si="27"/>
        <v>2829190</v>
      </c>
      <c r="J891" s="40">
        <v>2292631</v>
      </c>
      <c r="K891" s="26">
        <v>593598</v>
      </c>
      <c r="L891" s="27">
        <v>2886229</v>
      </c>
      <c r="M891" s="26">
        <v>2311500</v>
      </c>
      <c r="N891" s="26">
        <v>513094</v>
      </c>
      <c r="O891" s="27">
        <v>2824594</v>
      </c>
      <c r="P891" s="26">
        <v>2300854</v>
      </c>
      <c r="Q891" s="26">
        <v>464491</v>
      </c>
      <c r="R891" s="27">
        <v>2765345</v>
      </c>
      <c r="S891" s="26">
        <v>2297793</v>
      </c>
      <c r="T891" s="26">
        <v>676507</v>
      </c>
      <c r="U891" s="27">
        <v>2974300</v>
      </c>
      <c r="V891" s="26">
        <v>2090453</v>
      </c>
      <c r="W891" s="26">
        <v>615541</v>
      </c>
      <c r="X891" s="31">
        <v>2705994</v>
      </c>
      <c r="Y891" s="16">
        <v>2150594</v>
      </c>
      <c r="Z891" s="16">
        <v>634236</v>
      </c>
      <c r="AA891" s="31">
        <v>2784830</v>
      </c>
      <c r="AB891" s="32">
        <v>2121965</v>
      </c>
      <c r="AC891" s="16">
        <v>634920</v>
      </c>
      <c r="AD891" s="31">
        <v>2756885</v>
      </c>
      <c r="AE891" s="16">
        <v>2091948</v>
      </c>
      <c r="AF891" s="16">
        <v>687595</v>
      </c>
      <c r="AG891" s="31">
        <v>2779543</v>
      </c>
      <c r="AH891" s="16">
        <v>1986281</v>
      </c>
      <c r="AI891" s="16">
        <v>704192</v>
      </c>
      <c r="AJ891" s="31">
        <v>2690473</v>
      </c>
      <c r="AK891" s="16">
        <v>1984891</v>
      </c>
      <c r="AL891" s="16">
        <v>803974</v>
      </c>
      <c r="AM891" s="31">
        <v>2788865</v>
      </c>
      <c r="AN891" s="16">
        <v>2129696</v>
      </c>
      <c r="AO891" s="16">
        <v>621938</v>
      </c>
      <c r="AP891" s="31">
        <v>2751634</v>
      </c>
      <c r="AQ891" s="42"/>
      <c r="AR891" s="43"/>
      <c r="AS891" s="42"/>
      <c r="AT891" s="42"/>
    </row>
    <row r="892" spans="1:46" ht="12.9" customHeight="1" x14ac:dyDescent="0.25">
      <c r="A892" s="28" t="s">
        <v>1815</v>
      </c>
      <c r="B892" s="29" t="s">
        <v>1816</v>
      </c>
      <c r="C892" s="30" t="s">
        <v>23</v>
      </c>
      <c r="D892" s="40">
        <v>46634</v>
      </c>
      <c r="E892" s="26">
        <v>45758</v>
      </c>
      <c r="F892" s="26">
        <f t="shared" si="26"/>
        <v>92392</v>
      </c>
      <c r="G892" s="40">
        <v>45858</v>
      </c>
      <c r="H892" s="26">
        <v>26474</v>
      </c>
      <c r="I892" s="27">
        <f t="shared" si="27"/>
        <v>72332</v>
      </c>
      <c r="J892" s="40">
        <v>53839</v>
      </c>
      <c r="K892" s="26">
        <v>19923</v>
      </c>
      <c r="L892" s="27">
        <v>73762</v>
      </c>
      <c r="M892" s="26">
        <v>56557</v>
      </c>
      <c r="N892" s="26">
        <v>21438</v>
      </c>
      <c r="O892" s="27">
        <v>77995</v>
      </c>
      <c r="P892" s="26">
        <v>50216</v>
      </c>
      <c r="Q892" s="26">
        <v>19482</v>
      </c>
      <c r="R892" s="27">
        <v>69698</v>
      </c>
      <c r="S892" s="26">
        <v>51870</v>
      </c>
      <c r="T892" s="26">
        <v>18862</v>
      </c>
      <c r="U892" s="27">
        <v>70732</v>
      </c>
      <c r="V892" s="26">
        <v>49447</v>
      </c>
      <c r="W892" s="26">
        <v>18814</v>
      </c>
      <c r="X892" s="31">
        <v>68261</v>
      </c>
      <c r="Y892" s="16">
        <v>51906</v>
      </c>
      <c r="Z892" s="16">
        <v>16809</v>
      </c>
      <c r="AA892" s="31">
        <v>68715</v>
      </c>
      <c r="AB892" s="32">
        <v>52580</v>
      </c>
      <c r="AC892" s="16">
        <v>13236</v>
      </c>
      <c r="AD892" s="31">
        <v>65816</v>
      </c>
      <c r="AE892" s="16">
        <v>48625</v>
      </c>
      <c r="AF892" s="16">
        <v>12848</v>
      </c>
      <c r="AG892" s="31">
        <v>61473</v>
      </c>
      <c r="AH892" s="16">
        <v>42238</v>
      </c>
      <c r="AI892" s="16">
        <v>24600</v>
      </c>
      <c r="AJ892" s="31">
        <v>66838</v>
      </c>
      <c r="AK892" s="16">
        <v>43463</v>
      </c>
      <c r="AL892" s="16">
        <v>62048</v>
      </c>
      <c r="AM892" s="31">
        <v>105511</v>
      </c>
      <c r="AN892" s="16">
        <v>49884</v>
      </c>
      <c r="AO892" s="16">
        <v>54194</v>
      </c>
      <c r="AP892" s="31">
        <v>104078</v>
      </c>
      <c r="AQ892" s="42"/>
      <c r="AR892" s="43"/>
      <c r="AS892" s="42"/>
      <c r="AT892" s="42"/>
    </row>
    <row r="893" spans="1:46" ht="12.9" customHeight="1" x14ac:dyDescent="0.25">
      <c r="A893" s="28" t="s">
        <v>1817</v>
      </c>
      <c r="B893" s="29" t="s">
        <v>1818</v>
      </c>
      <c r="C893" s="30" t="s">
        <v>17</v>
      </c>
      <c r="D893" s="40">
        <v>35142</v>
      </c>
      <c r="E893" s="26">
        <v>37349</v>
      </c>
      <c r="F893" s="26">
        <f t="shared" si="26"/>
        <v>72491</v>
      </c>
      <c r="G893" s="40">
        <v>34776</v>
      </c>
      <c r="H893" s="26">
        <v>37512</v>
      </c>
      <c r="I893" s="27">
        <f t="shared" si="27"/>
        <v>72288</v>
      </c>
      <c r="J893" s="40">
        <v>36251</v>
      </c>
      <c r="K893" s="26">
        <v>35605</v>
      </c>
      <c r="L893" s="27">
        <v>71856</v>
      </c>
      <c r="M893" s="26">
        <v>35619</v>
      </c>
      <c r="N893" s="26">
        <v>37048</v>
      </c>
      <c r="O893" s="27">
        <v>72667</v>
      </c>
      <c r="P893" s="26">
        <v>34419</v>
      </c>
      <c r="Q893" s="26">
        <v>41228</v>
      </c>
      <c r="R893" s="27">
        <v>75647</v>
      </c>
      <c r="S893" s="26">
        <v>34168</v>
      </c>
      <c r="T893" s="26">
        <v>41145</v>
      </c>
      <c r="U893" s="27">
        <v>75313</v>
      </c>
      <c r="V893" s="26">
        <v>36329</v>
      </c>
      <c r="W893" s="26">
        <v>41681</v>
      </c>
      <c r="X893" s="31">
        <v>78010</v>
      </c>
      <c r="Y893" s="16">
        <v>33880</v>
      </c>
      <c r="Z893" s="16">
        <v>36578</v>
      </c>
      <c r="AA893" s="31">
        <v>70458</v>
      </c>
      <c r="AB893" s="32">
        <v>30494</v>
      </c>
      <c r="AC893" s="16">
        <v>41102</v>
      </c>
      <c r="AD893" s="31">
        <v>71596</v>
      </c>
      <c r="AE893" s="16">
        <v>29734</v>
      </c>
      <c r="AF893" s="16">
        <v>47236</v>
      </c>
      <c r="AG893" s="31">
        <v>76970</v>
      </c>
      <c r="AH893" s="16">
        <v>30156</v>
      </c>
      <c r="AI893" s="16">
        <v>36448</v>
      </c>
      <c r="AJ893" s="31">
        <v>66604</v>
      </c>
      <c r="AK893" s="16">
        <v>32798</v>
      </c>
      <c r="AL893" s="16">
        <v>35144</v>
      </c>
      <c r="AM893" s="31">
        <v>67942</v>
      </c>
      <c r="AN893" s="16">
        <v>35897</v>
      </c>
      <c r="AO893" s="16">
        <v>316106</v>
      </c>
      <c r="AP893" s="31">
        <v>352003</v>
      </c>
      <c r="AQ893" s="42"/>
      <c r="AR893" s="43"/>
      <c r="AS893" s="42"/>
      <c r="AT893" s="42"/>
    </row>
    <row r="894" spans="1:46" ht="12.9" customHeight="1" x14ac:dyDescent="0.25">
      <c r="A894" s="28" t="s">
        <v>1819</v>
      </c>
      <c r="B894" s="29" t="s">
        <v>1820</v>
      </c>
      <c r="C894" s="30" t="s">
        <v>59</v>
      </c>
      <c r="D894" s="40">
        <v>49216</v>
      </c>
      <c r="E894" s="26">
        <v>21182</v>
      </c>
      <c r="F894" s="26">
        <f t="shared" si="26"/>
        <v>70398</v>
      </c>
      <c r="G894" s="40">
        <v>52358</v>
      </c>
      <c r="H894" s="26">
        <v>20899</v>
      </c>
      <c r="I894" s="27">
        <f t="shared" si="27"/>
        <v>73257</v>
      </c>
      <c r="J894" s="40">
        <v>60132</v>
      </c>
      <c r="K894" s="26">
        <v>25530</v>
      </c>
      <c r="L894" s="27">
        <v>85662</v>
      </c>
      <c r="M894" s="26">
        <v>59872</v>
      </c>
      <c r="N894" s="26">
        <v>23015</v>
      </c>
      <c r="O894" s="27">
        <v>82887</v>
      </c>
      <c r="P894" s="26">
        <v>63019</v>
      </c>
      <c r="Q894" s="26">
        <v>32432</v>
      </c>
      <c r="R894" s="27">
        <v>95451</v>
      </c>
      <c r="S894" s="26">
        <v>56231</v>
      </c>
      <c r="T894" s="26">
        <v>33154</v>
      </c>
      <c r="U894" s="27">
        <v>89385</v>
      </c>
      <c r="V894" s="26">
        <v>56629</v>
      </c>
      <c r="W894" s="26">
        <v>34305</v>
      </c>
      <c r="X894" s="31">
        <v>90934</v>
      </c>
      <c r="Y894" s="16">
        <v>56582</v>
      </c>
      <c r="Z894" s="16">
        <v>30717</v>
      </c>
      <c r="AA894" s="31">
        <v>87299</v>
      </c>
      <c r="AB894" s="32">
        <v>59995</v>
      </c>
      <c r="AC894" s="16">
        <v>30319</v>
      </c>
      <c r="AD894" s="31">
        <v>90314</v>
      </c>
      <c r="AE894" s="16">
        <v>57713</v>
      </c>
      <c r="AF894" s="16">
        <v>34593</v>
      </c>
      <c r="AG894" s="31">
        <v>92306</v>
      </c>
      <c r="AH894" s="16">
        <v>54557</v>
      </c>
      <c r="AI894" s="16">
        <v>42092</v>
      </c>
      <c r="AJ894" s="31">
        <v>96649</v>
      </c>
      <c r="AK894" s="16">
        <v>55117</v>
      </c>
      <c r="AL894" s="16">
        <v>21850</v>
      </c>
      <c r="AM894" s="31">
        <v>76967</v>
      </c>
      <c r="AN894" s="16">
        <v>55117</v>
      </c>
      <c r="AO894" s="16">
        <v>22010</v>
      </c>
      <c r="AP894" s="31">
        <v>77127</v>
      </c>
      <c r="AQ894" s="42"/>
      <c r="AR894" s="43"/>
      <c r="AS894" s="42"/>
      <c r="AT894" s="42"/>
    </row>
    <row r="895" spans="1:46" ht="12.9" customHeight="1" x14ac:dyDescent="0.25">
      <c r="A895" s="28" t="s">
        <v>1821</v>
      </c>
      <c r="B895" s="29" t="s">
        <v>1822</v>
      </c>
      <c r="C895" s="30" t="s">
        <v>120</v>
      </c>
      <c r="D895" s="40">
        <v>38226</v>
      </c>
      <c r="E895" s="26">
        <v>9455</v>
      </c>
      <c r="F895" s="26">
        <f t="shared" si="26"/>
        <v>47681</v>
      </c>
      <c r="G895" s="40">
        <v>37234</v>
      </c>
      <c r="H895" s="26">
        <v>10062</v>
      </c>
      <c r="I895" s="27">
        <f t="shared" si="27"/>
        <v>47296</v>
      </c>
      <c r="J895" s="40">
        <v>38896</v>
      </c>
      <c r="K895" s="26">
        <v>8874</v>
      </c>
      <c r="L895" s="27">
        <v>47770</v>
      </c>
      <c r="M895" s="26">
        <v>39546</v>
      </c>
      <c r="N895" s="26">
        <v>8355</v>
      </c>
      <c r="O895" s="27">
        <v>47901</v>
      </c>
      <c r="P895" s="26">
        <v>37126</v>
      </c>
      <c r="Q895" s="26">
        <v>8013</v>
      </c>
      <c r="R895" s="27">
        <v>45139</v>
      </c>
      <c r="S895" s="26">
        <v>37215</v>
      </c>
      <c r="T895" s="26">
        <v>9421</v>
      </c>
      <c r="U895" s="27">
        <v>46636</v>
      </c>
      <c r="V895" s="26">
        <v>36315</v>
      </c>
      <c r="W895" s="26">
        <v>10312</v>
      </c>
      <c r="X895" s="31">
        <v>46627</v>
      </c>
      <c r="Y895" s="16">
        <v>41698</v>
      </c>
      <c r="Z895" s="16">
        <v>8397</v>
      </c>
      <c r="AA895" s="31">
        <v>50095</v>
      </c>
      <c r="AB895" s="32">
        <v>35670</v>
      </c>
      <c r="AC895" s="16">
        <v>3164</v>
      </c>
      <c r="AD895" s="31">
        <v>38834</v>
      </c>
      <c r="AE895" s="16">
        <v>33289</v>
      </c>
      <c r="AF895" s="16">
        <v>3515</v>
      </c>
      <c r="AG895" s="31">
        <v>36804</v>
      </c>
      <c r="AH895" s="16">
        <v>32786</v>
      </c>
      <c r="AI895" s="16">
        <v>3557</v>
      </c>
      <c r="AJ895" s="31">
        <v>36343</v>
      </c>
      <c r="AK895" s="16">
        <v>32865</v>
      </c>
      <c r="AL895" s="16">
        <v>3682</v>
      </c>
      <c r="AM895" s="31">
        <v>36547</v>
      </c>
      <c r="AN895" s="16">
        <v>38887</v>
      </c>
      <c r="AO895" s="16">
        <v>3010</v>
      </c>
      <c r="AP895" s="31">
        <v>41897</v>
      </c>
      <c r="AQ895" s="42"/>
      <c r="AR895" s="43"/>
      <c r="AS895" s="42"/>
      <c r="AT895" s="42"/>
    </row>
    <row r="896" spans="1:46" ht="12.9" customHeight="1" x14ac:dyDescent="0.25">
      <c r="A896" s="28" t="s">
        <v>1823</v>
      </c>
      <c r="B896" s="29" t="s">
        <v>1824</v>
      </c>
      <c r="C896" s="30" t="s">
        <v>113</v>
      </c>
      <c r="D896" s="40">
        <v>1785866</v>
      </c>
      <c r="E896" s="26">
        <v>1623383</v>
      </c>
      <c r="F896" s="26">
        <f t="shared" si="26"/>
        <v>3409249</v>
      </c>
      <c r="G896" s="40">
        <v>1792222</v>
      </c>
      <c r="H896" s="26">
        <v>1637861</v>
      </c>
      <c r="I896" s="27">
        <f t="shared" si="27"/>
        <v>3430083</v>
      </c>
      <c r="J896" s="40">
        <v>1865733</v>
      </c>
      <c r="K896" s="26">
        <v>1751424</v>
      </c>
      <c r="L896" s="27">
        <v>3617157</v>
      </c>
      <c r="M896" s="26">
        <v>1958297</v>
      </c>
      <c r="N896" s="26">
        <v>1775579</v>
      </c>
      <c r="O896" s="27">
        <v>3733876</v>
      </c>
      <c r="P896" s="26">
        <v>1953573</v>
      </c>
      <c r="Q896" s="26">
        <v>1754305</v>
      </c>
      <c r="R896" s="27">
        <v>3707878</v>
      </c>
      <c r="S896" s="26">
        <v>1833940</v>
      </c>
      <c r="T896" s="26">
        <v>1895243</v>
      </c>
      <c r="U896" s="27">
        <v>3729183</v>
      </c>
      <c r="V896" s="26">
        <v>1780748</v>
      </c>
      <c r="W896" s="26">
        <v>1937459</v>
      </c>
      <c r="X896" s="31">
        <v>3718207</v>
      </c>
      <c r="Y896" s="16">
        <v>1776961</v>
      </c>
      <c r="Z896" s="16">
        <v>1899064</v>
      </c>
      <c r="AA896" s="31">
        <v>3676025</v>
      </c>
      <c r="AB896" s="32">
        <v>1719569</v>
      </c>
      <c r="AC896" s="16">
        <v>1861652</v>
      </c>
      <c r="AD896" s="31">
        <v>3581221</v>
      </c>
      <c r="AE896" s="16">
        <v>1677747</v>
      </c>
      <c r="AF896" s="16">
        <v>1735415</v>
      </c>
      <c r="AG896" s="31">
        <v>3413162</v>
      </c>
      <c r="AH896" s="16">
        <v>1633415</v>
      </c>
      <c r="AI896" s="16">
        <v>1663195</v>
      </c>
      <c r="AJ896" s="31">
        <v>3296610</v>
      </c>
      <c r="AK896" s="16">
        <v>1623499</v>
      </c>
      <c r="AL896" s="16">
        <v>1657468</v>
      </c>
      <c r="AM896" s="31">
        <v>3280967</v>
      </c>
      <c r="AN896" s="16">
        <v>1842212</v>
      </c>
      <c r="AO896" s="16">
        <v>1749412</v>
      </c>
      <c r="AP896" s="31">
        <v>3591624</v>
      </c>
      <c r="AQ896" s="42"/>
      <c r="AR896" s="43"/>
      <c r="AS896" s="42"/>
      <c r="AT896" s="42"/>
    </row>
    <row r="897" spans="1:46" ht="12.9" customHeight="1" x14ac:dyDescent="0.25">
      <c r="A897" s="28" t="s">
        <v>1825</v>
      </c>
      <c r="B897" s="29" t="s">
        <v>1826</v>
      </c>
      <c r="C897" s="30" t="s">
        <v>113</v>
      </c>
      <c r="D897" s="40">
        <v>6460</v>
      </c>
      <c r="E897" s="26">
        <v>3533</v>
      </c>
      <c r="F897" s="26">
        <f t="shared" si="26"/>
        <v>9993</v>
      </c>
      <c r="G897" s="40">
        <v>6627</v>
      </c>
      <c r="H897" s="26">
        <v>3551</v>
      </c>
      <c r="I897" s="27">
        <f t="shared" si="27"/>
        <v>10178</v>
      </c>
      <c r="J897" s="40">
        <v>7292</v>
      </c>
      <c r="K897" s="26">
        <v>14462</v>
      </c>
      <c r="L897" s="27">
        <v>21754</v>
      </c>
      <c r="M897" s="26">
        <v>6760</v>
      </c>
      <c r="N897" s="26">
        <v>14107</v>
      </c>
      <c r="O897" s="27">
        <v>20867</v>
      </c>
      <c r="P897" s="26">
        <v>3522</v>
      </c>
      <c r="Q897" s="26">
        <v>18896</v>
      </c>
      <c r="R897" s="27">
        <v>22418</v>
      </c>
      <c r="S897" s="26">
        <v>5986</v>
      </c>
      <c r="T897" s="26">
        <v>19928</v>
      </c>
      <c r="U897" s="27">
        <v>25914</v>
      </c>
      <c r="V897" s="26">
        <v>5870</v>
      </c>
      <c r="W897" s="26">
        <v>17662</v>
      </c>
      <c r="X897" s="31">
        <v>23532</v>
      </c>
      <c r="Y897" s="16">
        <v>3052</v>
      </c>
      <c r="Z897" s="16">
        <v>8807</v>
      </c>
      <c r="AA897" s="31">
        <v>11859</v>
      </c>
      <c r="AB897" s="32">
        <v>3052</v>
      </c>
      <c r="AC897" s="16">
        <v>8807</v>
      </c>
      <c r="AD897" s="31">
        <v>11859</v>
      </c>
      <c r="AE897" s="16">
        <v>5558</v>
      </c>
      <c r="AF897" s="16">
        <v>11277</v>
      </c>
      <c r="AG897" s="31">
        <v>16835</v>
      </c>
      <c r="AH897" s="16">
        <v>9171</v>
      </c>
      <c r="AI897" s="16">
        <v>12584</v>
      </c>
      <c r="AJ897" s="31">
        <v>21755</v>
      </c>
      <c r="AK897" s="16">
        <v>9532</v>
      </c>
      <c r="AL897" s="16">
        <v>18828</v>
      </c>
      <c r="AM897" s="31">
        <v>28360</v>
      </c>
      <c r="AN897" s="16">
        <v>8975</v>
      </c>
      <c r="AO897" s="16">
        <v>13569</v>
      </c>
      <c r="AP897" s="31">
        <v>22544</v>
      </c>
      <c r="AQ897" s="42"/>
      <c r="AR897" s="43"/>
      <c r="AS897" s="42"/>
      <c r="AT897" s="42"/>
    </row>
    <row r="898" spans="1:46" ht="12.9" customHeight="1" x14ac:dyDescent="0.25">
      <c r="A898" s="28" t="s">
        <v>1827</v>
      </c>
      <c r="B898" s="29" t="s">
        <v>1828</v>
      </c>
      <c r="C898" s="30" t="s">
        <v>123</v>
      </c>
      <c r="D898" s="40">
        <v>606225.71428571432</v>
      </c>
      <c r="E898" s="26">
        <v>254190</v>
      </c>
      <c r="F898" s="26">
        <f t="shared" si="26"/>
        <v>860415.71428571432</v>
      </c>
      <c r="G898" s="40">
        <v>623014</v>
      </c>
      <c r="H898" s="26">
        <v>268088</v>
      </c>
      <c r="I898" s="27">
        <f t="shared" si="27"/>
        <v>891102</v>
      </c>
      <c r="J898" s="40">
        <v>559987</v>
      </c>
      <c r="K898" s="26">
        <v>315981</v>
      </c>
      <c r="L898" s="27">
        <v>875968</v>
      </c>
      <c r="M898" s="26">
        <v>556444</v>
      </c>
      <c r="N898" s="26">
        <v>258247</v>
      </c>
      <c r="O898" s="27">
        <v>814691</v>
      </c>
      <c r="P898" s="26">
        <v>556444</v>
      </c>
      <c r="Q898" s="26">
        <v>289502</v>
      </c>
      <c r="R898" s="27">
        <v>845946</v>
      </c>
      <c r="S898" s="26">
        <v>556444</v>
      </c>
      <c r="T898" s="26">
        <v>248170</v>
      </c>
      <c r="U898" s="27">
        <v>804614</v>
      </c>
      <c r="V898" s="26">
        <v>587571</v>
      </c>
      <c r="W898" s="26">
        <v>187476</v>
      </c>
      <c r="X898" s="31">
        <v>775047</v>
      </c>
      <c r="Y898" s="16">
        <v>341580</v>
      </c>
      <c r="Z898" s="16">
        <v>188411</v>
      </c>
      <c r="AA898" s="31">
        <v>529991</v>
      </c>
      <c r="AB898" s="32">
        <v>327882</v>
      </c>
      <c r="AC898" s="16">
        <v>186559</v>
      </c>
      <c r="AD898" s="31">
        <v>514441</v>
      </c>
      <c r="AE898" s="16">
        <v>351874</v>
      </c>
      <c r="AF898" s="16">
        <v>186720</v>
      </c>
      <c r="AG898" s="31">
        <v>538594</v>
      </c>
      <c r="AH898" s="16">
        <v>362903</v>
      </c>
      <c r="AI898" s="16">
        <v>181191</v>
      </c>
      <c r="AJ898" s="31">
        <v>544094</v>
      </c>
      <c r="AK898" s="16">
        <v>406151</v>
      </c>
      <c r="AL898" s="16">
        <v>191096</v>
      </c>
      <c r="AM898" s="31">
        <v>597247</v>
      </c>
      <c r="AN898" s="16">
        <v>423055</v>
      </c>
      <c r="AO898" s="16">
        <v>208613</v>
      </c>
      <c r="AP898" s="31">
        <v>631668</v>
      </c>
      <c r="AQ898" s="42"/>
      <c r="AR898" s="43"/>
      <c r="AS898" s="42"/>
      <c r="AT898" s="42"/>
    </row>
    <row r="899" spans="1:46" ht="12.9" customHeight="1" x14ac:dyDescent="0.25">
      <c r="A899" s="28" t="s">
        <v>1829</v>
      </c>
      <c r="B899" s="29" t="s">
        <v>1830</v>
      </c>
      <c r="C899" s="30" t="s">
        <v>166</v>
      </c>
      <c r="D899" s="40">
        <v>619056</v>
      </c>
      <c r="E899" s="26">
        <v>197832</v>
      </c>
      <c r="F899" s="26">
        <f t="shared" si="26"/>
        <v>816888</v>
      </c>
      <c r="G899" s="40">
        <v>619056</v>
      </c>
      <c r="H899" s="26">
        <v>195952</v>
      </c>
      <c r="I899" s="27">
        <f t="shared" si="27"/>
        <v>815008</v>
      </c>
      <c r="J899" s="40">
        <v>619056</v>
      </c>
      <c r="K899" s="26">
        <v>196950</v>
      </c>
      <c r="L899" s="27">
        <v>816006</v>
      </c>
      <c r="M899" s="26">
        <v>619056</v>
      </c>
      <c r="N899" s="26">
        <v>196736</v>
      </c>
      <c r="O899" s="27">
        <v>815792</v>
      </c>
      <c r="P899" s="26">
        <v>630648</v>
      </c>
      <c r="Q899" s="26">
        <v>198904</v>
      </c>
      <c r="R899" s="27">
        <v>829552</v>
      </c>
      <c r="S899" s="26">
        <v>630648</v>
      </c>
      <c r="T899" s="26">
        <v>203548</v>
      </c>
      <c r="U899" s="27">
        <v>834196</v>
      </c>
      <c r="V899" s="26">
        <v>474876</v>
      </c>
      <c r="W899" s="26">
        <v>207216</v>
      </c>
      <c r="X899" s="31">
        <v>682092</v>
      </c>
      <c r="Y899" s="16">
        <v>474876</v>
      </c>
      <c r="Z899" s="16">
        <v>28214</v>
      </c>
      <c r="AA899" s="31">
        <v>503090</v>
      </c>
      <c r="AB899" s="32">
        <v>475200</v>
      </c>
      <c r="AC899" s="16">
        <v>206738</v>
      </c>
      <c r="AD899" s="31">
        <v>681938</v>
      </c>
      <c r="AE899" s="16">
        <v>475200</v>
      </c>
      <c r="AF899" s="16">
        <v>216332</v>
      </c>
      <c r="AG899" s="31">
        <v>691532</v>
      </c>
      <c r="AH899" s="16">
        <v>475200</v>
      </c>
      <c r="AI899" s="16">
        <v>233714</v>
      </c>
      <c r="AJ899" s="31">
        <v>708914</v>
      </c>
      <c r="AK899" s="16">
        <v>473040</v>
      </c>
      <c r="AL899" s="16">
        <v>207244</v>
      </c>
      <c r="AM899" s="31">
        <v>680284</v>
      </c>
      <c r="AN899" s="16">
        <v>461592</v>
      </c>
      <c r="AO899" s="16">
        <v>212144</v>
      </c>
      <c r="AP899" s="31">
        <v>673736</v>
      </c>
      <c r="AQ899" s="42"/>
      <c r="AR899" s="43"/>
      <c r="AS899" s="42"/>
      <c r="AT899" s="42"/>
    </row>
    <row r="900" spans="1:46" ht="12.9" customHeight="1" x14ac:dyDescent="0.25">
      <c r="A900" s="28" t="s">
        <v>1831</v>
      </c>
      <c r="B900" s="29" t="s">
        <v>1832</v>
      </c>
      <c r="C900" s="30" t="s">
        <v>29</v>
      </c>
      <c r="D900" s="40">
        <v>28539</v>
      </c>
      <c r="E900" s="26">
        <v>18597</v>
      </c>
      <c r="F900" s="26">
        <f t="shared" si="26"/>
        <v>47136</v>
      </c>
      <c r="G900" s="40">
        <v>29858</v>
      </c>
      <c r="H900" s="26">
        <v>17471</v>
      </c>
      <c r="I900" s="27">
        <f t="shared" si="27"/>
        <v>47329</v>
      </c>
      <c r="J900" s="40">
        <v>31353</v>
      </c>
      <c r="K900" s="26">
        <v>13631</v>
      </c>
      <c r="L900" s="27">
        <v>44984</v>
      </c>
      <c r="M900" s="26">
        <v>32157</v>
      </c>
      <c r="N900" s="26">
        <v>23496</v>
      </c>
      <c r="O900" s="27">
        <v>55653</v>
      </c>
      <c r="P900" s="26">
        <v>32986</v>
      </c>
      <c r="Q900" s="26">
        <v>11778</v>
      </c>
      <c r="R900" s="27">
        <v>44764</v>
      </c>
      <c r="S900" s="26">
        <v>30353</v>
      </c>
      <c r="T900" s="26">
        <v>12236</v>
      </c>
      <c r="U900" s="27">
        <v>42589</v>
      </c>
      <c r="V900" s="26">
        <v>29849</v>
      </c>
      <c r="W900" s="26">
        <v>9916</v>
      </c>
      <c r="X900" s="31">
        <v>39765</v>
      </c>
      <c r="Y900" s="16">
        <v>30701</v>
      </c>
      <c r="Z900" s="16">
        <v>9615</v>
      </c>
      <c r="AA900" s="31">
        <v>40316</v>
      </c>
      <c r="AB900" s="32">
        <v>29241</v>
      </c>
      <c r="AC900" s="16">
        <v>6070</v>
      </c>
      <c r="AD900" s="31">
        <v>35311</v>
      </c>
      <c r="AE900" s="16">
        <v>31679</v>
      </c>
      <c r="AF900" s="16">
        <v>5663</v>
      </c>
      <c r="AG900" s="31">
        <v>37342</v>
      </c>
      <c r="AH900" s="16">
        <v>31630</v>
      </c>
      <c r="AI900" s="16">
        <v>22732</v>
      </c>
      <c r="AJ900" s="31">
        <v>54362</v>
      </c>
      <c r="AK900" s="16">
        <v>30149</v>
      </c>
      <c r="AL900" s="16">
        <v>32090</v>
      </c>
      <c r="AM900" s="31">
        <v>62239</v>
      </c>
      <c r="AN900" s="16">
        <v>30149</v>
      </c>
      <c r="AO900" s="16">
        <v>32444</v>
      </c>
      <c r="AP900" s="31">
        <v>62593</v>
      </c>
      <c r="AQ900" s="42"/>
      <c r="AR900" s="43"/>
      <c r="AS900" s="42"/>
      <c r="AT900" s="42"/>
    </row>
    <row r="901" spans="1:46" ht="12.9" customHeight="1" x14ac:dyDescent="0.25">
      <c r="A901" s="28" t="s">
        <v>1833</v>
      </c>
      <c r="B901" s="29" t="s">
        <v>1834</v>
      </c>
      <c r="C901" s="30" t="s">
        <v>23</v>
      </c>
      <c r="D901" s="40">
        <v>30815</v>
      </c>
      <c r="E901" s="26">
        <v>4849</v>
      </c>
      <c r="F901" s="26">
        <f t="shared" si="26"/>
        <v>35664</v>
      </c>
      <c r="G901" s="40">
        <v>32671</v>
      </c>
      <c r="H901" s="26">
        <v>15312</v>
      </c>
      <c r="I901" s="27">
        <f t="shared" si="27"/>
        <v>47983</v>
      </c>
      <c r="J901" s="40">
        <v>34074</v>
      </c>
      <c r="K901" s="26">
        <v>17630</v>
      </c>
      <c r="L901" s="27">
        <v>51704</v>
      </c>
      <c r="M901" s="26">
        <v>37009</v>
      </c>
      <c r="N901" s="26">
        <v>8595</v>
      </c>
      <c r="O901" s="27">
        <v>45604</v>
      </c>
      <c r="P901" s="26">
        <v>37009</v>
      </c>
      <c r="Q901" s="26">
        <v>8594</v>
      </c>
      <c r="R901" s="27">
        <v>45603</v>
      </c>
      <c r="S901" s="26">
        <v>35265</v>
      </c>
      <c r="T901" s="26">
        <v>14871</v>
      </c>
      <c r="U901" s="27">
        <v>50136</v>
      </c>
      <c r="V901" s="26">
        <v>43219</v>
      </c>
      <c r="W901" s="26">
        <v>20670</v>
      </c>
      <c r="X901" s="31">
        <v>63889</v>
      </c>
      <c r="Y901" s="16">
        <v>26848</v>
      </c>
      <c r="Z901" s="16">
        <v>17264</v>
      </c>
      <c r="AA901" s="31">
        <v>44112</v>
      </c>
      <c r="AB901" s="32">
        <v>33613</v>
      </c>
      <c r="AC901" s="16">
        <v>19436</v>
      </c>
      <c r="AD901" s="31">
        <v>53049</v>
      </c>
      <c r="AE901" s="16">
        <v>33878</v>
      </c>
      <c r="AF901" s="16">
        <v>1994</v>
      </c>
      <c r="AG901" s="31">
        <v>35872</v>
      </c>
      <c r="AH901" s="16">
        <v>33448</v>
      </c>
      <c r="AI901" s="16">
        <v>1990</v>
      </c>
      <c r="AJ901" s="31">
        <v>35438</v>
      </c>
      <c r="AK901" s="16">
        <v>34809</v>
      </c>
      <c r="AL901" s="16">
        <v>1267</v>
      </c>
      <c r="AM901" s="31">
        <v>36076</v>
      </c>
      <c r="AN901" s="16">
        <v>35122</v>
      </c>
      <c r="AO901" s="16">
        <v>303</v>
      </c>
      <c r="AP901" s="31">
        <v>35425</v>
      </c>
      <c r="AQ901" s="42"/>
      <c r="AR901" s="43"/>
      <c r="AS901" s="42"/>
      <c r="AT901" s="42"/>
    </row>
    <row r="902" spans="1:46" ht="12.9" customHeight="1" x14ac:dyDescent="0.25">
      <c r="A902" s="28" t="s">
        <v>1835</v>
      </c>
      <c r="B902" s="29" t="s">
        <v>1836</v>
      </c>
      <c r="C902" s="30" t="s">
        <v>274</v>
      </c>
      <c r="D902" s="40">
        <v>121301</v>
      </c>
      <c r="E902" s="26">
        <v>42811</v>
      </c>
      <c r="F902" s="26">
        <f t="shared" si="26"/>
        <v>164112</v>
      </c>
      <c r="G902" s="40">
        <v>119884</v>
      </c>
      <c r="H902" s="26">
        <v>42704</v>
      </c>
      <c r="I902" s="27">
        <f t="shared" si="27"/>
        <v>162588</v>
      </c>
      <c r="J902" s="40">
        <v>125890</v>
      </c>
      <c r="K902" s="26">
        <v>52198</v>
      </c>
      <c r="L902" s="27">
        <v>178088</v>
      </c>
      <c r="M902" s="26">
        <v>126845</v>
      </c>
      <c r="N902" s="26">
        <v>39808</v>
      </c>
      <c r="O902" s="27">
        <v>166653</v>
      </c>
      <c r="P902" s="26">
        <v>118862</v>
      </c>
      <c r="Q902" s="26">
        <v>34722</v>
      </c>
      <c r="R902" s="27">
        <v>153584</v>
      </c>
      <c r="S902" s="26">
        <v>107393</v>
      </c>
      <c r="T902" s="26">
        <v>38655</v>
      </c>
      <c r="U902" s="27">
        <v>146048</v>
      </c>
      <c r="V902" s="26">
        <v>99414</v>
      </c>
      <c r="W902" s="26">
        <v>36759</v>
      </c>
      <c r="X902" s="31">
        <v>136173</v>
      </c>
      <c r="Y902" s="16">
        <v>96309</v>
      </c>
      <c r="Z902" s="16">
        <v>43169</v>
      </c>
      <c r="AA902" s="31">
        <v>139478</v>
      </c>
      <c r="AB902" s="32">
        <v>93385</v>
      </c>
      <c r="AC902" s="16">
        <v>41614</v>
      </c>
      <c r="AD902" s="31">
        <v>134999</v>
      </c>
      <c r="AE902" s="16">
        <v>72695</v>
      </c>
      <c r="AF902" s="16">
        <v>26160</v>
      </c>
      <c r="AG902" s="31">
        <v>98855</v>
      </c>
      <c r="AH902" s="16">
        <v>85706</v>
      </c>
      <c r="AI902" s="16">
        <v>27905</v>
      </c>
      <c r="AJ902" s="31">
        <v>113611</v>
      </c>
      <c r="AK902" s="16">
        <v>106234</v>
      </c>
      <c r="AL902" s="16">
        <v>30467</v>
      </c>
      <c r="AM902" s="31">
        <v>136701</v>
      </c>
      <c r="AN902" s="16">
        <v>70795</v>
      </c>
      <c r="AO902" s="16">
        <v>28270</v>
      </c>
      <c r="AP902" s="31">
        <v>99065</v>
      </c>
      <c r="AQ902" s="42"/>
      <c r="AR902" s="43"/>
      <c r="AS902" s="42"/>
      <c r="AT902" s="42"/>
    </row>
    <row r="903" spans="1:46" ht="12.9" customHeight="1" x14ac:dyDescent="0.25">
      <c r="A903" s="28" t="s">
        <v>1837</v>
      </c>
      <c r="B903" s="29" t="s">
        <v>1838</v>
      </c>
      <c r="C903" s="30" t="s">
        <v>184</v>
      </c>
      <c r="D903" s="40">
        <v>14115</v>
      </c>
      <c r="E903" s="26">
        <v>1756</v>
      </c>
      <c r="F903" s="26">
        <f t="shared" si="26"/>
        <v>15871</v>
      </c>
      <c r="G903" s="40">
        <v>15209</v>
      </c>
      <c r="H903" s="26">
        <v>1836</v>
      </c>
      <c r="I903" s="27">
        <f t="shared" si="27"/>
        <v>17045</v>
      </c>
      <c r="J903" s="40">
        <v>17335</v>
      </c>
      <c r="K903" s="26">
        <v>2025</v>
      </c>
      <c r="L903" s="27">
        <v>19360</v>
      </c>
      <c r="M903" s="26">
        <v>17276</v>
      </c>
      <c r="N903" s="26">
        <v>1561</v>
      </c>
      <c r="O903" s="27">
        <v>18837</v>
      </c>
      <c r="P903" s="26">
        <v>16494</v>
      </c>
      <c r="Q903" s="26">
        <v>1708</v>
      </c>
      <c r="R903" s="27">
        <v>18202</v>
      </c>
      <c r="S903" s="26">
        <v>17926</v>
      </c>
      <c r="T903" s="26">
        <v>3179</v>
      </c>
      <c r="U903" s="27">
        <v>21105</v>
      </c>
      <c r="V903" s="26">
        <v>13468</v>
      </c>
      <c r="W903" s="26">
        <v>1975</v>
      </c>
      <c r="X903" s="31">
        <v>15443</v>
      </c>
      <c r="Y903" s="16">
        <v>14780</v>
      </c>
      <c r="Z903" s="16">
        <v>2401</v>
      </c>
      <c r="AA903" s="31">
        <v>17181</v>
      </c>
      <c r="AB903" s="32">
        <v>14153</v>
      </c>
      <c r="AC903" s="16">
        <v>2260</v>
      </c>
      <c r="AD903" s="31">
        <v>16413</v>
      </c>
      <c r="AE903" s="16">
        <v>14153</v>
      </c>
      <c r="AF903" s="16">
        <v>2260</v>
      </c>
      <c r="AG903" s="31">
        <v>16413</v>
      </c>
      <c r="AH903" s="16">
        <v>14411</v>
      </c>
      <c r="AI903" s="16">
        <v>2168</v>
      </c>
      <c r="AJ903" s="31">
        <v>16579</v>
      </c>
      <c r="AK903" s="16">
        <v>14111</v>
      </c>
      <c r="AL903" s="16">
        <v>2014</v>
      </c>
      <c r="AM903" s="31">
        <v>16125</v>
      </c>
      <c r="AN903" s="16">
        <v>17339</v>
      </c>
      <c r="AO903" s="16">
        <v>2505</v>
      </c>
      <c r="AP903" s="31">
        <v>19844</v>
      </c>
      <c r="AQ903" s="42"/>
      <c r="AR903" s="43"/>
      <c r="AS903" s="42"/>
      <c r="AT903" s="42"/>
    </row>
    <row r="904" spans="1:46" ht="12.9" customHeight="1" x14ac:dyDescent="0.25">
      <c r="A904" s="28" t="s">
        <v>1839</v>
      </c>
      <c r="B904" s="29" t="s">
        <v>1840</v>
      </c>
      <c r="C904" s="30" t="s">
        <v>23</v>
      </c>
      <c r="D904" s="40">
        <v>18663</v>
      </c>
      <c r="E904" s="26">
        <v>8811</v>
      </c>
      <c r="F904" s="26">
        <f t="shared" si="26"/>
        <v>27474</v>
      </c>
      <c r="G904" s="40">
        <v>19960</v>
      </c>
      <c r="H904" s="26">
        <v>8923</v>
      </c>
      <c r="I904" s="27">
        <f t="shared" si="27"/>
        <v>28883</v>
      </c>
      <c r="J904" s="40">
        <v>25256</v>
      </c>
      <c r="K904" s="26">
        <v>12613</v>
      </c>
      <c r="L904" s="27">
        <v>37869</v>
      </c>
      <c r="M904" s="26">
        <v>22511</v>
      </c>
      <c r="N904" s="26">
        <v>9979</v>
      </c>
      <c r="O904" s="27">
        <v>32490</v>
      </c>
      <c r="P904" s="26">
        <v>22856</v>
      </c>
      <c r="Q904" s="26">
        <v>8487</v>
      </c>
      <c r="R904" s="27">
        <v>31343</v>
      </c>
      <c r="S904" s="26">
        <v>22922</v>
      </c>
      <c r="T904" s="26">
        <v>9795</v>
      </c>
      <c r="U904" s="27">
        <v>32717</v>
      </c>
      <c r="V904" s="26">
        <v>22207</v>
      </c>
      <c r="W904" s="26">
        <v>7539</v>
      </c>
      <c r="X904" s="31">
        <v>29746</v>
      </c>
      <c r="Y904" s="16">
        <v>24406</v>
      </c>
      <c r="Z904" s="16">
        <v>9060</v>
      </c>
      <c r="AA904" s="31">
        <v>33466</v>
      </c>
      <c r="AB904" s="32">
        <v>26397</v>
      </c>
      <c r="AC904" s="16">
        <v>8826</v>
      </c>
      <c r="AD904" s="31">
        <v>35223</v>
      </c>
      <c r="AE904" s="16">
        <v>23633</v>
      </c>
      <c r="AF904" s="16">
        <v>7466</v>
      </c>
      <c r="AG904" s="31">
        <v>31099</v>
      </c>
      <c r="AH904" s="16">
        <v>22907</v>
      </c>
      <c r="AI904" s="16">
        <v>7138</v>
      </c>
      <c r="AJ904" s="31">
        <v>30045</v>
      </c>
      <c r="AK904" s="16">
        <v>22855</v>
      </c>
      <c r="AL904" s="16">
        <v>6332</v>
      </c>
      <c r="AM904" s="31">
        <v>29187</v>
      </c>
      <c r="AN904" s="16">
        <v>28671</v>
      </c>
      <c r="AO904" s="16">
        <v>9411</v>
      </c>
      <c r="AP904" s="31">
        <v>38082</v>
      </c>
      <c r="AQ904" s="42"/>
      <c r="AR904" s="43"/>
      <c r="AS904" s="42"/>
      <c r="AT904" s="42"/>
    </row>
    <row r="905" spans="1:46" ht="12.9" customHeight="1" x14ac:dyDescent="0.25">
      <c r="A905" s="28" t="s">
        <v>1841</v>
      </c>
      <c r="B905" s="29" t="s">
        <v>1842</v>
      </c>
      <c r="C905" s="30" t="s">
        <v>274</v>
      </c>
      <c r="D905" s="40">
        <v>5977</v>
      </c>
      <c r="E905" s="26">
        <v>4125</v>
      </c>
      <c r="F905" s="26">
        <f t="shared" ref="F905:F955" si="28">+D905+E905</f>
        <v>10102</v>
      </c>
      <c r="G905" s="40">
        <v>6986</v>
      </c>
      <c r="H905" s="26">
        <v>3306</v>
      </c>
      <c r="I905" s="27">
        <f t="shared" si="27"/>
        <v>10292</v>
      </c>
      <c r="J905" s="40">
        <v>8428</v>
      </c>
      <c r="K905" s="26">
        <v>3564</v>
      </c>
      <c r="L905" s="27">
        <v>11992</v>
      </c>
      <c r="M905" s="26">
        <v>9410</v>
      </c>
      <c r="N905" s="26">
        <v>2591</v>
      </c>
      <c r="O905" s="27">
        <v>12001</v>
      </c>
      <c r="P905" s="26">
        <v>7043</v>
      </c>
      <c r="Q905" s="26">
        <v>2000</v>
      </c>
      <c r="R905" s="27">
        <v>9043</v>
      </c>
      <c r="S905" s="26">
        <v>8649</v>
      </c>
      <c r="T905" s="26">
        <v>1543</v>
      </c>
      <c r="U905" s="27">
        <v>10192</v>
      </c>
      <c r="V905" s="26">
        <v>7072</v>
      </c>
      <c r="W905" s="26">
        <v>2556</v>
      </c>
      <c r="X905" s="31">
        <v>9628</v>
      </c>
      <c r="Y905" s="16">
        <v>8380</v>
      </c>
      <c r="Z905" s="16">
        <v>2088</v>
      </c>
      <c r="AA905" s="31">
        <v>10468</v>
      </c>
      <c r="AB905" s="32">
        <v>7805</v>
      </c>
      <c r="AC905" s="16">
        <v>2097</v>
      </c>
      <c r="AD905" s="31">
        <v>9902</v>
      </c>
      <c r="AE905" s="16">
        <v>9897</v>
      </c>
      <c r="AF905" s="16">
        <v>675</v>
      </c>
      <c r="AG905" s="31">
        <v>10572</v>
      </c>
      <c r="AH905" s="16">
        <v>10529</v>
      </c>
      <c r="AI905" s="16">
        <v>853</v>
      </c>
      <c r="AJ905" s="31">
        <v>11382</v>
      </c>
      <c r="AK905" s="16">
        <v>8035</v>
      </c>
      <c r="AL905" s="16">
        <v>792</v>
      </c>
      <c r="AM905" s="31">
        <v>8827</v>
      </c>
      <c r="AN905" s="16">
        <v>9687</v>
      </c>
      <c r="AO905" s="16">
        <v>711</v>
      </c>
      <c r="AP905" s="31">
        <v>10398</v>
      </c>
      <c r="AQ905" s="42"/>
      <c r="AR905" s="43"/>
      <c r="AS905" s="42"/>
      <c r="AT905" s="42"/>
    </row>
    <row r="906" spans="1:46" ht="12.9" customHeight="1" x14ac:dyDescent="0.25">
      <c r="A906" s="28" t="s">
        <v>1843</v>
      </c>
      <c r="B906" s="29" t="s">
        <v>1844</v>
      </c>
      <c r="C906" s="30" t="s">
        <v>11</v>
      </c>
      <c r="D906" s="40">
        <v>2319517</v>
      </c>
      <c r="E906" s="26">
        <v>685831</v>
      </c>
      <c r="F906" s="26">
        <f t="shared" si="28"/>
        <v>3005348</v>
      </c>
      <c r="G906" s="40">
        <v>2376903</v>
      </c>
      <c r="H906" s="26">
        <v>666663</v>
      </c>
      <c r="I906" s="27">
        <f t="shared" ref="I906:I955" si="29">+G906+H906</f>
        <v>3043566</v>
      </c>
      <c r="J906" s="40">
        <v>2433949</v>
      </c>
      <c r="K906" s="26">
        <v>707398</v>
      </c>
      <c r="L906" s="27">
        <v>3141347</v>
      </c>
      <c r="M906" s="26">
        <v>2572354</v>
      </c>
      <c r="N906" s="26">
        <v>662022</v>
      </c>
      <c r="O906" s="27">
        <v>3234376</v>
      </c>
      <c r="P906" s="26">
        <v>2639724</v>
      </c>
      <c r="Q906" s="26">
        <v>599385</v>
      </c>
      <c r="R906" s="27">
        <v>3239109</v>
      </c>
      <c r="S906" s="26">
        <v>2448422</v>
      </c>
      <c r="T906" s="26">
        <v>738967</v>
      </c>
      <c r="U906" s="27">
        <v>3187389</v>
      </c>
      <c r="V906" s="26">
        <v>2464107</v>
      </c>
      <c r="W906" s="26">
        <v>720627</v>
      </c>
      <c r="X906" s="31">
        <v>3184734</v>
      </c>
      <c r="Y906" s="16">
        <v>2426250</v>
      </c>
      <c r="Z906" s="16">
        <v>752003</v>
      </c>
      <c r="AA906" s="31">
        <v>3178253</v>
      </c>
      <c r="AB906" s="32">
        <v>2402318</v>
      </c>
      <c r="AC906" s="16">
        <v>787607</v>
      </c>
      <c r="AD906" s="31">
        <v>3189925</v>
      </c>
      <c r="AE906" s="16">
        <v>2372488</v>
      </c>
      <c r="AF906" s="16">
        <v>698066</v>
      </c>
      <c r="AG906" s="31">
        <v>3070554</v>
      </c>
      <c r="AH906" s="16">
        <v>2338574</v>
      </c>
      <c r="AI906" s="16">
        <v>665278</v>
      </c>
      <c r="AJ906" s="31">
        <v>3003852</v>
      </c>
      <c r="AK906" s="16">
        <v>2391394</v>
      </c>
      <c r="AL906" s="16">
        <v>646117</v>
      </c>
      <c r="AM906" s="31">
        <v>3037511</v>
      </c>
      <c r="AN906" s="16">
        <v>2456043</v>
      </c>
      <c r="AO906" s="16">
        <v>600979</v>
      </c>
      <c r="AP906" s="31">
        <v>3057022</v>
      </c>
      <c r="AQ906" s="42"/>
      <c r="AR906" s="43"/>
      <c r="AS906" s="42"/>
      <c r="AT906" s="42"/>
    </row>
    <row r="907" spans="1:46" ht="12.9" customHeight="1" x14ac:dyDescent="0.25">
      <c r="A907" s="28" t="s">
        <v>1845</v>
      </c>
      <c r="B907" s="29" t="s">
        <v>1846</v>
      </c>
      <c r="C907" s="30" t="s">
        <v>197</v>
      </c>
      <c r="D907" s="40">
        <v>302302</v>
      </c>
      <c r="E907" s="26">
        <v>183939</v>
      </c>
      <c r="F907" s="26">
        <f t="shared" si="28"/>
        <v>486241</v>
      </c>
      <c r="G907" s="40">
        <v>320713</v>
      </c>
      <c r="H907" s="26">
        <v>198701</v>
      </c>
      <c r="I907" s="27">
        <f t="shared" si="29"/>
        <v>519414</v>
      </c>
      <c r="J907" s="40">
        <v>364808</v>
      </c>
      <c r="K907" s="26">
        <v>259958</v>
      </c>
      <c r="L907" s="27">
        <v>624766</v>
      </c>
      <c r="M907" s="26">
        <v>359061</v>
      </c>
      <c r="N907" s="26">
        <v>266826</v>
      </c>
      <c r="O907" s="27">
        <v>625887</v>
      </c>
      <c r="P907" s="26">
        <v>350563</v>
      </c>
      <c r="Q907" s="26">
        <v>218410</v>
      </c>
      <c r="R907" s="27">
        <v>568973</v>
      </c>
      <c r="S907" s="26">
        <v>335154</v>
      </c>
      <c r="T907" s="26">
        <v>248915</v>
      </c>
      <c r="U907" s="27">
        <v>584069</v>
      </c>
      <c r="V907" s="26">
        <v>317259</v>
      </c>
      <c r="W907" s="26">
        <v>236428</v>
      </c>
      <c r="X907" s="31">
        <v>553687</v>
      </c>
      <c r="Y907" s="16">
        <v>332093</v>
      </c>
      <c r="Z907" s="16">
        <v>254831</v>
      </c>
      <c r="AA907" s="31">
        <v>586924</v>
      </c>
      <c r="AB907" s="32">
        <v>331995</v>
      </c>
      <c r="AC907" s="16">
        <v>234351</v>
      </c>
      <c r="AD907" s="31">
        <v>566346</v>
      </c>
      <c r="AE907" s="16">
        <v>323898</v>
      </c>
      <c r="AF907" s="16">
        <v>240425</v>
      </c>
      <c r="AG907" s="31">
        <v>564323</v>
      </c>
      <c r="AH907" s="16">
        <v>309315</v>
      </c>
      <c r="AI907" s="16">
        <v>232460</v>
      </c>
      <c r="AJ907" s="31">
        <v>541775</v>
      </c>
      <c r="AK907" s="16">
        <v>317490</v>
      </c>
      <c r="AL907" s="16">
        <v>243897</v>
      </c>
      <c r="AM907" s="31">
        <v>561387</v>
      </c>
      <c r="AN907" s="16">
        <v>334037</v>
      </c>
      <c r="AO907" s="16">
        <v>270382</v>
      </c>
      <c r="AP907" s="31">
        <v>604419</v>
      </c>
      <c r="AQ907" s="42"/>
      <c r="AR907" s="43"/>
      <c r="AS907" s="42"/>
      <c r="AT907" s="42"/>
    </row>
    <row r="908" spans="1:46" ht="12.9" customHeight="1" x14ac:dyDescent="0.25">
      <c r="A908" s="28" t="s">
        <v>1847</v>
      </c>
      <c r="B908" s="29" t="s">
        <v>1848</v>
      </c>
      <c r="C908" s="30" t="s">
        <v>212</v>
      </c>
      <c r="D908" s="40">
        <v>45095</v>
      </c>
      <c r="E908" s="26">
        <v>100061</v>
      </c>
      <c r="F908" s="26">
        <f t="shared" si="28"/>
        <v>145156</v>
      </c>
      <c r="G908" s="40">
        <v>47684</v>
      </c>
      <c r="H908" s="26">
        <v>96864</v>
      </c>
      <c r="I908" s="27">
        <f t="shared" si="29"/>
        <v>144548</v>
      </c>
      <c r="J908" s="40">
        <v>57190</v>
      </c>
      <c r="K908" s="26">
        <v>149798</v>
      </c>
      <c r="L908" s="27">
        <v>206988</v>
      </c>
      <c r="M908" s="26">
        <v>51906</v>
      </c>
      <c r="N908" s="26">
        <v>88464</v>
      </c>
      <c r="O908" s="27">
        <v>140370</v>
      </c>
      <c r="P908" s="26">
        <v>53983</v>
      </c>
      <c r="Q908" s="26">
        <v>91531</v>
      </c>
      <c r="R908" s="27">
        <v>145514</v>
      </c>
      <c r="S908" s="26">
        <v>52838</v>
      </c>
      <c r="T908" s="26">
        <v>95062</v>
      </c>
      <c r="U908" s="27">
        <v>147900</v>
      </c>
      <c r="V908" s="26">
        <v>50335</v>
      </c>
      <c r="W908" s="26">
        <v>87300</v>
      </c>
      <c r="X908" s="31">
        <v>137635</v>
      </c>
      <c r="Y908" s="16">
        <v>40034</v>
      </c>
      <c r="Z908" s="16">
        <v>89914</v>
      </c>
      <c r="AA908" s="31">
        <v>129948</v>
      </c>
      <c r="AB908" s="32">
        <v>43834</v>
      </c>
      <c r="AC908" s="16">
        <v>90797</v>
      </c>
      <c r="AD908" s="31">
        <v>134631</v>
      </c>
      <c r="AE908" s="16">
        <v>49920</v>
      </c>
      <c r="AF908" s="16">
        <v>80733</v>
      </c>
      <c r="AG908" s="31">
        <v>130653</v>
      </c>
      <c r="AH908" s="16">
        <v>48783</v>
      </c>
      <c r="AI908" s="16">
        <v>67554</v>
      </c>
      <c r="AJ908" s="31">
        <v>116337</v>
      </c>
      <c r="AK908" s="16">
        <v>46836</v>
      </c>
      <c r="AL908" s="16">
        <v>68608</v>
      </c>
      <c r="AM908" s="31">
        <v>115444</v>
      </c>
      <c r="AN908" s="16">
        <v>57662</v>
      </c>
      <c r="AO908" s="16">
        <v>61505</v>
      </c>
      <c r="AP908" s="31">
        <v>119167</v>
      </c>
      <c r="AQ908" s="42"/>
      <c r="AR908" s="43"/>
      <c r="AS908" s="42"/>
      <c r="AT908" s="42"/>
    </row>
    <row r="909" spans="1:46" ht="12.9" customHeight="1" x14ac:dyDescent="0.25">
      <c r="A909" s="28" t="s">
        <v>1849</v>
      </c>
      <c r="B909" s="29" t="s">
        <v>1850</v>
      </c>
      <c r="C909" s="30" t="s">
        <v>113</v>
      </c>
      <c r="D909" s="40">
        <v>85595</v>
      </c>
      <c r="E909" s="26">
        <v>333759</v>
      </c>
      <c r="F909" s="26">
        <f t="shared" si="28"/>
        <v>419354</v>
      </c>
      <c r="G909" s="40">
        <v>85111</v>
      </c>
      <c r="H909" s="26">
        <v>362745</v>
      </c>
      <c r="I909" s="27">
        <f t="shared" si="29"/>
        <v>447856</v>
      </c>
      <c r="J909" s="40">
        <v>73935</v>
      </c>
      <c r="K909" s="26">
        <v>309775</v>
      </c>
      <c r="L909" s="27">
        <v>383710</v>
      </c>
      <c r="M909" s="26">
        <v>90173</v>
      </c>
      <c r="N909" s="26">
        <v>354799</v>
      </c>
      <c r="O909" s="27">
        <v>444972</v>
      </c>
      <c r="P909" s="26">
        <v>95365</v>
      </c>
      <c r="Q909" s="26">
        <v>375440</v>
      </c>
      <c r="R909" s="27">
        <v>470805</v>
      </c>
      <c r="S909" s="26">
        <v>85397</v>
      </c>
      <c r="T909" s="26">
        <v>303810</v>
      </c>
      <c r="U909" s="27">
        <v>389207</v>
      </c>
      <c r="V909" s="26">
        <v>67205</v>
      </c>
      <c r="W909" s="26">
        <v>284403</v>
      </c>
      <c r="X909" s="31">
        <v>351608</v>
      </c>
      <c r="Y909" s="16">
        <v>97021</v>
      </c>
      <c r="Z909" s="16">
        <v>261846</v>
      </c>
      <c r="AA909" s="31">
        <v>358867</v>
      </c>
      <c r="AB909" s="32">
        <v>76809</v>
      </c>
      <c r="AC909" s="16">
        <v>223850</v>
      </c>
      <c r="AD909" s="31">
        <v>300659</v>
      </c>
      <c r="AE909" s="16">
        <v>75731</v>
      </c>
      <c r="AF909" s="16">
        <v>199518</v>
      </c>
      <c r="AG909" s="31">
        <v>275249</v>
      </c>
      <c r="AH909" s="16">
        <v>70602</v>
      </c>
      <c r="AI909" s="16">
        <v>155412</v>
      </c>
      <c r="AJ909" s="31">
        <v>226014</v>
      </c>
      <c r="AK909" s="16">
        <v>74787</v>
      </c>
      <c r="AL909" s="16">
        <v>100680</v>
      </c>
      <c r="AM909" s="31">
        <v>175467</v>
      </c>
      <c r="AN909" s="16">
        <v>104679</v>
      </c>
      <c r="AO909" s="16">
        <v>88110</v>
      </c>
      <c r="AP909" s="31">
        <v>192789</v>
      </c>
      <c r="AQ909" s="42"/>
      <c r="AR909" s="43"/>
      <c r="AS909" s="42"/>
      <c r="AT909" s="42"/>
    </row>
    <row r="910" spans="1:46" ht="12.9" customHeight="1" x14ac:dyDescent="0.25">
      <c r="A910" s="28" t="s">
        <v>1851</v>
      </c>
      <c r="B910" s="29" t="s">
        <v>1852</v>
      </c>
      <c r="C910" s="30" t="s">
        <v>23</v>
      </c>
      <c r="D910" s="40">
        <v>186839</v>
      </c>
      <c r="E910" s="26">
        <v>70144</v>
      </c>
      <c r="F910" s="26">
        <f t="shared" si="28"/>
        <v>256983</v>
      </c>
      <c r="G910" s="40">
        <v>215262</v>
      </c>
      <c r="H910" s="26">
        <v>75035</v>
      </c>
      <c r="I910" s="27">
        <f t="shared" si="29"/>
        <v>290297</v>
      </c>
      <c r="J910" s="40">
        <v>226903</v>
      </c>
      <c r="K910" s="26">
        <v>94798</v>
      </c>
      <c r="L910" s="27">
        <v>321701</v>
      </c>
      <c r="M910" s="26">
        <v>236140</v>
      </c>
      <c r="N910" s="26">
        <v>96436</v>
      </c>
      <c r="O910" s="27">
        <v>332576</v>
      </c>
      <c r="P910" s="26">
        <v>233212</v>
      </c>
      <c r="Q910" s="26">
        <v>93203</v>
      </c>
      <c r="R910" s="27">
        <v>326415</v>
      </c>
      <c r="S910" s="26">
        <v>215097</v>
      </c>
      <c r="T910" s="26">
        <v>60374</v>
      </c>
      <c r="U910" s="27">
        <v>275471</v>
      </c>
      <c r="V910" s="26">
        <v>224526</v>
      </c>
      <c r="W910" s="26">
        <v>52597</v>
      </c>
      <c r="X910" s="31">
        <v>277123</v>
      </c>
      <c r="Y910" s="16">
        <v>222916</v>
      </c>
      <c r="Z910" s="16">
        <v>50794</v>
      </c>
      <c r="AA910" s="31">
        <v>273710</v>
      </c>
      <c r="AB910" s="32">
        <v>227262</v>
      </c>
      <c r="AC910" s="16">
        <v>52325</v>
      </c>
      <c r="AD910" s="31">
        <v>279587</v>
      </c>
      <c r="AE910" s="16">
        <v>218814</v>
      </c>
      <c r="AF910" s="16">
        <v>53977</v>
      </c>
      <c r="AG910" s="31">
        <v>272791</v>
      </c>
      <c r="AH910" s="16">
        <v>224832</v>
      </c>
      <c r="AI910" s="16">
        <v>60207</v>
      </c>
      <c r="AJ910" s="31">
        <v>285039</v>
      </c>
      <c r="AK910" s="16">
        <v>223050</v>
      </c>
      <c r="AL910" s="16">
        <v>75024</v>
      </c>
      <c r="AM910" s="31">
        <v>298074</v>
      </c>
      <c r="AN910" s="16">
        <v>238270</v>
      </c>
      <c r="AO910" s="16">
        <v>75915</v>
      </c>
      <c r="AP910" s="31">
        <v>314185</v>
      </c>
      <c r="AQ910" s="42"/>
      <c r="AR910" s="43"/>
      <c r="AS910" s="42"/>
      <c r="AT910" s="42"/>
    </row>
    <row r="911" spans="1:46" ht="12.9" customHeight="1" x14ac:dyDescent="0.25">
      <c r="A911" s="28" t="s">
        <v>1853</v>
      </c>
      <c r="B911" s="29" t="s">
        <v>1854</v>
      </c>
      <c r="C911" s="30" t="s">
        <v>191</v>
      </c>
      <c r="D911" s="40">
        <v>1502838</v>
      </c>
      <c r="E911" s="26">
        <v>449268</v>
      </c>
      <c r="F911" s="26">
        <f t="shared" si="28"/>
        <v>1952106</v>
      </c>
      <c r="G911" s="40">
        <v>1506878</v>
      </c>
      <c r="H911" s="26">
        <v>460148</v>
      </c>
      <c r="I911" s="27">
        <f t="shared" si="29"/>
        <v>1967026</v>
      </c>
      <c r="J911" s="40">
        <v>1525277</v>
      </c>
      <c r="K911" s="26">
        <v>567250</v>
      </c>
      <c r="L911" s="27">
        <v>2092527</v>
      </c>
      <c r="M911" s="26">
        <v>1579331</v>
      </c>
      <c r="N911" s="26">
        <v>492013</v>
      </c>
      <c r="O911" s="27">
        <v>2071344</v>
      </c>
      <c r="P911" s="26">
        <v>1611045</v>
      </c>
      <c r="Q911" s="26">
        <v>463665</v>
      </c>
      <c r="R911" s="27">
        <v>2074710</v>
      </c>
      <c r="S911" s="26">
        <v>1514050</v>
      </c>
      <c r="T911" s="26">
        <v>549311</v>
      </c>
      <c r="U911" s="27">
        <v>2063361</v>
      </c>
      <c r="V911" s="26">
        <v>1503208</v>
      </c>
      <c r="W911" s="26">
        <v>543434</v>
      </c>
      <c r="X911" s="31">
        <v>2046642</v>
      </c>
      <c r="Y911" s="16">
        <v>1515757</v>
      </c>
      <c r="Z911" s="16">
        <v>528347</v>
      </c>
      <c r="AA911" s="31">
        <v>2044104</v>
      </c>
      <c r="AB911" s="32">
        <v>1512180</v>
      </c>
      <c r="AC911" s="16">
        <v>497621</v>
      </c>
      <c r="AD911" s="31">
        <v>2009801</v>
      </c>
      <c r="AE911" s="16">
        <v>1507403</v>
      </c>
      <c r="AF911" s="16">
        <v>493905</v>
      </c>
      <c r="AG911" s="31">
        <v>2001308</v>
      </c>
      <c r="AH911" s="16">
        <v>1522329</v>
      </c>
      <c r="AI911" s="16">
        <v>461227</v>
      </c>
      <c r="AJ911" s="31">
        <v>1983556</v>
      </c>
      <c r="AK911" s="16">
        <v>1572650</v>
      </c>
      <c r="AL911" s="16">
        <v>485913</v>
      </c>
      <c r="AM911" s="31">
        <v>2058563</v>
      </c>
      <c r="AN911" s="16">
        <v>1657370</v>
      </c>
      <c r="AO911" s="16">
        <v>518165</v>
      </c>
      <c r="AP911" s="31">
        <v>2175535</v>
      </c>
      <c r="AQ911" s="42"/>
      <c r="AR911" s="43"/>
      <c r="AS911" s="42"/>
      <c r="AT911" s="42"/>
    </row>
    <row r="912" spans="1:46" ht="12.9" customHeight="1" x14ac:dyDescent="0.25">
      <c r="A912" s="28" t="s">
        <v>1855</v>
      </c>
      <c r="B912" s="29" t="s">
        <v>1856</v>
      </c>
      <c r="C912" s="30" t="s">
        <v>17</v>
      </c>
      <c r="D912" s="40">
        <v>19210</v>
      </c>
      <c r="E912" s="26">
        <v>16502</v>
      </c>
      <c r="F912" s="26">
        <f t="shared" si="28"/>
        <v>35712</v>
      </c>
      <c r="G912" s="40">
        <v>21883</v>
      </c>
      <c r="H912" s="26">
        <v>16888</v>
      </c>
      <c r="I912" s="27">
        <f t="shared" si="29"/>
        <v>38771</v>
      </c>
      <c r="J912" s="40">
        <v>22703</v>
      </c>
      <c r="K912" s="26">
        <v>16062</v>
      </c>
      <c r="L912" s="27">
        <v>38765</v>
      </c>
      <c r="M912" s="26">
        <v>22738</v>
      </c>
      <c r="N912" s="26">
        <v>16867</v>
      </c>
      <c r="O912" s="27">
        <v>39605</v>
      </c>
      <c r="P912" s="26">
        <v>22042</v>
      </c>
      <c r="Q912" s="26">
        <v>15881</v>
      </c>
      <c r="R912" s="27">
        <v>37923</v>
      </c>
      <c r="S912" s="26">
        <v>20715</v>
      </c>
      <c r="T912" s="26">
        <v>15637</v>
      </c>
      <c r="U912" s="27">
        <v>36352</v>
      </c>
      <c r="V912" s="26">
        <v>19026</v>
      </c>
      <c r="W912" s="26">
        <v>13648</v>
      </c>
      <c r="X912" s="31">
        <v>32674</v>
      </c>
      <c r="Y912" s="16">
        <v>17941</v>
      </c>
      <c r="Z912" s="16">
        <v>12606</v>
      </c>
      <c r="AA912" s="31">
        <v>30547</v>
      </c>
      <c r="AB912" s="32">
        <v>17567</v>
      </c>
      <c r="AC912" s="16">
        <v>16823</v>
      </c>
      <c r="AD912" s="31">
        <v>34390</v>
      </c>
      <c r="AE912" s="16">
        <v>18773</v>
      </c>
      <c r="AF912" s="16">
        <v>15433</v>
      </c>
      <c r="AG912" s="31">
        <v>34206</v>
      </c>
      <c r="AH912" s="16">
        <v>22807</v>
      </c>
      <c r="AI912" s="16">
        <v>24104</v>
      </c>
      <c r="AJ912" s="31">
        <v>46911</v>
      </c>
      <c r="AK912" s="16">
        <v>18118</v>
      </c>
      <c r="AL912" s="16">
        <v>10626</v>
      </c>
      <c r="AM912" s="31">
        <v>28744</v>
      </c>
      <c r="AN912" s="16">
        <v>21968</v>
      </c>
      <c r="AO912" s="16">
        <v>23154</v>
      </c>
      <c r="AP912" s="31">
        <v>45122</v>
      </c>
      <c r="AQ912" s="42"/>
      <c r="AR912" s="43"/>
      <c r="AS912" s="42"/>
      <c r="AT912" s="42"/>
    </row>
    <row r="913" spans="1:46" ht="12.9" customHeight="1" x14ac:dyDescent="0.25">
      <c r="A913" s="28" t="s">
        <v>1857</v>
      </c>
      <c r="B913" s="29" t="s">
        <v>1858</v>
      </c>
      <c r="C913" s="30" t="s">
        <v>23</v>
      </c>
      <c r="D913" s="40">
        <v>45718</v>
      </c>
      <c r="E913" s="26">
        <v>14158</v>
      </c>
      <c r="F913" s="26">
        <f t="shared" si="28"/>
        <v>59876</v>
      </c>
      <c r="G913" s="40">
        <v>53084</v>
      </c>
      <c r="H913" s="26">
        <v>20618</v>
      </c>
      <c r="I913" s="27">
        <f t="shared" si="29"/>
        <v>73702</v>
      </c>
      <c r="J913" s="40">
        <v>54139</v>
      </c>
      <c r="K913" s="26">
        <v>26183</v>
      </c>
      <c r="L913" s="27">
        <v>80322</v>
      </c>
      <c r="M913" s="26">
        <v>59038</v>
      </c>
      <c r="N913" s="26">
        <v>21424</v>
      </c>
      <c r="O913" s="27">
        <v>80462</v>
      </c>
      <c r="P913" s="26">
        <v>61234</v>
      </c>
      <c r="Q913" s="26">
        <v>26779</v>
      </c>
      <c r="R913" s="27">
        <v>88013</v>
      </c>
      <c r="S913" s="26">
        <v>57961</v>
      </c>
      <c r="T913" s="26">
        <v>21112</v>
      </c>
      <c r="U913" s="27">
        <v>79073</v>
      </c>
      <c r="V913" s="26">
        <v>54007</v>
      </c>
      <c r="W913" s="26">
        <v>19338</v>
      </c>
      <c r="X913" s="31">
        <v>73345</v>
      </c>
      <c r="Y913" s="16">
        <v>54485</v>
      </c>
      <c r="Z913" s="16">
        <v>23486</v>
      </c>
      <c r="AA913" s="31">
        <v>77971</v>
      </c>
      <c r="AB913" s="32">
        <v>52527</v>
      </c>
      <c r="AC913" s="16">
        <v>30403</v>
      </c>
      <c r="AD913" s="31">
        <v>82930</v>
      </c>
      <c r="AE913" s="16">
        <v>53196</v>
      </c>
      <c r="AF913" s="16">
        <v>25254</v>
      </c>
      <c r="AG913" s="31">
        <v>78450</v>
      </c>
      <c r="AH913" s="16">
        <v>52043</v>
      </c>
      <c r="AI913" s="16">
        <v>23096</v>
      </c>
      <c r="AJ913" s="31">
        <v>75139</v>
      </c>
      <c r="AK913" s="16">
        <v>51181</v>
      </c>
      <c r="AL913" s="16">
        <v>20946</v>
      </c>
      <c r="AM913" s="31">
        <v>72127</v>
      </c>
      <c r="AN913" s="16">
        <v>59971</v>
      </c>
      <c r="AO913" s="16">
        <v>20565</v>
      </c>
      <c r="AP913" s="31">
        <v>80536</v>
      </c>
      <c r="AQ913" s="42"/>
      <c r="AR913" s="43"/>
      <c r="AS913" s="42"/>
      <c r="AT913" s="42"/>
    </row>
    <row r="914" spans="1:46" ht="12.9" customHeight="1" x14ac:dyDescent="0.25">
      <c r="A914" s="28" t="s">
        <v>1859</v>
      </c>
      <c r="B914" s="29" t="s">
        <v>1860</v>
      </c>
      <c r="C914" s="30" t="s">
        <v>163</v>
      </c>
      <c r="D914" s="40">
        <v>19734</v>
      </c>
      <c r="E914" s="26">
        <v>8781</v>
      </c>
      <c r="F914" s="26">
        <f t="shared" si="28"/>
        <v>28515</v>
      </c>
      <c r="G914" s="40">
        <v>19809</v>
      </c>
      <c r="H914" s="26">
        <v>8095</v>
      </c>
      <c r="I914" s="27">
        <f t="shared" si="29"/>
        <v>27904</v>
      </c>
      <c r="J914" s="40">
        <v>21076</v>
      </c>
      <c r="K914" s="26">
        <v>9455</v>
      </c>
      <c r="L914" s="27">
        <v>30531</v>
      </c>
      <c r="M914" s="26">
        <v>24728</v>
      </c>
      <c r="N914" s="26">
        <v>8701</v>
      </c>
      <c r="O914" s="27">
        <v>33429</v>
      </c>
      <c r="P914" s="26">
        <v>22817</v>
      </c>
      <c r="Q914" s="26">
        <v>6613</v>
      </c>
      <c r="R914" s="27">
        <v>29430</v>
      </c>
      <c r="S914" s="26">
        <v>22435</v>
      </c>
      <c r="T914" s="26">
        <v>7527</v>
      </c>
      <c r="U914" s="27">
        <v>29962</v>
      </c>
      <c r="V914" s="26">
        <v>21623</v>
      </c>
      <c r="W914" s="26">
        <v>6687</v>
      </c>
      <c r="X914" s="31">
        <v>28310</v>
      </c>
      <c r="Y914" s="16">
        <v>22265</v>
      </c>
      <c r="Z914" s="16">
        <v>7735</v>
      </c>
      <c r="AA914" s="31">
        <v>30000</v>
      </c>
      <c r="AB914" s="32">
        <v>22656</v>
      </c>
      <c r="AC914" s="16">
        <v>11985</v>
      </c>
      <c r="AD914" s="31">
        <v>34641</v>
      </c>
      <c r="AE914" s="16">
        <v>22980</v>
      </c>
      <c r="AF914" s="16">
        <v>11694</v>
      </c>
      <c r="AG914" s="31">
        <v>34674</v>
      </c>
      <c r="AH914" s="16">
        <v>28739</v>
      </c>
      <c r="AI914" s="16">
        <v>13284</v>
      </c>
      <c r="AJ914" s="31">
        <v>42023</v>
      </c>
      <c r="AK914" s="16">
        <v>22982</v>
      </c>
      <c r="AL914" s="16">
        <v>11123</v>
      </c>
      <c r="AM914" s="31">
        <v>34105</v>
      </c>
      <c r="AN914" s="16">
        <v>25116</v>
      </c>
      <c r="AO914" s="16">
        <v>6391</v>
      </c>
      <c r="AP914" s="31">
        <v>31507</v>
      </c>
      <c r="AQ914" s="42"/>
      <c r="AR914" s="43"/>
      <c r="AS914" s="42"/>
      <c r="AT914" s="42"/>
    </row>
    <row r="915" spans="1:46" ht="12.9" customHeight="1" x14ac:dyDescent="0.25">
      <c r="A915" s="28" t="s">
        <v>1861</v>
      </c>
      <c r="B915" s="29" t="s">
        <v>1862</v>
      </c>
      <c r="C915" s="30" t="s">
        <v>26</v>
      </c>
      <c r="D915" s="40">
        <v>21393</v>
      </c>
      <c r="E915" s="26">
        <v>3479</v>
      </c>
      <c r="F915" s="26">
        <f t="shared" si="28"/>
        <v>24872</v>
      </c>
      <c r="G915" s="40">
        <v>21964</v>
      </c>
      <c r="H915" s="26">
        <v>4171</v>
      </c>
      <c r="I915" s="27">
        <f t="shared" si="29"/>
        <v>26135</v>
      </c>
      <c r="J915" s="40">
        <v>22978</v>
      </c>
      <c r="K915" s="26">
        <v>4538</v>
      </c>
      <c r="L915" s="27">
        <v>27516</v>
      </c>
      <c r="M915" s="26">
        <v>23765</v>
      </c>
      <c r="N915" s="26">
        <v>4239</v>
      </c>
      <c r="O915" s="27">
        <v>28004</v>
      </c>
      <c r="P915" s="26">
        <v>25111</v>
      </c>
      <c r="Q915" s="26">
        <v>3568</v>
      </c>
      <c r="R915" s="27">
        <v>28679</v>
      </c>
      <c r="S915" s="26">
        <v>25819</v>
      </c>
      <c r="T915" s="26">
        <v>4630</v>
      </c>
      <c r="U915" s="27">
        <v>30449</v>
      </c>
      <c r="V915" s="26">
        <v>16507</v>
      </c>
      <c r="W915" s="26">
        <v>3734</v>
      </c>
      <c r="X915" s="31">
        <v>20241</v>
      </c>
      <c r="Y915" s="16">
        <v>21552</v>
      </c>
      <c r="Z915" s="16">
        <v>4110</v>
      </c>
      <c r="AA915" s="31">
        <v>25662</v>
      </c>
      <c r="AB915" s="32">
        <v>24564</v>
      </c>
      <c r="AC915" s="16">
        <v>6083</v>
      </c>
      <c r="AD915" s="31">
        <v>30647</v>
      </c>
      <c r="AE915" s="16">
        <v>21237</v>
      </c>
      <c r="AF915" s="16">
        <v>5331</v>
      </c>
      <c r="AG915" s="31">
        <v>26568</v>
      </c>
      <c r="AH915" s="16">
        <v>21454</v>
      </c>
      <c r="AI915" s="16">
        <v>4493</v>
      </c>
      <c r="AJ915" s="31">
        <v>25947</v>
      </c>
      <c r="AK915" s="16">
        <v>18530</v>
      </c>
      <c r="AL915" s="16">
        <v>3731</v>
      </c>
      <c r="AM915" s="31">
        <v>22261</v>
      </c>
      <c r="AN915" s="16">
        <v>26085</v>
      </c>
      <c r="AO915" s="16">
        <v>4964</v>
      </c>
      <c r="AP915" s="31">
        <v>31049</v>
      </c>
      <c r="AQ915" s="42"/>
      <c r="AR915" s="43"/>
      <c r="AS915" s="42"/>
      <c r="AT915" s="42"/>
    </row>
    <row r="916" spans="1:46" ht="12.9" customHeight="1" x14ac:dyDescent="0.25">
      <c r="A916" s="28" t="s">
        <v>1863</v>
      </c>
      <c r="B916" s="29" t="s">
        <v>1864</v>
      </c>
      <c r="C916" s="30" t="s">
        <v>1181</v>
      </c>
      <c r="D916" s="40">
        <v>58320</v>
      </c>
      <c r="E916" s="26">
        <v>6905</v>
      </c>
      <c r="F916" s="26">
        <f t="shared" si="28"/>
        <v>65225</v>
      </c>
      <c r="G916" s="40">
        <v>57996</v>
      </c>
      <c r="H916" s="26">
        <v>6991</v>
      </c>
      <c r="I916" s="27">
        <f t="shared" si="29"/>
        <v>64987</v>
      </c>
      <c r="J916" s="40">
        <v>57888</v>
      </c>
      <c r="K916" s="26">
        <v>7066</v>
      </c>
      <c r="L916" s="27">
        <v>64954</v>
      </c>
      <c r="M916" s="26">
        <v>57996</v>
      </c>
      <c r="N916" s="26">
        <v>6868</v>
      </c>
      <c r="O916" s="27">
        <v>64864</v>
      </c>
      <c r="P916" s="26">
        <v>57960</v>
      </c>
      <c r="Q916" s="26">
        <v>7228</v>
      </c>
      <c r="R916" s="27">
        <v>65188</v>
      </c>
      <c r="S916" s="26">
        <v>56808</v>
      </c>
      <c r="T916" s="26">
        <v>7838</v>
      </c>
      <c r="U916" s="27">
        <v>64646</v>
      </c>
      <c r="V916" s="26">
        <v>56808</v>
      </c>
      <c r="W916" s="26">
        <v>4367</v>
      </c>
      <c r="X916" s="31">
        <v>61175</v>
      </c>
      <c r="Y916" s="16">
        <v>56808</v>
      </c>
      <c r="Z916" s="16">
        <v>4474</v>
      </c>
      <c r="AA916" s="31">
        <v>61282</v>
      </c>
      <c r="AB916" s="32">
        <v>56880</v>
      </c>
      <c r="AC916" s="16">
        <v>4474</v>
      </c>
      <c r="AD916" s="31">
        <v>61354</v>
      </c>
      <c r="AE916" s="16">
        <v>56808</v>
      </c>
      <c r="AF916" s="16">
        <v>4428</v>
      </c>
      <c r="AG916" s="31">
        <v>61236</v>
      </c>
      <c r="AH916" s="16">
        <v>56592</v>
      </c>
      <c r="AI916" s="16">
        <v>4644</v>
      </c>
      <c r="AJ916" s="31">
        <v>61236</v>
      </c>
      <c r="AK916" s="16">
        <v>53712</v>
      </c>
      <c r="AL916" s="16">
        <v>7236</v>
      </c>
      <c r="AM916" s="31">
        <v>60948</v>
      </c>
      <c r="AN916" s="16">
        <v>53712</v>
      </c>
      <c r="AO916" s="16">
        <v>7236</v>
      </c>
      <c r="AP916" s="31">
        <v>60948</v>
      </c>
      <c r="AQ916" s="42"/>
      <c r="AR916" s="43"/>
      <c r="AS916" s="42"/>
      <c r="AT916" s="42"/>
    </row>
    <row r="917" spans="1:46" ht="12.9" customHeight="1" x14ac:dyDescent="0.25">
      <c r="A917" s="28" t="s">
        <v>1865</v>
      </c>
      <c r="B917" s="29" t="s">
        <v>1866</v>
      </c>
      <c r="C917" s="30" t="s">
        <v>384</v>
      </c>
      <c r="D917" s="40">
        <v>24689</v>
      </c>
      <c r="E917" s="26">
        <v>12089</v>
      </c>
      <c r="F917" s="26">
        <f t="shared" si="28"/>
        <v>36778</v>
      </c>
      <c r="G917" s="40">
        <v>24580</v>
      </c>
      <c r="H917" s="26">
        <v>12413</v>
      </c>
      <c r="I917" s="27">
        <f t="shared" si="29"/>
        <v>36993</v>
      </c>
      <c r="J917" s="40">
        <v>19969</v>
      </c>
      <c r="K917" s="26">
        <v>13461</v>
      </c>
      <c r="L917" s="27">
        <v>33430</v>
      </c>
      <c r="M917" s="26">
        <v>24890</v>
      </c>
      <c r="N917" s="26">
        <v>11472</v>
      </c>
      <c r="O917" s="27">
        <v>36362</v>
      </c>
      <c r="P917" s="26">
        <v>21182</v>
      </c>
      <c r="Q917" s="26">
        <v>9426</v>
      </c>
      <c r="R917" s="27">
        <v>30608</v>
      </c>
      <c r="S917" s="26">
        <v>21634</v>
      </c>
      <c r="T917" s="26">
        <v>11985</v>
      </c>
      <c r="U917" s="27">
        <v>33619</v>
      </c>
      <c r="V917" s="26">
        <v>22642</v>
      </c>
      <c r="W917" s="26">
        <v>12351</v>
      </c>
      <c r="X917" s="31">
        <v>34993</v>
      </c>
      <c r="Y917" s="16">
        <v>23573</v>
      </c>
      <c r="Z917" s="16">
        <v>10333</v>
      </c>
      <c r="AA917" s="31">
        <v>33906</v>
      </c>
      <c r="AB917" s="32">
        <v>22314</v>
      </c>
      <c r="AC917" s="16">
        <v>12946</v>
      </c>
      <c r="AD917" s="31">
        <v>35260</v>
      </c>
      <c r="AE917" s="16">
        <v>22657</v>
      </c>
      <c r="AF917" s="16">
        <v>13304</v>
      </c>
      <c r="AG917" s="31">
        <v>35961</v>
      </c>
      <c r="AH917" s="16">
        <v>45485.000000000007</v>
      </c>
      <c r="AI917" s="16">
        <v>10294</v>
      </c>
      <c r="AJ917" s="31">
        <v>55779.000000000007</v>
      </c>
      <c r="AK917" s="16">
        <v>45485.000000000007</v>
      </c>
      <c r="AL917" s="16">
        <v>10534</v>
      </c>
      <c r="AM917" s="31">
        <v>56019.000000000007</v>
      </c>
      <c r="AN917" s="16">
        <v>45485.000000000007</v>
      </c>
      <c r="AO917" s="16">
        <v>11072</v>
      </c>
      <c r="AP917" s="31">
        <v>56557.000000000007</v>
      </c>
      <c r="AQ917" s="42"/>
      <c r="AR917" s="43"/>
      <c r="AS917" s="42"/>
      <c r="AT917" s="42"/>
    </row>
    <row r="918" spans="1:46" ht="12.9" customHeight="1" x14ac:dyDescent="0.25">
      <c r="A918" s="28" t="s">
        <v>1867</v>
      </c>
      <c r="B918" s="29" t="s">
        <v>1868</v>
      </c>
      <c r="C918" s="30" t="s">
        <v>120</v>
      </c>
      <c r="D918" s="40">
        <v>87006</v>
      </c>
      <c r="E918" s="26">
        <v>73369</v>
      </c>
      <c r="F918" s="26">
        <f t="shared" si="28"/>
        <v>160375</v>
      </c>
      <c r="G918" s="40">
        <v>84559</v>
      </c>
      <c r="H918" s="26">
        <v>73760</v>
      </c>
      <c r="I918" s="27">
        <f t="shared" si="29"/>
        <v>158319</v>
      </c>
      <c r="J918" s="40">
        <v>95038</v>
      </c>
      <c r="K918" s="26">
        <v>63518</v>
      </c>
      <c r="L918" s="27">
        <v>158556</v>
      </c>
      <c r="M918" s="26">
        <v>92474</v>
      </c>
      <c r="N918" s="26">
        <v>83630</v>
      </c>
      <c r="O918" s="27">
        <v>176104</v>
      </c>
      <c r="P918" s="26">
        <v>98308</v>
      </c>
      <c r="Q918" s="26">
        <v>76930</v>
      </c>
      <c r="R918" s="27">
        <v>175238</v>
      </c>
      <c r="S918" s="26">
        <v>86587</v>
      </c>
      <c r="T918" s="26">
        <v>72442</v>
      </c>
      <c r="U918" s="27">
        <v>159029</v>
      </c>
      <c r="V918" s="26">
        <v>88308</v>
      </c>
      <c r="W918" s="26">
        <v>71835</v>
      </c>
      <c r="X918" s="31">
        <v>160143</v>
      </c>
      <c r="Y918" s="16">
        <v>89578</v>
      </c>
      <c r="Z918" s="16">
        <v>67258</v>
      </c>
      <c r="AA918" s="31">
        <v>156836</v>
      </c>
      <c r="AB918" s="32">
        <v>93418</v>
      </c>
      <c r="AC918" s="16">
        <v>66421</v>
      </c>
      <c r="AD918" s="31">
        <v>159839</v>
      </c>
      <c r="AE918" s="16">
        <v>86968</v>
      </c>
      <c r="AF918" s="16">
        <v>67661</v>
      </c>
      <c r="AG918" s="31">
        <v>154629</v>
      </c>
      <c r="AH918" s="16">
        <v>81456</v>
      </c>
      <c r="AI918" s="16">
        <v>64681</v>
      </c>
      <c r="AJ918" s="31">
        <v>146137</v>
      </c>
      <c r="AK918" s="16">
        <v>87486</v>
      </c>
      <c r="AL918" s="16">
        <v>59530</v>
      </c>
      <c r="AM918" s="31">
        <v>147016</v>
      </c>
      <c r="AN918" s="16">
        <v>89183</v>
      </c>
      <c r="AO918" s="16">
        <v>54895</v>
      </c>
      <c r="AP918" s="31">
        <v>144078</v>
      </c>
      <c r="AQ918" s="42"/>
      <c r="AR918" s="43"/>
      <c r="AS918" s="42"/>
      <c r="AT918" s="42"/>
    </row>
    <row r="919" spans="1:46" ht="12.9" customHeight="1" x14ac:dyDescent="0.25">
      <c r="A919" s="28" t="s">
        <v>1869</v>
      </c>
      <c r="B919" s="29" t="s">
        <v>1870</v>
      </c>
      <c r="C919" s="30" t="s">
        <v>23</v>
      </c>
      <c r="D919" s="40">
        <v>11346</v>
      </c>
      <c r="E919" s="26">
        <v>2535</v>
      </c>
      <c r="F919" s="26">
        <f t="shared" si="28"/>
        <v>13881</v>
      </c>
      <c r="G919" s="40">
        <v>13353</v>
      </c>
      <c r="H919" s="26">
        <v>2909</v>
      </c>
      <c r="I919" s="27">
        <f t="shared" si="29"/>
        <v>16262</v>
      </c>
      <c r="J919" s="40">
        <v>14753</v>
      </c>
      <c r="K919" s="26">
        <v>5589</v>
      </c>
      <c r="L919" s="27">
        <v>20342</v>
      </c>
      <c r="M919" s="26">
        <v>12334</v>
      </c>
      <c r="N919" s="26">
        <v>4987</v>
      </c>
      <c r="O919" s="27">
        <v>17321</v>
      </c>
      <c r="P919" s="26">
        <v>13694</v>
      </c>
      <c r="Q919" s="26">
        <v>4619</v>
      </c>
      <c r="R919" s="27">
        <v>18313</v>
      </c>
      <c r="S919" s="26">
        <v>12805</v>
      </c>
      <c r="T919" s="26">
        <v>4661</v>
      </c>
      <c r="U919" s="27">
        <v>17466</v>
      </c>
      <c r="V919" s="26">
        <v>11650</v>
      </c>
      <c r="W919" s="26">
        <v>5294</v>
      </c>
      <c r="X919" s="31">
        <v>16944</v>
      </c>
      <c r="Y919" s="16">
        <v>11611</v>
      </c>
      <c r="Z919" s="16">
        <v>3553</v>
      </c>
      <c r="AA919" s="31">
        <v>15164</v>
      </c>
      <c r="AB919" s="32">
        <v>12208</v>
      </c>
      <c r="AC919" s="16">
        <v>4320</v>
      </c>
      <c r="AD919" s="31">
        <v>16528</v>
      </c>
      <c r="AE919" s="16">
        <v>12899</v>
      </c>
      <c r="AF919" s="16">
        <v>1993</v>
      </c>
      <c r="AG919" s="31">
        <v>14892</v>
      </c>
      <c r="AH919" s="16">
        <v>12601</v>
      </c>
      <c r="AI919" s="16">
        <v>980</v>
      </c>
      <c r="AJ919" s="31">
        <v>13581</v>
      </c>
      <c r="AK919" s="16">
        <v>12345</v>
      </c>
      <c r="AL919" s="16">
        <v>1363</v>
      </c>
      <c r="AM919" s="31">
        <v>13708</v>
      </c>
      <c r="AN919" s="16">
        <v>15944</v>
      </c>
      <c r="AO919" s="16">
        <v>1417</v>
      </c>
      <c r="AP919" s="31">
        <v>17361</v>
      </c>
      <c r="AQ919" s="42"/>
      <c r="AR919" s="43"/>
      <c r="AS919" s="42"/>
      <c r="AT919" s="42"/>
    </row>
    <row r="920" spans="1:46" ht="12.9" customHeight="1" x14ac:dyDescent="0.25">
      <c r="A920" s="28" t="s">
        <v>1871</v>
      </c>
      <c r="B920" s="29" t="s">
        <v>1872</v>
      </c>
      <c r="C920" s="30" t="s">
        <v>23</v>
      </c>
      <c r="D920" s="40">
        <v>46385</v>
      </c>
      <c r="E920" s="26">
        <v>262754</v>
      </c>
      <c r="F920" s="26">
        <f t="shared" si="28"/>
        <v>309139</v>
      </c>
      <c r="G920" s="40">
        <v>46730</v>
      </c>
      <c r="H920" s="26">
        <v>241058</v>
      </c>
      <c r="I920" s="27">
        <f t="shared" si="29"/>
        <v>287788</v>
      </c>
      <c r="J920" s="40">
        <v>50291</v>
      </c>
      <c r="K920" s="26">
        <v>234178</v>
      </c>
      <c r="L920" s="27">
        <v>284469</v>
      </c>
      <c r="M920" s="26">
        <v>51922</v>
      </c>
      <c r="N920" s="26">
        <v>225453</v>
      </c>
      <c r="O920" s="27">
        <v>277375</v>
      </c>
      <c r="P920" s="26">
        <v>50734</v>
      </c>
      <c r="Q920" s="26">
        <v>244868</v>
      </c>
      <c r="R920" s="27">
        <v>295602</v>
      </c>
      <c r="S920" s="26">
        <v>49321</v>
      </c>
      <c r="T920" s="26">
        <v>209939</v>
      </c>
      <c r="U920" s="27">
        <v>259260</v>
      </c>
      <c r="V920" s="26">
        <v>47657</v>
      </c>
      <c r="W920" s="26">
        <v>234908</v>
      </c>
      <c r="X920" s="31">
        <v>282565</v>
      </c>
      <c r="Y920" s="16">
        <v>45875</v>
      </c>
      <c r="Z920" s="16">
        <v>213511</v>
      </c>
      <c r="AA920" s="31">
        <v>259386</v>
      </c>
      <c r="AB920" s="32">
        <v>45875</v>
      </c>
      <c r="AC920" s="16">
        <v>240922</v>
      </c>
      <c r="AD920" s="31">
        <v>286797</v>
      </c>
      <c r="AE920" s="16">
        <v>47470</v>
      </c>
      <c r="AF920" s="16">
        <v>242910</v>
      </c>
      <c r="AG920" s="31">
        <v>290380</v>
      </c>
      <c r="AH920" s="16">
        <v>46790</v>
      </c>
      <c r="AI920" s="16">
        <v>187078</v>
      </c>
      <c r="AJ920" s="31">
        <v>233868</v>
      </c>
      <c r="AK920" s="16">
        <v>52309</v>
      </c>
      <c r="AL920" s="16">
        <v>283553</v>
      </c>
      <c r="AM920" s="31">
        <v>335862</v>
      </c>
      <c r="AN920" s="16">
        <v>52309</v>
      </c>
      <c r="AO920" s="16">
        <v>279131</v>
      </c>
      <c r="AP920" s="31">
        <v>331440</v>
      </c>
      <c r="AQ920" s="42"/>
      <c r="AR920" s="43"/>
      <c r="AS920" s="42"/>
      <c r="AT920" s="42"/>
    </row>
    <row r="921" spans="1:46" ht="12.9" customHeight="1" x14ac:dyDescent="0.25">
      <c r="A921" s="28" t="s">
        <v>1873</v>
      </c>
      <c r="B921" s="29" t="s">
        <v>1874</v>
      </c>
      <c r="C921" s="30" t="s">
        <v>23</v>
      </c>
      <c r="D921" s="40">
        <v>10339</v>
      </c>
      <c r="E921" s="26">
        <v>758</v>
      </c>
      <c r="F921" s="26">
        <f t="shared" si="28"/>
        <v>11097</v>
      </c>
      <c r="G921" s="40">
        <v>11474</v>
      </c>
      <c r="H921" s="26">
        <v>455</v>
      </c>
      <c r="I921" s="27">
        <f t="shared" si="29"/>
        <v>11929</v>
      </c>
      <c r="J921" s="40">
        <v>12297</v>
      </c>
      <c r="K921" s="26">
        <v>633</v>
      </c>
      <c r="L921" s="27">
        <v>12930</v>
      </c>
      <c r="M921" s="26">
        <v>12033</v>
      </c>
      <c r="N921" s="26">
        <v>524</v>
      </c>
      <c r="O921" s="27">
        <v>12557</v>
      </c>
      <c r="P921" s="26">
        <v>9417</v>
      </c>
      <c r="Q921" s="26">
        <v>739</v>
      </c>
      <c r="R921" s="27">
        <v>10156</v>
      </c>
      <c r="S921" s="26">
        <v>11052</v>
      </c>
      <c r="T921" s="26">
        <v>488</v>
      </c>
      <c r="U921" s="27">
        <v>11540</v>
      </c>
      <c r="V921" s="26">
        <v>9855</v>
      </c>
      <c r="W921" s="26">
        <v>202</v>
      </c>
      <c r="X921" s="31">
        <v>10057</v>
      </c>
      <c r="Y921" s="16">
        <v>10936</v>
      </c>
      <c r="Z921" s="16">
        <v>624</v>
      </c>
      <c r="AA921" s="31">
        <v>11560</v>
      </c>
      <c r="AB921" s="32">
        <v>10677</v>
      </c>
      <c r="AC921" s="16">
        <v>328</v>
      </c>
      <c r="AD921" s="31">
        <v>11005</v>
      </c>
      <c r="AE921" s="16">
        <v>10676.599864590386</v>
      </c>
      <c r="AF921" s="16">
        <v>328</v>
      </c>
      <c r="AG921" s="31">
        <v>11004.599864590386</v>
      </c>
      <c r="AH921" s="16">
        <v>10676.599864590386</v>
      </c>
      <c r="AI921" s="16">
        <v>328</v>
      </c>
      <c r="AJ921" s="31">
        <v>11004.599864590386</v>
      </c>
      <c r="AK921" s="16">
        <v>10676.599864590386</v>
      </c>
      <c r="AL921" s="16">
        <v>328</v>
      </c>
      <c r="AM921" s="31">
        <v>11004.599864590386</v>
      </c>
      <c r="AN921" s="16">
        <v>10676.599864590386</v>
      </c>
      <c r="AO921" s="16">
        <v>328</v>
      </c>
      <c r="AP921" s="31">
        <v>11004.599864590386</v>
      </c>
      <c r="AQ921" s="42"/>
      <c r="AR921" s="43"/>
      <c r="AS921" s="42"/>
      <c r="AT921" s="42"/>
    </row>
    <row r="922" spans="1:46" ht="12.9" customHeight="1" x14ac:dyDescent="0.25">
      <c r="A922" s="28" t="s">
        <v>1875</v>
      </c>
      <c r="B922" s="29" t="s">
        <v>1876</v>
      </c>
      <c r="C922" s="30" t="s">
        <v>166</v>
      </c>
      <c r="D922" s="40">
        <v>23472</v>
      </c>
      <c r="E922" s="26">
        <v>9700</v>
      </c>
      <c r="F922" s="26">
        <f t="shared" si="28"/>
        <v>33172</v>
      </c>
      <c r="G922" s="40">
        <v>23760</v>
      </c>
      <c r="H922" s="26">
        <v>9770</v>
      </c>
      <c r="I922" s="27">
        <f t="shared" si="29"/>
        <v>33530</v>
      </c>
      <c r="J922" s="40">
        <v>17820</v>
      </c>
      <c r="K922" s="26">
        <v>7932</v>
      </c>
      <c r="L922" s="27">
        <v>25752</v>
      </c>
      <c r="M922" s="26">
        <v>18144</v>
      </c>
      <c r="N922" s="26">
        <v>7326</v>
      </c>
      <c r="O922" s="27">
        <v>25470</v>
      </c>
      <c r="P922" s="26">
        <v>19008</v>
      </c>
      <c r="Q922" s="26">
        <v>7066</v>
      </c>
      <c r="R922" s="27">
        <v>26074</v>
      </c>
      <c r="S922" s="26">
        <v>15228</v>
      </c>
      <c r="T922" s="26">
        <v>5148</v>
      </c>
      <c r="U922" s="27">
        <v>20376</v>
      </c>
      <c r="V922" s="26">
        <v>14796</v>
      </c>
      <c r="W922" s="26">
        <v>4925</v>
      </c>
      <c r="X922" s="31">
        <v>19721</v>
      </c>
      <c r="Y922" s="16">
        <v>14796</v>
      </c>
      <c r="Z922" s="16">
        <v>0</v>
      </c>
      <c r="AA922" s="31">
        <v>14796</v>
      </c>
      <c r="AB922" s="32">
        <v>14580</v>
      </c>
      <c r="AC922" s="16">
        <v>0</v>
      </c>
      <c r="AD922" s="31">
        <v>14580</v>
      </c>
      <c r="AE922" s="16">
        <v>14688</v>
      </c>
      <c r="AF922" s="16">
        <v>0</v>
      </c>
      <c r="AG922" s="31">
        <v>14688</v>
      </c>
      <c r="AH922" s="32" t="s">
        <v>160</v>
      </c>
      <c r="AI922" s="32" t="s">
        <v>160</v>
      </c>
      <c r="AJ922" s="31">
        <v>0</v>
      </c>
      <c r="AK922" s="16">
        <v>14904</v>
      </c>
      <c r="AL922" s="16">
        <v>8260</v>
      </c>
      <c r="AM922" s="31">
        <v>23164</v>
      </c>
      <c r="AN922" s="16">
        <v>15120</v>
      </c>
      <c r="AO922" s="16">
        <v>9264</v>
      </c>
      <c r="AP922" s="31">
        <v>24384</v>
      </c>
      <c r="AQ922" s="42"/>
      <c r="AR922" s="43"/>
      <c r="AS922" s="42"/>
      <c r="AT922" s="42"/>
    </row>
    <row r="923" spans="1:46" ht="12.9" customHeight="1" x14ac:dyDescent="0.25">
      <c r="A923" s="28" t="s">
        <v>1877</v>
      </c>
      <c r="B923" s="29" t="s">
        <v>1878</v>
      </c>
      <c r="C923" s="30" t="s">
        <v>23</v>
      </c>
      <c r="D923" s="40">
        <v>15270</v>
      </c>
      <c r="E923" s="26">
        <v>8889</v>
      </c>
      <c r="F923" s="26">
        <f t="shared" si="28"/>
        <v>24159</v>
      </c>
      <c r="G923" s="40">
        <v>16784</v>
      </c>
      <c r="H923" s="26">
        <v>7932</v>
      </c>
      <c r="I923" s="27">
        <f t="shared" si="29"/>
        <v>24716</v>
      </c>
      <c r="J923" s="40">
        <v>17709</v>
      </c>
      <c r="K923" s="26">
        <v>9308</v>
      </c>
      <c r="L923" s="27">
        <v>27017</v>
      </c>
      <c r="M923" s="26">
        <v>17301</v>
      </c>
      <c r="N923" s="26">
        <v>8998</v>
      </c>
      <c r="O923" s="27">
        <v>26299</v>
      </c>
      <c r="P923" s="26">
        <v>17800</v>
      </c>
      <c r="Q923" s="26">
        <v>8365</v>
      </c>
      <c r="R923" s="27">
        <v>26165</v>
      </c>
      <c r="S923" s="26">
        <v>18860</v>
      </c>
      <c r="T923" s="26">
        <v>7667</v>
      </c>
      <c r="U923" s="27">
        <v>26527</v>
      </c>
      <c r="V923" s="26">
        <v>16305</v>
      </c>
      <c r="W923" s="26">
        <v>8101</v>
      </c>
      <c r="X923" s="31">
        <v>24406</v>
      </c>
      <c r="Y923" s="16">
        <v>16922</v>
      </c>
      <c r="Z923" s="16">
        <v>8520</v>
      </c>
      <c r="AA923" s="31">
        <v>25442</v>
      </c>
      <c r="AB923" s="32">
        <v>17840</v>
      </c>
      <c r="AC923" s="16">
        <v>5635</v>
      </c>
      <c r="AD923" s="31">
        <v>23475</v>
      </c>
      <c r="AE923" s="16">
        <v>17233</v>
      </c>
      <c r="AF923" s="16">
        <v>3016</v>
      </c>
      <c r="AG923" s="31">
        <v>20249</v>
      </c>
      <c r="AH923" s="16">
        <v>16373</v>
      </c>
      <c r="AI923" s="16">
        <v>1893</v>
      </c>
      <c r="AJ923" s="31">
        <v>18266</v>
      </c>
      <c r="AK923" s="16">
        <v>16247</v>
      </c>
      <c r="AL923" s="16">
        <v>1812</v>
      </c>
      <c r="AM923" s="31">
        <v>18059</v>
      </c>
      <c r="AN923" s="16">
        <v>20362</v>
      </c>
      <c r="AO923" s="16">
        <v>2313</v>
      </c>
      <c r="AP923" s="31">
        <v>22675</v>
      </c>
      <c r="AQ923" s="42"/>
      <c r="AR923" s="43"/>
      <c r="AS923" s="42"/>
      <c r="AT923" s="42"/>
    </row>
    <row r="924" spans="1:46" ht="12.9" customHeight="1" x14ac:dyDescent="0.25">
      <c r="A924" s="28" t="s">
        <v>1879</v>
      </c>
      <c r="B924" s="29" t="s">
        <v>1880</v>
      </c>
      <c r="C924" s="30" t="s">
        <v>215</v>
      </c>
      <c r="D924" s="40">
        <v>72540</v>
      </c>
      <c r="E924" s="26">
        <v>4968</v>
      </c>
      <c r="F924" s="26">
        <f t="shared" si="28"/>
        <v>77508</v>
      </c>
      <c r="G924" s="40">
        <v>72360</v>
      </c>
      <c r="H924" s="26">
        <v>1296</v>
      </c>
      <c r="I924" s="27">
        <f t="shared" si="29"/>
        <v>73656</v>
      </c>
      <c r="J924" s="40">
        <v>72468</v>
      </c>
      <c r="K924" s="26">
        <v>1242</v>
      </c>
      <c r="L924" s="27">
        <v>73710</v>
      </c>
      <c r="M924" s="26">
        <v>109080</v>
      </c>
      <c r="N924" s="26">
        <v>1782</v>
      </c>
      <c r="O924" s="27">
        <v>110862</v>
      </c>
      <c r="P924" s="26">
        <v>73080</v>
      </c>
      <c r="Q924" s="26">
        <v>540</v>
      </c>
      <c r="R924" s="27">
        <v>73620</v>
      </c>
      <c r="S924" s="26">
        <v>73188</v>
      </c>
      <c r="T924" s="26">
        <v>0</v>
      </c>
      <c r="U924" s="27">
        <v>73188</v>
      </c>
      <c r="V924" s="26">
        <v>74466</v>
      </c>
      <c r="W924" s="26">
        <v>0</v>
      </c>
      <c r="X924" s="31">
        <v>74466</v>
      </c>
      <c r="Y924" s="16">
        <v>74628</v>
      </c>
      <c r="Z924" s="16">
        <v>0</v>
      </c>
      <c r="AA924" s="31">
        <v>74628</v>
      </c>
      <c r="AB924" s="32">
        <v>73656</v>
      </c>
      <c r="AC924" s="16">
        <v>0</v>
      </c>
      <c r="AD924" s="31">
        <v>73656</v>
      </c>
      <c r="AE924" s="16">
        <v>73926</v>
      </c>
      <c r="AF924" s="16">
        <v>1080</v>
      </c>
      <c r="AG924" s="31">
        <v>75006</v>
      </c>
      <c r="AH924" s="16">
        <v>73224</v>
      </c>
      <c r="AI924" s="16">
        <v>2484</v>
      </c>
      <c r="AJ924" s="31">
        <v>75708</v>
      </c>
      <c r="AK924" s="16">
        <v>73224</v>
      </c>
      <c r="AL924" s="16">
        <v>2484</v>
      </c>
      <c r="AM924" s="31">
        <v>75708</v>
      </c>
      <c r="AN924" s="16">
        <v>73224</v>
      </c>
      <c r="AO924" s="16">
        <v>2484</v>
      </c>
      <c r="AP924" s="31">
        <v>75708</v>
      </c>
      <c r="AQ924" s="42"/>
      <c r="AR924" s="43"/>
      <c r="AS924" s="42"/>
      <c r="AT924" s="42"/>
    </row>
    <row r="925" spans="1:46" ht="12.9" customHeight="1" x14ac:dyDescent="0.25">
      <c r="A925" s="28" t="s">
        <v>1881</v>
      </c>
      <c r="B925" s="29" t="s">
        <v>1882</v>
      </c>
      <c r="C925" s="30" t="s">
        <v>34</v>
      </c>
      <c r="D925" s="40">
        <v>37489</v>
      </c>
      <c r="E925" s="26">
        <v>31012</v>
      </c>
      <c r="F925" s="26">
        <f t="shared" si="28"/>
        <v>68501</v>
      </c>
      <c r="G925" s="40">
        <v>37475</v>
      </c>
      <c r="H925" s="26">
        <v>29335</v>
      </c>
      <c r="I925" s="27">
        <f t="shared" si="29"/>
        <v>66810</v>
      </c>
      <c r="J925" s="40">
        <v>40623</v>
      </c>
      <c r="K925" s="26">
        <v>24267</v>
      </c>
      <c r="L925" s="27">
        <v>64890</v>
      </c>
      <c r="M925" s="26">
        <v>40826</v>
      </c>
      <c r="N925" s="26">
        <v>25107</v>
      </c>
      <c r="O925" s="27">
        <v>65933</v>
      </c>
      <c r="P925" s="26">
        <v>41855</v>
      </c>
      <c r="Q925" s="26">
        <v>26244</v>
      </c>
      <c r="R925" s="27">
        <v>68099</v>
      </c>
      <c r="S925" s="26">
        <v>38253</v>
      </c>
      <c r="T925" s="26">
        <v>25846</v>
      </c>
      <c r="U925" s="27">
        <v>64099</v>
      </c>
      <c r="V925" s="26">
        <v>39350</v>
      </c>
      <c r="W925" s="26">
        <v>23465</v>
      </c>
      <c r="X925" s="31">
        <v>62815</v>
      </c>
      <c r="Y925" s="16">
        <v>38449</v>
      </c>
      <c r="Z925" s="16">
        <v>32730</v>
      </c>
      <c r="AA925" s="31">
        <v>71179</v>
      </c>
      <c r="AB925" s="32">
        <v>38466</v>
      </c>
      <c r="AC925" s="16">
        <v>16780</v>
      </c>
      <c r="AD925" s="31">
        <v>55246</v>
      </c>
      <c r="AE925" s="16">
        <v>38284</v>
      </c>
      <c r="AF925" s="16">
        <v>42464</v>
      </c>
      <c r="AG925" s="31">
        <v>80748</v>
      </c>
      <c r="AH925" s="16">
        <v>38336</v>
      </c>
      <c r="AI925" s="16">
        <v>29778</v>
      </c>
      <c r="AJ925" s="31">
        <v>68114</v>
      </c>
      <c r="AK925" s="16">
        <v>38851</v>
      </c>
      <c r="AL925" s="16">
        <v>21384</v>
      </c>
      <c r="AM925" s="31">
        <v>60235</v>
      </c>
      <c r="AN925" s="16">
        <v>44479</v>
      </c>
      <c r="AO925" s="16">
        <v>30910</v>
      </c>
      <c r="AP925" s="31">
        <v>75389</v>
      </c>
      <c r="AQ925" s="42"/>
      <c r="AR925" s="43"/>
      <c r="AS925" s="42"/>
      <c r="AT925" s="42"/>
    </row>
    <row r="926" spans="1:46" ht="12.9" customHeight="1" x14ac:dyDescent="0.25">
      <c r="A926" s="28" t="s">
        <v>1883</v>
      </c>
      <c r="B926" s="29" t="s">
        <v>1884</v>
      </c>
      <c r="C926" s="30" t="s">
        <v>14</v>
      </c>
      <c r="D926" s="40">
        <v>5802</v>
      </c>
      <c r="E926" s="26">
        <v>35527</v>
      </c>
      <c r="F926" s="26">
        <f t="shared" si="28"/>
        <v>41329</v>
      </c>
      <c r="G926" s="40">
        <v>6840</v>
      </c>
      <c r="H926" s="26">
        <v>34996</v>
      </c>
      <c r="I926" s="27">
        <f t="shared" si="29"/>
        <v>41836</v>
      </c>
      <c r="J926" s="40">
        <v>7677</v>
      </c>
      <c r="K926" s="26">
        <v>33280</v>
      </c>
      <c r="L926" s="27">
        <v>40957</v>
      </c>
      <c r="M926" s="26">
        <v>9406</v>
      </c>
      <c r="N926" s="26">
        <v>37862</v>
      </c>
      <c r="O926" s="27">
        <v>47268</v>
      </c>
      <c r="P926" s="26">
        <v>7062</v>
      </c>
      <c r="Q926" s="26">
        <v>34749</v>
      </c>
      <c r="R926" s="27">
        <v>41811</v>
      </c>
      <c r="S926" s="26">
        <v>7238</v>
      </c>
      <c r="T926" s="26">
        <v>36858</v>
      </c>
      <c r="U926" s="27">
        <v>44096</v>
      </c>
      <c r="V926" s="26">
        <v>8000</v>
      </c>
      <c r="W926" s="26">
        <v>35660</v>
      </c>
      <c r="X926" s="31">
        <v>43660</v>
      </c>
      <c r="Y926" s="16">
        <v>8221</v>
      </c>
      <c r="Z926" s="16">
        <v>36927</v>
      </c>
      <c r="AA926" s="31">
        <v>45148</v>
      </c>
      <c r="AB926" s="32">
        <v>8520</v>
      </c>
      <c r="AC926" s="16">
        <v>41874</v>
      </c>
      <c r="AD926" s="31">
        <v>50394</v>
      </c>
      <c r="AE926" s="16">
        <v>8056</v>
      </c>
      <c r="AF926" s="16">
        <v>38476</v>
      </c>
      <c r="AG926" s="31">
        <v>46532</v>
      </c>
      <c r="AH926" s="16">
        <v>8529</v>
      </c>
      <c r="AI926" s="16">
        <v>44801</v>
      </c>
      <c r="AJ926" s="31">
        <v>53330</v>
      </c>
      <c r="AK926" s="16">
        <v>6818</v>
      </c>
      <c r="AL926" s="16">
        <v>58</v>
      </c>
      <c r="AM926" s="31">
        <v>6876</v>
      </c>
      <c r="AN926" s="16">
        <v>8873</v>
      </c>
      <c r="AO926" s="16">
        <v>41783</v>
      </c>
      <c r="AP926" s="31">
        <v>50656</v>
      </c>
      <c r="AQ926" s="42"/>
      <c r="AR926" s="43"/>
      <c r="AS926" s="42"/>
      <c r="AT926" s="42"/>
    </row>
    <row r="927" spans="1:46" ht="12.9" customHeight="1" x14ac:dyDescent="0.25">
      <c r="A927" s="28" t="s">
        <v>1885</v>
      </c>
      <c r="B927" s="29" t="s">
        <v>1886</v>
      </c>
      <c r="C927" s="30" t="s">
        <v>14</v>
      </c>
      <c r="D927" s="40">
        <v>19831</v>
      </c>
      <c r="E927" s="26">
        <v>62123</v>
      </c>
      <c r="F927" s="26">
        <f t="shared" si="28"/>
        <v>81954</v>
      </c>
      <c r="G927" s="40">
        <v>17479</v>
      </c>
      <c r="H927" s="26">
        <v>65922</v>
      </c>
      <c r="I927" s="27">
        <f t="shared" si="29"/>
        <v>83401</v>
      </c>
      <c r="J927" s="40">
        <v>19493</v>
      </c>
      <c r="K927" s="26">
        <v>67730</v>
      </c>
      <c r="L927" s="27">
        <v>87223</v>
      </c>
      <c r="M927" s="26">
        <v>19547</v>
      </c>
      <c r="N927" s="26">
        <v>57273</v>
      </c>
      <c r="O927" s="27">
        <v>76820</v>
      </c>
      <c r="P927" s="26">
        <v>18558</v>
      </c>
      <c r="Q927" s="26">
        <v>60891.5</v>
      </c>
      <c r="R927" s="27">
        <v>79449.5</v>
      </c>
      <c r="S927" s="26">
        <v>11554</v>
      </c>
      <c r="T927" s="26">
        <v>32131</v>
      </c>
      <c r="U927" s="27">
        <v>43685</v>
      </c>
      <c r="V927" s="26">
        <v>17104</v>
      </c>
      <c r="W927" s="26">
        <v>6353</v>
      </c>
      <c r="X927" s="31">
        <v>23457</v>
      </c>
      <c r="Y927" s="16">
        <v>21528</v>
      </c>
      <c r="Z927" s="16">
        <v>4469</v>
      </c>
      <c r="AA927" s="31">
        <v>25997</v>
      </c>
      <c r="AB927" s="32">
        <v>19383</v>
      </c>
      <c r="AC927" s="16">
        <v>4393</v>
      </c>
      <c r="AD927" s="31">
        <v>23776</v>
      </c>
      <c r="AE927" s="16">
        <v>22518</v>
      </c>
      <c r="AF927" s="16">
        <v>4503</v>
      </c>
      <c r="AG927" s="31">
        <v>27021</v>
      </c>
      <c r="AH927" s="16">
        <v>20877</v>
      </c>
      <c r="AI927" s="16">
        <v>5901</v>
      </c>
      <c r="AJ927" s="31">
        <v>26778</v>
      </c>
      <c r="AK927" s="16">
        <v>12431</v>
      </c>
      <c r="AL927" s="16">
        <v>17097</v>
      </c>
      <c r="AM927" s="31">
        <v>29528</v>
      </c>
      <c r="AN927" s="16">
        <v>23251</v>
      </c>
      <c r="AO927" s="16">
        <v>4295</v>
      </c>
      <c r="AP927" s="31">
        <v>27546</v>
      </c>
      <c r="AQ927" s="42"/>
      <c r="AR927" s="43"/>
      <c r="AS927" s="42"/>
      <c r="AT927" s="42"/>
    </row>
    <row r="928" spans="1:46" ht="12.9" customHeight="1" x14ac:dyDescent="0.25">
      <c r="A928" s="28" t="s">
        <v>1887</v>
      </c>
      <c r="B928" s="29" t="s">
        <v>1888</v>
      </c>
      <c r="C928" s="30" t="s">
        <v>218</v>
      </c>
      <c r="D928" s="40">
        <v>2934</v>
      </c>
      <c r="E928" s="26">
        <v>4986</v>
      </c>
      <c r="F928" s="26">
        <f t="shared" si="28"/>
        <v>7920</v>
      </c>
      <c r="G928" s="40">
        <v>3877</v>
      </c>
      <c r="H928" s="26">
        <v>7358</v>
      </c>
      <c r="I928" s="27">
        <f t="shared" si="29"/>
        <v>11235</v>
      </c>
      <c r="J928" s="40">
        <v>1861</v>
      </c>
      <c r="K928" s="26">
        <v>3158</v>
      </c>
      <c r="L928" s="27">
        <v>5019</v>
      </c>
      <c r="M928" s="26">
        <v>3454</v>
      </c>
      <c r="N928" s="26">
        <v>7943</v>
      </c>
      <c r="O928" s="27">
        <v>11397</v>
      </c>
      <c r="P928" s="26">
        <v>5354</v>
      </c>
      <c r="Q928" s="26">
        <v>11479</v>
      </c>
      <c r="R928" s="27">
        <v>16833</v>
      </c>
      <c r="S928" s="26">
        <v>3430</v>
      </c>
      <c r="T928" s="26">
        <v>8432</v>
      </c>
      <c r="U928" s="27">
        <v>11862</v>
      </c>
      <c r="V928" s="26">
        <v>3355</v>
      </c>
      <c r="W928" s="26">
        <v>6499</v>
      </c>
      <c r="X928" s="31">
        <v>9854</v>
      </c>
      <c r="Y928" s="16">
        <v>3818</v>
      </c>
      <c r="Z928" s="16">
        <v>4467</v>
      </c>
      <c r="AA928" s="31">
        <v>8285</v>
      </c>
      <c r="AB928" s="32">
        <v>3442</v>
      </c>
      <c r="AC928" s="16">
        <v>7456</v>
      </c>
      <c r="AD928" s="31">
        <v>10898</v>
      </c>
      <c r="AE928" s="16">
        <v>2936</v>
      </c>
      <c r="AF928" s="16">
        <v>7711</v>
      </c>
      <c r="AG928" s="31">
        <v>10647</v>
      </c>
      <c r="AH928" s="16">
        <v>3494</v>
      </c>
      <c r="AI928" s="16">
        <v>7360</v>
      </c>
      <c r="AJ928" s="31">
        <v>10854</v>
      </c>
      <c r="AK928" s="16">
        <v>3838</v>
      </c>
      <c r="AL928" s="16">
        <v>5945</v>
      </c>
      <c r="AM928" s="31">
        <v>9783</v>
      </c>
      <c r="AN928" s="16">
        <v>3838</v>
      </c>
      <c r="AO928" s="16">
        <v>5956</v>
      </c>
      <c r="AP928" s="31">
        <v>9794</v>
      </c>
      <c r="AQ928" s="42"/>
      <c r="AR928" s="43"/>
      <c r="AS928" s="42"/>
      <c r="AT928" s="42"/>
    </row>
    <row r="929" spans="1:46" ht="12.9" customHeight="1" x14ac:dyDescent="0.25">
      <c r="A929" s="28" t="s">
        <v>1889</v>
      </c>
      <c r="B929" s="29" t="s">
        <v>1890</v>
      </c>
      <c r="C929" s="30" t="s">
        <v>113</v>
      </c>
      <c r="D929" s="40">
        <v>10584</v>
      </c>
      <c r="E929" s="26">
        <v>18583</v>
      </c>
      <c r="F929" s="26">
        <f t="shared" si="28"/>
        <v>29167</v>
      </c>
      <c r="G929" s="40">
        <v>10374</v>
      </c>
      <c r="H929" s="26">
        <v>24029</v>
      </c>
      <c r="I929" s="27">
        <f t="shared" si="29"/>
        <v>34403</v>
      </c>
      <c r="J929" s="40">
        <v>13927</v>
      </c>
      <c r="K929" s="26">
        <v>20248</v>
      </c>
      <c r="L929" s="27">
        <v>34175</v>
      </c>
      <c r="M929" s="26">
        <v>14693</v>
      </c>
      <c r="N929" s="26">
        <v>14986</v>
      </c>
      <c r="O929" s="27">
        <v>29679</v>
      </c>
      <c r="P929" s="26">
        <v>12547</v>
      </c>
      <c r="Q929" s="26">
        <v>11860</v>
      </c>
      <c r="R929" s="27">
        <v>24407</v>
      </c>
      <c r="S929" s="26">
        <v>13410</v>
      </c>
      <c r="T929" s="26">
        <v>18414</v>
      </c>
      <c r="U929" s="27">
        <v>31824</v>
      </c>
      <c r="V929" s="26">
        <v>12762</v>
      </c>
      <c r="W929" s="26">
        <v>23417</v>
      </c>
      <c r="X929" s="31">
        <v>36179</v>
      </c>
      <c r="Y929" s="16">
        <v>16273</v>
      </c>
      <c r="Z929" s="16">
        <v>18736</v>
      </c>
      <c r="AA929" s="31">
        <v>35009</v>
      </c>
      <c r="AB929" s="32">
        <v>13074</v>
      </c>
      <c r="AC929" s="16">
        <v>17905</v>
      </c>
      <c r="AD929" s="31">
        <v>30979</v>
      </c>
      <c r="AE929" s="16">
        <v>12914</v>
      </c>
      <c r="AF929" s="16">
        <v>15572</v>
      </c>
      <c r="AG929" s="31">
        <v>28486</v>
      </c>
      <c r="AH929" s="16">
        <v>12685</v>
      </c>
      <c r="AI929" s="16">
        <v>12810</v>
      </c>
      <c r="AJ929" s="31">
        <v>25495</v>
      </c>
      <c r="AK929" s="16">
        <v>12977</v>
      </c>
      <c r="AL929" s="16">
        <v>13257</v>
      </c>
      <c r="AM929" s="31">
        <v>26234</v>
      </c>
      <c r="AN929" s="16">
        <v>17107</v>
      </c>
      <c r="AO929" s="16">
        <v>14659</v>
      </c>
      <c r="AP929" s="31">
        <v>31766</v>
      </c>
      <c r="AQ929" s="42"/>
      <c r="AR929" s="43"/>
      <c r="AS929" s="42"/>
      <c r="AT929" s="42"/>
    </row>
    <row r="930" spans="1:46" ht="12.9" customHeight="1" x14ac:dyDescent="0.25">
      <c r="A930" s="28" t="s">
        <v>1891</v>
      </c>
      <c r="B930" s="29" t="s">
        <v>1892</v>
      </c>
      <c r="C930" s="30" t="s">
        <v>34</v>
      </c>
      <c r="D930" s="40">
        <v>41566</v>
      </c>
      <c r="E930" s="26">
        <v>2765</v>
      </c>
      <c r="F930" s="26">
        <f t="shared" si="28"/>
        <v>44331</v>
      </c>
      <c r="G930" s="40">
        <v>40425</v>
      </c>
      <c r="H930" s="26">
        <v>13792</v>
      </c>
      <c r="I930" s="27">
        <f t="shared" si="29"/>
        <v>54217</v>
      </c>
      <c r="J930" s="40">
        <v>41492</v>
      </c>
      <c r="K930" s="26">
        <v>13034</v>
      </c>
      <c r="L930" s="27">
        <v>54526</v>
      </c>
      <c r="M930" s="26">
        <v>44933.142857142855</v>
      </c>
      <c r="N930" s="26">
        <v>8045.2857142857147</v>
      </c>
      <c r="O930" s="27">
        <v>52978.428571428572</v>
      </c>
      <c r="P930" s="26">
        <v>43132</v>
      </c>
      <c r="Q930" s="26">
        <v>15120</v>
      </c>
      <c r="R930" s="27">
        <v>58252</v>
      </c>
      <c r="S930" s="26">
        <v>41589</v>
      </c>
      <c r="T930" s="26">
        <v>18652</v>
      </c>
      <c r="U930" s="27">
        <v>60241</v>
      </c>
      <c r="V930" s="26">
        <v>38957</v>
      </c>
      <c r="W930" s="26">
        <v>861</v>
      </c>
      <c r="X930" s="31">
        <v>39818</v>
      </c>
      <c r="Y930" s="16">
        <v>40555</v>
      </c>
      <c r="Z930" s="16">
        <v>949</v>
      </c>
      <c r="AA930" s="31">
        <v>41504</v>
      </c>
      <c r="AB930" s="32">
        <v>40555</v>
      </c>
      <c r="AC930" s="16">
        <v>1105</v>
      </c>
      <c r="AD930" s="31">
        <v>41660</v>
      </c>
      <c r="AE930" s="16">
        <v>38498</v>
      </c>
      <c r="AF930" s="16">
        <v>1638</v>
      </c>
      <c r="AG930" s="31">
        <v>40136</v>
      </c>
      <c r="AH930" s="16">
        <v>38703</v>
      </c>
      <c r="AI930" s="16">
        <v>16245</v>
      </c>
      <c r="AJ930" s="31">
        <v>54948</v>
      </c>
      <c r="AK930" s="16">
        <v>38572</v>
      </c>
      <c r="AL930" s="16">
        <v>12693</v>
      </c>
      <c r="AM930" s="31">
        <v>51265</v>
      </c>
      <c r="AN930" s="16">
        <v>38572</v>
      </c>
      <c r="AO930" s="16">
        <v>12940</v>
      </c>
      <c r="AP930" s="31">
        <v>51512</v>
      </c>
      <c r="AQ930" s="42"/>
      <c r="AR930" s="43"/>
      <c r="AS930" s="42"/>
      <c r="AT930" s="42"/>
    </row>
    <row r="931" spans="1:46" ht="12.9" customHeight="1" x14ac:dyDescent="0.25">
      <c r="A931" s="28" t="s">
        <v>1893</v>
      </c>
      <c r="B931" s="29" t="s">
        <v>1894</v>
      </c>
      <c r="C931" s="30" t="s">
        <v>153</v>
      </c>
      <c r="D931" s="40">
        <v>426411</v>
      </c>
      <c r="E931" s="26">
        <v>97717</v>
      </c>
      <c r="F931" s="26">
        <f t="shared" si="28"/>
        <v>524128</v>
      </c>
      <c r="G931" s="40">
        <v>443299</v>
      </c>
      <c r="H931" s="26">
        <v>109898</v>
      </c>
      <c r="I931" s="27">
        <f t="shared" si="29"/>
        <v>553197</v>
      </c>
      <c r="J931" s="40">
        <v>436828</v>
      </c>
      <c r="K931" s="26">
        <v>99675</v>
      </c>
      <c r="L931" s="27">
        <v>536503</v>
      </c>
      <c r="M931" s="26">
        <v>455426</v>
      </c>
      <c r="N931" s="26">
        <v>97153</v>
      </c>
      <c r="O931" s="27">
        <v>552579</v>
      </c>
      <c r="P931" s="26">
        <v>475328</v>
      </c>
      <c r="Q931" s="26">
        <v>89677</v>
      </c>
      <c r="R931" s="27">
        <v>565005</v>
      </c>
      <c r="S931" s="26">
        <v>456879</v>
      </c>
      <c r="T931" s="26">
        <v>106862</v>
      </c>
      <c r="U931" s="27">
        <v>563741</v>
      </c>
      <c r="V931" s="26">
        <v>407769</v>
      </c>
      <c r="W931" s="26">
        <v>109461</v>
      </c>
      <c r="X931" s="31">
        <v>517230</v>
      </c>
      <c r="Y931" s="16">
        <v>416359</v>
      </c>
      <c r="Z931" s="16">
        <v>116962</v>
      </c>
      <c r="AA931" s="31">
        <v>533321</v>
      </c>
      <c r="AB931" s="32">
        <v>408657</v>
      </c>
      <c r="AC931" s="16">
        <v>116046</v>
      </c>
      <c r="AD931" s="31">
        <v>524703</v>
      </c>
      <c r="AE931" s="16">
        <v>395831</v>
      </c>
      <c r="AF931" s="16">
        <v>110507</v>
      </c>
      <c r="AG931" s="31">
        <v>506338</v>
      </c>
      <c r="AH931" s="16">
        <v>385744</v>
      </c>
      <c r="AI931" s="16">
        <v>116354</v>
      </c>
      <c r="AJ931" s="31">
        <v>502098</v>
      </c>
      <c r="AK931" s="16">
        <v>392212</v>
      </c>
      <c r="AL931" s="16">
        <v>134008</v>
      </c>
      <c r="AM931" s="31">
        <v>526220</v>
      </c>
      <c r="AN931" s="16">
        <v>400092</v>
      </c>
      <c r="AO931" s="16">
        <v>124969</v>
      </c>
      <c r="AP931" s="31">
        <v>525061</v>
      </c>
      <c r="AQ931" s="42"/>
      <c r="AR931" s="43"/>
      <c r="AS931" s="42"/>
      <c r="AT931" s="42"/>
    </row>
    <row r="932" spans="1:46" ht="12.9" customHeight="1" x14ac:dyDescent="0.25">
      <c r="A932" s="28" t="s">
        <v>1895</v>
      </c>
      <c r="B932" s="29" t="s">
        <v>1896</v>
      </c>
      <c r="C932" s="30" t="s">
        <v>26</v>
      </c>
      <c r="D932" s="40">
        <v>239288</v>
      </c>
      <c r="E932" s="26">
        <v>52457</v>
      </c>
      <c r="F932" s="26">
        <f t="shared" si="28"/>
        <v>291745</v>
      </c>
      <c r="G932" s="40">
        <v>247853</v>
      </c>
      <c r="H932" s="26">
        <v>41932</v>
      </c>
      <c r="I932" s="27">
        <f t="shared" si="29"/>
        <v>289785</v>
      </c>
      <c r="J932" s="40">
        <v>268342</v>
      </c>
      <c r="K932" s="26">
        <v>41346</v>
      </c>
      <c r="L932" s="27">
        <v>309688</v>
      </c>
      <c r="M932" s="26">
        <v>281625</v>
      </c>
      <c r="N932" s="26">
        <v>35759</v>
      </c>
      <c r="O932" s="27">
        <v>317384</v>
      </c>
      <c r="P932" s="26">
        <v>285104</v>
      </c>
      <c r="Q932" s="26">
        <v>35321</v>
      </c>
      <c r="R932" s="27">
        <v>320425</v>
      </c>
      <c r="S932" s="26">
        <v>273891</v>
      </c>
      <c r="T932" s="26">
        <v>44225</v>
      </c>
      <c r="U932" s="27">
        <v>318116</v>
      </c>
      <c r="V932" s="26">
        <v>263662</v>
      </c>
      <c r="W932" s="26">
        <v>46147</v>
      </c>
      <c r="X932" s="31">
        <v>309809</v>
      </c>
      <c r="Y932" s="16">
        <v>274452</v>
      </c>
      <c r="Z932" s="16">
        <v>45365</v>
      </c>
      <c r="AA932" s="31">
        <v>319817</v>
      </c>
      <c r="AB932" s="32">
        <v>259563</v>
      </c>
      <c r="AC932" s="16">
        <v>51336</v>
      </c>
      <c r="AD932" s="31">
        <v>310899</v>
      </c>
      <c r="AE932" s="16">
        <v>248913</v>
      </c>
      <c r="AF932" s="16">
        <v>48803</v>
      </c>
      <c r="AG932" s="31">
        <v>297716</v>
      </c>
      <c r="AH932" s="16">
        <v>237587</v>
      </c>
      <c r="AI932" s="16">
        <v>47583</v>
      </c>
      <c r="AJ932" s="31">
        <v>285170</v>
      </c>
      <c r="AK932" s="16">
        <v>241434</v>
      </c>
      <c r="AL932" s="16">
        <v>46506</v>
      </c>
      <c r="AM932" s="31">
        <v>287940</v>
      </c>
      <c r="AN932" s="16">
        <v>264062</v>
      </c>
      <c r="AO932" s="16">
        <v>56329</v>
      </c>
      <c r="AP932" s="31">
        <v>320391</v>
      </c>
      <c r="AQ932" s="42"/>
      <c r="AR932" s="43"/>
      <c r="AS932" s="42"/>
      <c r="AT932" s="42"/>
    </row>
    <row r="933" spans="1:46" ht="12.9" customHeight="1" x14ac:dyDescent="0.25">
      <c r="A933" s="28" t="s">
        <v>1897</v>
      </c>
      <c r="B933" s="29" t="s">
        <v>1898</v>
      </c>
      <c r="C933" s="30" t="s">
        <v>56</v>
      </c>
      <c r="D933" s="40">
        <v>20390</v>
      </c>
      <c r="E933" s="26">
        <v>6042</v>
      </c>
      <c r="F933" s="26">
        <f t="shared" si="28"/>
        <v>26432</v>
      </c>
      <c r="G933" s="40">
        <v>18823</v>
      </c>
      <c r="H933" s="26">
        <v>9004</v>
      </c>
      <c r="I933" s="27">
        <f t="shared" si="29"/>
        <v>27827</v>
      </c>
      <c r="J933" s="40">
        <v>22060</v>
      </c>
      <c r="K933" s="26">
        <v>7486</v>
      </c>
      <c r="L933" s="27">
        <v>29546</v>
      </c>
      <c r="M933" s="26">
        <v>22211</v>
      </c>
      <c r="N933" s="26">
        <v>6800</v>
      </c>
      <c r="O933" s="27">
        <v>29011</v>
      </c>
      <c r="P933" s="26">
        <v>21686</v>
      </c>
      <c r="Q933" s="26">
        <v>5831</v>
      </c>
      <c r="R933" s="27">
        <v>27517</v>
      </c>
      <c r="S933" s="26">
        <v>19432</v>
      </c>
      <c r="T933" s="26">
        <v>7366</v>
      </c>
      <c r="U933" s="27">
        <v>26798</v>
      </c>
      <c r="V933" s="26">
        <v>19231</v>
      </c>
      <c r="W933" s="26">
        <v>10472</v>
      </c>
      <c r="X933" s="31">
        <v>29703</v>
      </c>
      <c r="Y933" s="16">
        <v>20069</v>
      </c>
      <c r="Z933" s="16">
        <v>13928</v>
      </c>
      <c r="AA933" s="31">
        <v>33997</v>
      </c>
      <c r="AB933" s="32">
        <v>19723</v>
      </c>
      <c r="AC933" s="16">
        <v>13085</v>
      </c>
      <c r="AD933" s="31">
        <v>32808</v>
      </c>
      <c r="AE933" s="16">
        <v>20312</v>
      </c>
      <c r="AF933" s="16">
        <v>8444</v>
      </c>
      <c r="AG933" s="31">
        <v>28756</v>
      </c>
      <c r="AH933" s="16">
        <v>19469</v>
      </c>
      <c r="AI933" s="16">
        <v>5687</v>
      </c>
      <c r="AJ933" s="31">
        <v>25156</v>
      </c>
      <c r="AK933" s="16">
        <v>21206</v>
      </c>
      <c r="AL933" s="16">
        <v>4204</v>
      </c>
      <c r="AM933" s="31">
        <v>25410</v>
      </c>
      <c r="AN933" s="16">
        <v>21206</v>
      </c>
      <c r="AO933" s="16">
        <v>3566</v>
      </c>
      <c r="AP933" s="31">
        <v>24772</v>
      </c>
      <c r="AQ933" s="42"/>
      <c r="AR933" s="43"/>
      <c r="AS933" s="42"/>
      <c r="AT933" s="42"/>
    </row>
    <row r="934" spans="1:46" ht="12.9" customHeight="1" x14ac:dyDescent="0.25">
      <c r="A934" s="28" t="s">
        <v>1899</v>
      </c>
      <c r="B934" s="29" t="s">
        <v>1900</v>
      </c>
      <c r="C934" s="30" t="s">
        <v>409</v>
      </c>
      <c r="D934" s="40">
        <v>2620331</v>
      </c>
      <c r="E934" s="26">
        <v>945735</v>
      </c>
      <c r="F934" s="26">
        <f t="shared" si="28"/>
        <v>3566066</v>
      </c>
      <c r="G934" s="40">
        <v>2689160</v>
      </c>
      <c r="H934" s="26">
        <v>980592</v>
      </c>
      <c r="I934" s="27">
        <f t="shared" si="29"/>
        <v>3669752</v>
      </c>
      <c r="J934" s="40">
        <v>2834035</v>
      </c>
      <c r="K934" s="26">
        <v>1079107</v>
      </c>
      <c r="L934" s="27">
        <v>3913142</v>
      </c>
      <c r="M934" s="26">
        <v>2823901</v>
      </c>
      <c r="N934" s="26">
        <v>997028</v>
      </c>
      <c r="O934" s="27">
        <v>3820929</v>
      </c>
      <c r="P934" s="26">
        <v>2839913</v>
      </c>
      <c r="Q934" s="26">
        <v>960723</v>
      </c>
      <c r="R934" s="27">
        <v>3800636</v>
      </c>
      <c r="S934" s="26">
        <v>2646959</v>
      </c>
      <c r="T934" s="26">
        <v>1167451</v>
      </c>
      <c r="U934" s="27">
        <v>3814410</v>
      </c>
      <c r="V934" s="26">
        <v>2646616</v>
      </c>
      <c r="W934" s="26">
        <v>1161799</v>
      </c>
      <c r="X934" s="31">
        <v>3808415</v>
      </c>
      <c r="Y934" s="16">
        <v>2656968</v>
      </c>
      <c r="Z934" s="16">
        <v>1232314</v>
      </c>
      <c r="AA934" s="31">
        <v>3889282</v>
      </c>
      <c r="AB934" s="32">
        <v>2654648</v>
      </c>
      <c r="AC934" s="16">
        <v>1307767</v>
      </c>
      <c r="AD934" s="31">
        <v>3962415</v>
      </c>
      <c r="AE934" s="16">
        <v>2597701</v>
      </c>
      <c r="AF934" s="16">
        <v>1209120</v>
      </c>
      <c r="AG934" s="31">
        <v>3806821</v>
      </c>
      <c r="AH934" s="16">
        <v>2938842</v>
      </c>
      <c r="AI934" s="16">
        <v>1216236</v>
      </c>
      <c r="AJ934" s="31">
        <v>4155078</v>
      </c>
      <c r="AK934" s="16">
        <v>2673252</v>
      </c>
      <c r="AL934" s="16">
        <v>1036923</v>
      </c>
      <c r="AM934" s="31">
        <v>3710175</v>
      </c>
      <c r="AN934" s="16">
        <v>2878201</v>
      </c>
      <c r="AO934" s="16">
        <v>964167</v>
      </c>
      <c r="AP934" s="31">
        <v>3842368</v>
      </c>
      <c r="AQ934" s="42"/>
      <c r="AR934" s="43"/>
      <c r="AS934" s="42"/>
      <c r="AT934" s="42"/>
    </row>
    <row r="935" spans="1:46" ht="12.9" customHeight="1" x14ac:dyDescent="0.25">
      <c r="A935" s="28" t="s">
        <v>1901</v>
      </c>
      <c r="B935" s="29" t="s">
        <v>1902</v>
      </c>
      <c r="C935" s="30" t="s">
        <v>56</v>
      </c>
      <c r="D935" s="40">
        <v>15447</v>
      </c>
      <c r="E935" s="26">
        <v>1044</v>
      </c>
      <c r="F935" s="26">
        <f t="shared" si="28"/>
        <v>16491</v>
      </c>
      <c r="G935" s="40">
        <v>15853</v>
      </c>
      <c r="H935" s="26">
        <v>1128</v>
      </c>
      <c r="I935" s="27">
        <f t="shared" si="29"/>
        <v>16981</v>
      </c>
      <c r="J935" s="40">
        <v>17550</v>
      </c>
      <c r="K935" s="26">
        <v>1094</v>
      </c>
      <c r="L935" s="27">
        <v>18644</v>
      </c>
      <c r="M935" s="26">
        <v>17912</v>
      </c>
      <c r="N935" s="26">
        <v>1044</v>
      </c>
      <c r="O935" s="27">
        <v>18956</v>
      </c>
      <c r="P935" s="26">
        <v>18220</v>
      </c>
      <c r="Q935" s="26">
        <v>960</v>
      </c>
      <c r="R935" s="27">
        <v>19180</v>
      </c>
      <c r="S935" s="26">
        <v>18056</v>
      </c>
      <c r="T935" s="26">
        <v>802</v>
      </c>
      <c r="U935" s="27">
        <v>18858</v>
      </c>
      <c r="V935" s="26">
        <v>16976</v>
      </c>
      <c r="W935" s="26">
        <v>1212</v>
      </c>
      <c r="X935" s="31">
        <v>18188</v>
      </c>
      <c r="Y935" s="16">
        <v>16679</v>
      </c>
      <c r="Z935" s="16">
        <v>999</v>
      </c>
      <c r="AA935" s="31">
        <v>17678</v>
      </c>
      <c r="AB935" s="32">
        <v>18411</v>
      </c>
      <c r="AC935" s="16">
        <v>1106</v>
      </c>
      <c r="AD935" s="31">
        <v>19517</v>
      </c>
      <c r="AE935" s="16">
        <v>17656</v>
      </c>
      <c r="AF935" s="16">
        <v>1026</v>
      </c>
      <c r="AG935" s="31">
        <v>18682</v>
      </c>
      <c r="AH935" s="16">
        <v>17980</v>
      </c>
      <c r="AI935" s="16">
        <v>1102</v>
      </c>
      <c r="AJ935" s="31">
        <v>19082</v>
      </c>
      <c r="AK935" s="16">
        <v>19612</v>
      </c>
      <c r="AL935" s="16">
        <v>1113</v>
      </c>
      <c r="AM935" s="31">
        <v>20725</v>
      </c>
      <c r="AN935" s="16">
        <v>19612</v>
      </c>
      <c r="AO935" s="16">
        <v>1113</v>
      </c>
      <c r="AP935" s="31">
        <v>20725</v>
      </c>
      <c r="AQ935" s="42"/>
      <c r="AR935" s="43"/>
      <c r="AS935" s="42"/>
      <c r="AT935" s="42"/>
    </row>
    <row r="936" spans="1:46" ht="12.9" customHeight="1" x14ac:dyDescent="0.25">
      <c r="A936" s="28" t="s">
        <v>1903</v>
      </c>
      <c r="B936" s="29" t="s">
        <v>1904</v>
      </c>
      <c r="C936" s="30" t="s">
        <v>29</v>
      </c>
      <c r="D936" s="40">
        <v>36648</v>
      </c>
      <c r="E936" s="26">
        <v>24043</v>
      </c>
      <c r="F936" s="26">
        <f t="shared" si="28"/>
        <v>60691</v>
      </c>
      <c r="G936" s="40">
        <f>67637-32254</f>
        <v>35383</v>
      </c>
      <c r="H936" s="26">
        <v>29454</v>
      </c>
      <c r="I936" s="27">
        <f t="shared" si="29"/>
        <v>64837</v>
      </c>
      <c r="J936" s="40">
        <v>51773</v>
      </c>
      <c r="K936" s="26">
        <v>36782</v>
      </c>
      <c r="L936" s="27">
        <v>88555</v>
      </c>
      <c r="M936" s="26">
        <f>70976</f>
        <v>70976</v>
      </c>
      <c r="N936" s="26">
        <v>24937</v>
      </c>
      <c r="O936" s="27">
        <f>+M936+N936</f>
        <v>95913</v>
      </c>
      <c r="P936" s="26">
        <v>53159</v>
      </c>
      <c r="Q936" s="26">
        <v>27298</v>
      </c>
      <c r="R936" s="27">
        <v>80457</v>
      </c>
      <c r="S936" s="26">
        <v>39867</v>
      </c>
      <c r="T936" s="26">
        <v>23896</v>
      </c>
      <c r="U936" s="27">
        <v>63763</v>
      </c>
      <c r="V936" s="26">
        <v>37469</v>
      </c>
      <c r="W936" s="26">
        <v>19669</v>
      </c>
      <c r="X936" s="31">
        <v>57138</v>
      </c>
      <c r="Y936" s="16">
        <v>41251</v>
      </c>
      <c r="Z936" s="16">
        <v>20460</v>
      </c>
      <c r="AA936" s="31">
        <v>61711</v>
      </c>
      <c r="AB936" s="32">
        <v>39239</v>
      </c>
      <c r="AC936" s="16">
        <v>19986</v>
      </c>
      <c r="AD936" s="31">
        <v>59225</v>
      </c>
      <c r="AE936" s="16">
        <v>37668</v>
      </c>
      <c r="AF936" s="16">
        <v>17250</v>
      </c>
      <c r="AG936" s="31">
        <v>54918</v>
      </c>
      <c r="AH936" s="16">
        <v>39592</v>
      </c>
      <c r="AI936" s="16">
        <v>17780</v>
      </c>
      <c r="AJ936" s="31">
        <v>57372</v>
      </c>
      <c r="AK936" s="16">
        <v>43111</v>
      </c>
      <c r="AL936" s="16">
        <v>16312</v>
      </c>
      <c r="AM936" s="31">
        <v>59423</v>
      </c>
      <c r="AN936" s="16">
        <v>43111</v>
      </c>
      <c r="AO936" s="16">
        <v>20152</v>
      </c>
      <c r="AP936" s="31">
        <v>63263</v>
      </c>
      <c r="AQ936" s="42"/>
      <c r="AR936" s="43"/>
      <c r="AS936" s="42"/>
      <c r="AT936" s="42"/>
    </row>
    <row r="937" spans="1:46" ht="12.9" customHeight="1" x14ac:dyDescent="0.25">
      <c r="A937" s="28" t="s">
        <v>1905</v>
      </c>
      <c r="B937" s="29" t="s">
        <v>1906</v>
      </c>
      <c r="C937" s="30" t="s">
        <v>23</v>
      </c>
      <c r="D937" s="40">
        <v>22534</v>
      </c>
      <c r="E937" s="26">
        <v>4286</v>
      </c>
      <c r="F937" s="26">
        <f t="shared" si="28"/>
        <v>26820</v>
      </c>
      <c r="G937" s="40">
        <v>26514</v>
      </c>
      <c r="H937" s="26">
        <v>5843</v>
      </c>
      <c r="I937" s="27">
        <f t="shared" si="29"/>
        <v>32357</v>
      </c>
      <c r="J937" s="40">
        <v>26794</v>
      </c>
      <c r="K937" s="26">
        <v>5161</v>
      </c>
      <c r="L937" s="27">
        <v>31955</v>
      </c>
      <c r="M937" s="26">
        <v>28051</v>
      </c>
      <c r="N937" s="26">
        <v>5468</v>
      </c>
      <c r="O937" s="27">
        <v>33519</v>
      </c>
      <c r="P937" s="26">
        <v>27600</v>
      </c>
      <c r="Q937" s="26">
        <v>3427</v>
      </c>
      <c r="R937" s="27">
        <v>31027</v>
      </c>
      <c r="S937" s="26">
        <v>27293</v>
      </c>
      <c r="T937" s="26">
        <v>4273</v>
      </c>
      <c r="U937" s="27">
        <v>31566</v>
      </c>
      <c r="V937" s="26">
        <v>24699</v>
      </c>
      <c r="W937" s="26">
        <v>4765</v>
      </c>
      <c r="X937" s="31">
        <v>29464</v>
      </c>
      <c r="Y937" s="16">
        <v>25304</v>
      </c>
      <c r="Z937" s="16">
        <v>4702</v>
      </c>
      <c r="AA937" s="31">
        <v>30006</v>
      </c>
      <c r="AB937" s="32">
        <v>25997</v>
      </c>
      <c r="AC937" s="16">
        <v>4454</v>
      </c>
      <c r="AD937" s="31">
        <v>30451</v>
      </c>
      <c r="AE937" s="16">
        <v>24886</v>
      </c>
      <c r="AF937" s="16">
        <v>15641</v>
      </c>
      <c r="AG937" s="31">
        <v>40527</v>
      </c>
      <c r="AH937" s="16">
        <v>23486</v>
      </c>
      <c r="AI937" s="16">
        <v>15225</v>
      </c>
      <c r="AJ937" s="31">
        <v>38711</v>
      </c>
      <c r="AK937" s="16">
        <v>24014</v>
      </c>
      <c r="AL937" s="16">
        <v>14572</v>
      </c>
      <c r="AM937" s="31">
        <v>38586</v>
      </c>
      <c r="AN937" s="16">
        <v>24358</v>
      </c>
      <c r="AO937" s="16">
        <v>13775</v>
      </c>
      <c r="AP937" s="31">
        <v>38133</v>
      </c>
      <c r="AQ937" s="42"/>
      <c r="AR937" s="43"/>
      <c r="AS937" s="42"/>
      <c r="AT937" s="42"/>
    </row>
    <row r="938" spans="1:46" ht="12.9" customHeight="1" x14ac:dyDescent="0.25">
      <c r="A938" s="28" t="s">
        <v>1907</v>
      </c>
      <c r="B938" s="29" t="s">
        <v>1908</v>
      </c>
      <c r="C938" s="30" t="s">
        <v>215</v>
      </c>
      <c r="D938" s="40">
        <v>27949</v>
      </c>
      <c r="E938" s="26">
        <v>22081</v>
      </c>
      <c r="F938" s="26">
        <f t="shared" si="28"/>
        <v>50030</v>
      </c>
      <c r="G938" s="40">
        <v>28505</v>
      </c>
      <c r="H938" s="26">
        <v>17432</v>
      </c>
      <c r="I938" s="27">
        <f t="shared" si="29"/>
        <v>45937</v>
      </c>
      <c r="J938" s="40">
        <v>31359</v>
      </c>
      <c r="K938" s="26">
        <v>19360</v>
      </c>
      <c r="L938" s="27">
        <v>50719</v>
      </c>
      <c r="M938" s="26">
        <v>31922</v>
      </c>
      <c r="N938" s="26">
        <v>16725</v>
      </c>
      <c r="O938" s="27">
        <v>48647</v>
      </c>
      <c r="P938" s="26">
        <v>31549</v>
      </c>
      <c r="Q938" s="26">
        <v>19350</v>
      </c>
      <c r="R938" s="27">
        <v>50899</v>
      </c>
      <c r="S938" s="26">
        <v>30775</v>
      </c>
      <c r="T938" s="26">
        <v>25824</v>
      </c>
      <c r="U938" s="27">
        <v>56599</v>
      </c>
      <c r="V938" s="26">
        <v>29549</v>
      </c>
      <c r="W938" s="26">
        <v>22757</v>
      </c>
      <c r="X938" s="31">
        <v>52306</v>
      </c>
      <c r="Y938" s="16">
        <v>29705</v>
      </c>
      <c r="Z938" s="16">
        <v>26277</v>
      </c>
      <c r="AA938" s="31">
        <v>55982</v>
      </c>
      <c r="AB938" s="32">
        <v>25575</v>
      </c>
      <c r="AC938" s="16">
        <v>46815</v>
      </c>
      <c r="AD938" s="31">
        <v>72390</v>
      </c>
      <c r="AE938" s="16">
        <v>33006</v>
      </c>
      <c r="AF938" s="16">
        <v>42016</v>
      </c>
      <c r="AG938" s="31">
        <v>75022</v>
      </c>
      <c r="AH938" s="16">
        <v>32220</v>
      </c>
      <c r="AI938" s="16">
        <v>45017</v>
      </c>
      <c r="AJ938" s="31">
        <v>77237</v>
      </c>
      <c r="AK938" s="16">
        <v>32220</v>
      </c>
      <c r="AL938" s="16">
        <v>41494</v>
      </c>
      <c r="AM938" s="31">
        <v>73714</v>
      </c>
      <c r="AN938" s="16">
        <v>32220</v>
      </c>
      <c r="AO938" s="16">
        <v>40743</v>
      </c>
      <c r="AP938" s="31">
        <v>72963</v>
      </c>
      <c r="AQ938" s="42"/>
      <c r="AR938" s="43"/>
      <c r="AS938" s="42"/>
      <c r="AT938" s="42"/>
    </row>
    <row r="939" spans="1:46" ht="12.9" customHeight="1" x14ac:dyDescent="0.25">
      <c r="A939" s="28" t="s">
        <v>1909</v>
      </c>
      <c r="B939" s="29" t="s">
        <v>1910</v>
      </c>
      <c r="C939" s="30" t="s">
        <v>120</v>
      </c>
      <c r="D939" s="40">
        <v>1194029</v>
      </c>
      <c r="E939" s="26">
        <v>4375391</v>
      </c>
      <c r="F939" s="26">
        <f t="shared" si="28"/>
        <v>5569420</v>
      </c>
      <c r="G939" s="40">
        <v>1231910</v>
      </c>
      <c r="H939" s="26">
        <v>4729831</v>
      </c>
      <c r="I939" s="27">
        <f t="shared" si="29"/>
        <v>5961741</v>
      </c>
      <c r="J939" s="40">
        <v>1161244</v>
      </c>
      <c r="K939" s="26">
        <v>4584269</v>
      </c>
      <c r="L939" s="27">
        <v>5745513</v>
      </c>
      <c r="M939" s="26">
        <v>1184082</v>
      </c>
      <c r="N939" s="26">
        <v>4795544</v>
      </c>
      <c r="O939" s="27">
        <v>5979626</v>
      </c>
      <c r="P939" s="26">
        <v>1215427</v>
      </c>
      <c r="Q939" s="26">
        <v>4355554</v>
      </c>
      <c r="R939" s="27">
        <v>5570981</v>
      </c>
      <c r="S939" s="26">
        <v>1189196</v>
      </c>
      <c r="T939" s="26">
        <v>4985540</v>
      </c>
      <c r="U939" s="27">
        <v>6174736</v>
      </c>
      <c r="V939" s="26">
        <v>1107951</v>
      </c>
      <c r="W939" s="26">
        <v>4805339</v>
      </c>
      <c r="X939" s="31">
        <v>5913290</v>
      </c>
      <c r="Y939" s="16">
        <v>1165083</v>
      </c>
      <c r="Z939" s="16">
        <v>5075642</v>
      </c>
      <c r="AA939" s="31">
        <v>6240725</v>
      </c>
      <c r="AB939" s="32">
        <v>1146814</v>
      </c>
      <c r="AC939" s="16">
        <v>4669696</v>
      </c>
      <c r="AD939" s="31">
        <v>5816510</v>
      </c>
      <c r="AE939" s="16">
        <v>1182612</v>
      </c>
      <c r="AF939" s="16">
        <v>4345615</v>
      </c>
      <c r="AG939" s="31">
        <v>5528227</v>
      </c>
      <c r="AH939" s="16">
        <v>1060973</v>
      </c>
      <c r="AI939" s="16">
        <v>4244458</v>
      </c>
      <c r="AJ939" s="31">
        <v>5305431</v>
      </c>
      <c r="AK939" s="16">
        <v>1142960</v>
      </c>
      <c r="AL939" s="16">
        <v>5117647</v>
      </c>
      <c r="AM939" s="31">
        <v>6260607</v>
      </c>
      <c r="AN939" s="16">
        <v>1188786</v>
      </c>
      <c r="AO939" s="16">
        <v>5580068</v>
      </c>
      <c r="AP939" s="31">
        <v>6768854</v>
      </c>
      <c r="AQ939" s="42"/>
      <c r="AR939" s="43"/>
      <c r="AS939" s="42"/>
      <c r="AT939" s="42"/>
    </row>
    <row r="940" spans="1:46" ht="12.9" customHeight="1" x14ac:dyDescent="0.25">
      <c r="A940" s="28" t="s">
        <v>1911</v>
      </c>
      <c r="B940" s="29" t="s">
        <v>1912</v>
      </c>
      <c r="C940" s="30" t="s">
        <v>80</v>
      </c>
      <c r="D940" s="40">
        <v>429542</v>
      </c>
      <c r="E940" s="26">
        <v>209663</v>
      </c>
      <c r="F940" s="26">
        <f t="shared" si="28"/>
        <v>639205</v>
      </c>
      <c r="G940" s="40">
        <v>476417</v>
      </c>
      <c r="H940" s="26">
        <v>221614</v>
      </c>
      <c r="I940" s="27">
        <f t="shared" si="29"/>
        <v>698031</v>
      </c>
      <c r="J940" s="40">
        <v>475305</v>
      </c>
      <c r="K940" s="26">
        <v>221966</v>
      </c>
      <c r="L940" s="27">
        <v>697271</v>
      </c>
      <c r="M940" s="26">
        <v>495012</v>
      </c>
      <c r="N940" s="26">
        <v>190642</v>
      </c>
      <c r="O940" s="27">
        <v>685654</v>
      </c>
      <c r="P940" s="26">
        <v>479816</v>
      </c>
      <c r="Q940" s="26">
        <v>176462</v>
      </c>
      <c r="R940" s="27">
        <v>656278</v>
      </c>
      <c r="S940" s="26">
        <v>457525</v>
      </c>
      <c r="T940" s="26">
        <v>194306</v>
      </c>
      <c r="U940" s="27">
        <v>651831</v>
      </c>
      <c r="V940" s="26">
        <v>447575</v>
      </c>
      <c r="W940" s="26">
        <v>209221</v>
      </c>
      <c r="X940" s="31">
        <v>656796</v>
      </c>
      <c r="Y940" s="16">
        <v>470748</v>
      </c>
      <c r="Z940" s="16">
        <v>197911</v>
      </c>
      <c r="AA940" s="31">
        <v>668659</v>
      </c>
      <c r="AB940" s="32">
        <v>466007</v>
      </c>
      <c r="AC940" s="16">
        <v>192114</v>
      </c>
      <c r="AD940" s="31">
        <v>658121</v>
      </c>
      <c r="AE940" s="16">
        <v>459713</v>
      </c>
      <c r="AF940" s="16">
        <v>186174</v>
      </c>
      <c r="AG940" s="31">
        <v>645887</v>
      </c>
      <c r="AH940" s="16">
        <v>436172</v>
      </c>
      <c r="AI940" s="16">
        <v>193772</v>
      </c>
      <c r="AJ940" s="31">
        <v>629944</v>
      </c>
      <c r="AK940" s="16">
        <v>446594</v>
      </c>
      <c r="AL940" s="16">
        <v>191656</v>
      </c>
      <c r="AM940" s="31">
        <v>638250</v>
      </c>
      <c r="AN940" s="16">
        <v>503165</v>
      </c>
      <c r="AO940" s="16">
        <v>210767</v>
      </c>
      <c r="AP940" s="31">
        <v>713932</v>
      </c>
      <c r="AQ940" s="42"/>
      <c r="AR940" s="43"/>
      <c r="AS940" s="42"/>
      <c r="AT940" s="42"/>
    </row>
    <row r="941" spans="1:46" ht="12.9" customHeight="1" x14ac:dyDescent="0.25">
      <c r="A941" s="28" t="s">
        <v>1913</v>
      </c>
      <c r="B941" s="29" t="s">
        <v>1914</v>
      </c>
      <c r="C941" s="30" t="s">
        <v>80</v>
      </c>
      <c r="D941" s="40">
        <v>867232</v>
      </c>
      <c r="E941" s="26">
        <v>149609</v>
      </c>
      <c r="F941" s="26">
        <f t="shared" si="28"/>
        <v>1016841</v>
      </c>
      <c r="G941" s="40">
        <v>916649</v>
      </c>
      <c r="H941" s="26">
        <v>158363</v>
      </c>
      <c r="I941" s="27">
        <f t="shared" si="29"/>
        <v>1075012</v>
      </c>
      <c r="J941" s="40">
        <v>956416</v>
      </c>
      <c r="K941" s="26">
        <v>165802</v>
      </c>
      <c r="L941" s="27">
        <v>1122218</v>
      </c>
      <c r="M941" s="26">
        <v>1000166</v>
      </c>
      <c r="N941" s="26">
        <v>156569</v>
      </c>
      <c r="O941" s="27">
        <v>1156735</v>
      </c>
      <c r="P941" s="26">
        <v>983333</v>
      </c>
      <c r="Q941" s="26">
        <v>137457</v>
      </c>
      <c r="R941" s="27">
        <v>1120790</v>
      </c>
      <c r="S941" s="26">
        <v>939824</v>
      </c>
      <c r="T941" s="26">
        <v>175037</v>
      </c>
      <c r="U941" s="27">
        <v>1114861</v>
      </c>
      <c r="V941" s="26">
        <v>916988</v>
      </c>
      <c r="W941" s="26">
        <v>174712</v>
      </c>
      <c r="X941" s="31">
        <v>1091700</v>
      </c>
      <c r="Y941" s="16">
        <v>936859</v>
      </c>
      <c r="Z941" s="16">
        <v>173921</v>
      </c>
      <c r="AA941" s="31">
        <v>1110780</v>
      </c>
      <c r="AB941" s="32">
        <v>953243</v>
      </c>
      <c r="AC941" s="16">
        <v>193048</v>
      </c>
      <c r="AD941" s="31">
        <v>1146291</v>
      </c>
      <c r="AE941" s="16">
        <v>941769</v>
      </c>
      <c r="AF941" s="16">
        <v>173252</v>
      </c>
      <c r="AG941" s="31">
        <v>1115021</v>
      </c>
      <c r="AH941" s="16">
        <v>1033685</v>
      </c>
      <c r="AI941" s="16">
        <v>185822</v>
      </c>
      <c r="AJ941" s="31">
        <v>1219507</v>
      </c>
      <c r="AK941" s="16">
        <v>947597</v>
      </c>
      <c r="AL941" s="16">
        <v>235205</v>
      </c>
      <c r="AM941" s="31">
        <v>1182802</v>
      </c>
      <c r="AN941" s="16">
        <v>960849</v>
      </c>
      <c r="AO941" s="16">
        <v>279251</v>
      </c>
      <c r="AP941" s="31">
        <v>1240100</v>
      </c>
      <c r="AQ941" s="42"/>
      <c r="AR941" s="43"/>
      <c r="AS941" s="42"/>
      <c r="AT941" s="42"/>
    </row>
    <row r="942" spans="1:46" ht="12.9" customHeight="1" x14ac:dyDescent="0.25">
      <c r="A942" s="28" t="s">
        <v>1915</v>
      </c>
      <c r="B942" s="29" t="s">
        <v>1916</v>
      </c>
      <c r="C942" s="30" t="s">
        <v>23</v>
      </c>
      <c r="D942" s="40">
        <v>6452</v>
      </c>
      <c r="E942" s="26">
        <v>2183</v>
      </c>
      <c r="F942" s="26">
        <f t="shared" si="28"/>
        <v>8635</v>
      </c>
      <c r="G942" s="40">
        <v>7052</v>
      </c>
      <c r="H942" s="26">
        <v>3451</v>
      </c>
      <c r="I942" s="27">
        <f t="shared" si="29"/>
        <v>10503</v>
      </c>
      <c r="J942" s="40">
        <v>8111</v>
      </c>
      <c r="K942" s="26">
        <v>2907</v>
      </c>
      <c r="L942" s="27">
        <v>11018</v>
      </c>
      <c r="M942" s="26">
        <v>8539</v>
      </c>
      <c r="N942" s="26">
        <v>2602</v>
      </c>
      <c r="O942" s="27">
        <v>11141</v>
      </c>
      <c r="P942" s="26">
        <v>8093</v>
      </c>
      <c r="Q942" s="26">
        <v>2239</v>
      </c>
      <c r="R942" s="27">
        <v>10332</v>
      </c>
      <c r="S942" s="26">
        <v>8496</v>
      </c>
      <c r="T942" s="26">
        <v>3067</v>
      </c>
      <c r="U942" s="27">
        <v>11563</v>
      </c>
      <c r="V942" s="26">
        <v>7541</v>
      </c>
      <c r="W942" s="26">
        <v>3059</v>
      </c>
      <c r="X942" s="31">
        <v>10600</v>
      </c>
      <c r="Y942" s="16">
        <v>8538</v>
      </c>
      <c r="Z942" s="16">
        <v>3024</v>
      </c>
      <c r="AA942" s="31">
        <v>11562</v>
      </c>
      <c r="AB942" s="32">
        <v>8037</v>
      </c>
      <c r="AC942" s="16">
        <v>3816</v>
      </c>
      <c r="AD942" s="31">
        <v>11853</v>
      </c>
      <c r="AE942" s="16">
        <v>8970</v>
      </c>
      <c r="AF942" s="16">
        <v>3791</v>
      </c>
      <c r="AG942" s="31">
        <v>12761</v>
      </c>
      <c r="AH942" s="16">
        <v>7241</v>
      </c>
      <c r="AI942" s="16">
        <v>2190</v>
      </c>
      <c r="AJ942" s="31">
        <v>9431</v>
      </c>
      <c r="AK942" s="16">
        <v>8460</v>
      </c>
      <c r="AL942" s="16">
        <v>2318</v>
      </c>
      <c r="AM942" s="31">
        <v>10778</v>
      </c>
      <c r="AN942" s="16">
        <v>10278</v>
      </c>
      <c r="AO942" s="16">
        <v>2491</v>
      </c>
      <c r="AP942" s="31">
        <v>12769</v>
      </c>
      <c r="AQ942" s="42"/>
      <c r="AR942" s="43"/>
      <c r="AS942" s="42"/>
      <c r="AT942" s="42"/>
    </row>
    <row r="943" spans="1:46" ht="12.9" customHeight="1" x14ac:dyDescent="0.25">
      <c r="A943" s="28" t="s">
        <v>1917</v>
      </c>
      <c r="B943" s="29" t="s">
        <v>1918</v>
      </c>
      <c r="C943" s="30" t="s">
        <v>218</v>
      </c>
      <c r="D943" s="40">
        <v>16347</v>
      </c>
      <c r="E943" s="26">
        <v>21454</v>
      </c>
      <c r="F943" s="26">
        <f t="shared" si="28"/>
        <v>37801</v>
      </c>
      <c r="G943" s="40">
        <v>15741</v>
      </c>
      <c r="H943" s="26">
        <v>16139</v>
      </c>
      <c r="I943" s="27">
        <f t="shared" si="29"/>
        <v>31880</v>
      </c>
      <c r="J943" s="40">
        <v>16000</v>
      </c>
      <c r="K943" s="26">
        <v>10746</v>
      </c>
      <c r="L943" s="27">
        <v>26746</v>
      </c>
      <c r="M943" s="26">
        <v>15905</v>
      </c>
      <c r="N943" s="26">
        <v>7230</v>
      </c>
      <c r="O943" s="27">
        <v>23135</v>
      </c>
      <c r="P943" s="26">
        <v>18137</v>
      </c>
      <c r="Q943" s="26">
        <v>4563</v>
      </c>
      <c r="R943" s="27">
        <v>22700</v>
      </c>
      <c r="S943" s="26">
        <v>16123</v>
      </c>
      <c r="T943" s="26">
        <v>6948</v>
      </c>
      <c r="U943" s="27">
        <v>23071</v>
      </c>
      <c r="V943" s="26">
        <v>16195</v>
      </c>
      <c r="W943" s="26">
        <v>8033</v>
      </c>
      <c r="X943" s="31">
        <v>24228</v>
      </c>
      <c r="Y943" s="16">
        <v>16796</v>
      </c>
      <c r="Z943" s="16">
        <v>8466</v>
      </c>
      <c r="AA943" s="31">
        <v>25262</v>
      </c>
      <c r="AB943" s="32">
        <v>15854</v>
      </c>
      <c r="AC943" s="16">
        <v>6733</v>
      </c>
      <c r="AD943" s="31">
        <v>22587</v>
      </c>
      <c r="AE943" s="16">
        <v>16960</v>
      </c>
      <c r="AF943" s="16">
        <v>6228</v>
      </c>
      <c r="AG943" s="31">
        <v>23188</v>
      </c>
      <c r="AH943" s="16">
        <v>15579</v>
      </c>
      <c r="AI943" s="16">
        <v>5540</v>
      </c>
      <c r="AJ943" s="31">
        <v>21119</v>
      </c>
      <c r="AK943" s="16">
        <v>18275</v>
      </c>
      <c r="AL943" s="16">
        <v>3328</v>
      </c>
      <c r="AM943" s="31">
        <v>21603</v>
      </c>
      <c r="AN943" s="16">
        <v>18275</v>
      </c>
      <c r="AO943" s="16">
        <v>3328</v>
      </c>
      <c r="AP943" s="31">
        <v>21603</v>
      </c>
      <c r="AQ943" s="42"/>
      <c r="AR943" s="43"/>
      <c r="AS943" s="42"/>
      <c r="AT943" s="42"/>
    </row>
    <row r="944" spans="1:46" ht="12.9" customHeight="1" x14ac:dyDescent="0.25">
      <c r="A944" s="28" t="s">
        <v>1919</v>
      </c>
      <c r="B944" s="29" t="s">
        <v>1920</v>
      </c>
      <c r="C944" s="30" t="s">
        <v>249</v>
      </c>
      <c r="D944" s="40">
        <v>2294</v>
      </c>
      <c r="E944" s="26">
        <v>1624</v>
      </c>
      <c r="F944" s="26">
        <f t="shared" si="28"/>
        <v>3918</v>
      </c>
      <c r="G944" s="40">
        <v>3164</v>
      </c>
      <c r="H944" s="26">
        <v>1238</v>
      </c>
      <c r="I944" s="27">
        <f t="shared" si="29"/>
        <v>4402</v>
      </c>
      <c r="J944" s="40">
        <v>2729</v>
      </c>
      <c r="K944" s="26">
        <v>1368</v>
      </c>
      <c r="L944" s="27">
        <v>4097</v>
      </c>
      <c r="M944" s="26">
        <v>3108</v>
      </c>
      <c r="N944" s="26">
        <v>4190</v>
      </c>
      <c r="O944" s="27">
        <v>7298</v>
      </c>
      <c r="P944" s="26">
        <v>2771</v>
      </c>
      <c r="Q944" s="26">
        <v>2850</v>
      </c>
      <c r="R944" s="27">
        <v>5621</v>
      </c>
      <c r="S944" s="26">
        <v>3694</v>
      </c>
      <c r="T944" s="26">
        <v>3140</v>
      </c>
      <c r="U944" s="27">
        <v>6834</v>
      </c>
      <c r="V944" s="26">
        <v>3695</v>
      </c>
      <c r="W944" s="26">
        <v>7246</v>
      </c>
      <c r="X944" s="31">
        <v>10941</v>
      </c>
      <c r="Y944" s="16">
        <v>2693</v>
      </c>
      <c r="Z944" s="16">
        <v>7123</v>
      </c>
      <c r="AA944" s="31">
        <v>9816</v>
      </c>
      <c r="AB944" s="32">
        <v>2923</v>
      </c>
      <c r="AC944" s="16">
        <v>8496</v>
      </c>
      <c r="AD944" s="31">
        <v>11419</v>
      </c>
      <c r="AE944" s="16">
        <v>3793</v>
      </c>
      <c r="AF944" s="16">
        <v>4402</v>
      </c>
      <c r="AG944" s="31">
        <v>8195</v>
      </c>
      <c r="AH944" s="16">
        <v>4016</v>
      </c>
      <c r="AI944" s="16">
        <v>2018</v>
      </c>
      <c r="AJ944" s="31">
        <v>6034</v>
      </c>
      <c r="AK944" s="16">
        <v>4169</v>
      </c>
      <c r="AL944" s="16">
        <v>2875</v>
      </c>
      <c r="AM944" s="31">
        <v>7044</v>
      </c>
      <c r="AN944" s="16">
        <v>4169</v>
      </c>
      <c r="AO944" s="16">
        <v>3309</v>
      </c>
      <c r="AP944" s="31">
        <v>7478</v>
      </c>
      <c r="AQ944" s="42"/>
      <c r="AR944" s="43"/>
      <c r="AS944" s="42"/>
      <c r="AT944" s="42"/>
    </row>
    <row r="945" spans="1:46" ht="12.9" customHeight="1" x14ac:dyDescent="0.25">
      <c r="A945" s="28" t="s">
        <v>1921</v>
      </c>
      <c r="B945" s="29" t="s">
        <v>1922</v>
      </c>
      <c r="C945" s="30" t="s">
        <v>249</v>
      </c>
      <c r="D945" s="40">
        <v>7397</v>
      </c>
      <c r="E945" s="26">
        <v>1151</v>
      </c>
      <c r="F945" s="26">
        <f t="shared" si="28"/>
        <v>8548</v>
      </c>
      <c r="G945" s="40">
        <v>8221</v>
      </c>
      <c r="H945" s="26">
        <v>1032</v>
      </c>
      <c r="I945" s="27">
        <f t="shared" si="29"/>
        <v>9253</v>
      </c>
      <c r="J945" s="40">
        <v>8424</v>
      </c>
      <c r="K945" s="26">
        <v>1060</v>
      </c>
      <c r="L945" s="27">
        <v>9484</v>
      </c>
      <c r="M945" s="26">
        <v>9218</v>
      </c>
      <c r="N945" s="26">
        <v>1050</v>
      </c>
      <c r="O945" s="27">
        <v>10268</v>
      </c>
      <c r="P945" s="26">
        <v>9153</v>
      </c>
      <c r="Q945" s="26">
        <v>1046</v>
      </c>
      <c r="R945" s="27">
        <v>10199</v>
      </c>
      <c r="S945" s="26">
        <v>8120</v>
      </c>
      <c r="T945" s="26">
        <v>1216</v>
      </c>
      <c r="U945" s="27">
        <v>9336</v>
      </c>
      <c r="V945" s="26">
        <v>8078</v>
      </c>
      <c r="W945" s="26">
        <v>1152</v>
      </c>
      <c r="X945" s="31">
        <v>9230</v>
      </c>
      <c r="Y945" s="16">
        <v>7835</v>
      </c>
      <c r="Z945" s="16">
        <v>1449</v>
      </c>
      <c r="AA945" s="31">
        <v>9284</v>
      </c>
      <c r="AB945" s="32">
        <v>8191</v>
      </c>
      <c r="AC945" s="16">
        <v>1853</v>
      </c>
      <c r="AD945" s="31">
        <v>10044</v>
      </c>
      <c r="AE945" s="16">
        <v>9177</v>
      </c>
      <c r="AF945" s="16">
        <v>1525</v>
      </c>
      <c r="AG945" s="31">
        <v>10702</v>
      </c>
      <c r="AH945" s="16">
        <v>10415</v>
      </c>
      <c r="AI945" s="16">
        <v>1182</v>
      </c>
      <c r="AJ945" s="31">
        <v>11597</v>
      </c>
      <c r="AK945" s="16">
        <v>11124</v>
      </c>
      <c r="AL945" s="16">
        <v>1474</v>
      </c>
      <c r="AM945" s="31">
        <v>12598</v>
      </c>
      <c r="AN945" s="16">
        <v>11124</v>
      </c>
      <c r="AO945" s="16">
        <v>1474</v>
      </c>
      <c r="AP945" s="31">
        <v>12598</v>
      </c>
      <c r="AQ945" s="42"/>
      <c r="AR945" s="43"/>
      <c r="AS945" s="42"/>
      <c r="AT945" s="42"/>
    </row>
    <row r="946" spans="1:46" ht="12.9" customHeight="1" x14ac:dyDescent="0.25">
      <c r="A946" s="28" t="s">
        <v>1923</v>
      </c>
      <c r="B946" s="29" t="s">
        <v>1924</v>
      </c>
      <c r="C946" s="30" t="s">
        <v>191</v>
      </c>
      <c r="D946" s="40">
        <v>42808</v>
      </c>
      <c r="E946" s="26">
        <v>50906</v>
      </c>
      <c r="F946" s="26">
        <f t="shared" si="28"/>
        <v>93714</v>
      </c>
      <c r="G946" s="40">
        <v>45426</v>
      </c>
      <c r="H946" s="26">
        <v>50307</v>
      </c>
      <c r="I946" s="27">
        <f t="shared" si="29"/>
        <v>95733</v>
      </c>
      <c r="J946" s="40">
        <v>52445</v>
      </c>
      <c r="K946" s="26">
        <v>68551</v>
      </c>
      <c r="L946" s="27">
        <v>120996</v>
      </c>
      <c r="M946" s="26">
        <v>43923</v>
      </c>
      <c r="N946" s="26">
        <v>44272</v>
      </c>
      <c r="O946" s="27">
        <v>88195</v>
      </c>
      <c r="P946" s="26">
        <v>44349</v>
      </c>
      <c r="Q946" s="26">
        <v>44635</v>
      </c>
      <c r="R946" s="27">
        <v>88984</v>
      </c>
      <c r="S946" s="26">
        <v>46966</v>
      </c>
      <c r="T946" s="26">
        <v>60505</v>
      </c>
      <c r="U946" s="27">
        <v>107471</v>
      </c>
      <c r="V946" s="26">
        <v>42070</v>
      </c>
      <c r="W946" s="26">
        <v>61766</v>
      </c>
      <c r="X946" s="31">
        <v>103836</v>
      </c>
      <c r="Y946" s="16">
        <v>41666</v>
      </c>
      <c r="Z946" s="16">
        <v>29656</v>
      </c>
      <c r="AA946" s="31">
        <v>71322</v>
      </c>
      <c r="AB946" s="32">
        <v>42963</v>
      </c>
      <c r="AC946" s="16">
        <v>25409</v>
      </c>
      <c r="AD946" s="31">
        <v>68372</v>
      </c>
      <c r="AE946" s="16">
        <v>41251</v>
      </c>
      <c r="AF946" s="16">
        <v>37302</v>
      </c>
      <c r="AG946" s="31">
        <v>78553</v>
      </c>
      <c r="AH946" s="16">
        <v>39460</v>
      </c>
      <c r="AI946" s="16">
        <v>41482</v>
      </c>
      <c r="AJ946" s="31">
        <v>80942</v>
      </c>
      <c r="AK946" s="16">
        <v>38816</v>
      </c>
      <c r="AL946" s="16">
        <v>37123</v>
      </c>
      <c r="AM946" s="31">
        <v>75939</v>
      </c>
      <c r="AN946" s="16">
        <v>43447</v>
      </c>
      <c r="AO946" s="16">
        <v>33753</v>
      </c>
      <c r="AP946" s="31">
        <v>77200</v>
      </c>
      <c r="AQ946" s="42"/>
      <c r="AR946" s="43"/>
      <c r="AS946" s="42"/>
      <c r="AT946" s="42"/>
    </row>
    <row r="947" spans="1:46" ht="12.9" customHeight="1" x14ac:dyDescent="0.25">
      <c r="A947" s="28" t="s">
        <v>1925</v>
      </c>
      <c r="B947" s="29" t="s">
        <v>1926</v>
      </c>
      <c r="C947" s="30" t="s">
        <v>123</v>
      </c>
      <c r="D947" s="40">
        <v>87095</v>
      </c>
      <c r="E947" s="26">
        <v>137766</v>
      </c>
      <c r="F947" s="26">
        <f t="shared" si="28"/>
        <v>224861</v>
      </c>
      <c r="G947" s="40">
        <v>87959</v>
      </c>
      <c r="H947" s="26">
        <v>145107</v>
      </c>
      <c r="I947" s="27">
        <f t="shared" si="29"/>
        <v>233066</v>
      </c>
      <c r="J947" s="40">
        <v>95384</v>
      </c>
      <c r="K947" s="26">
        <v>163480</v>
      </c>
      <c r="L947" s="27">
        <v>258864</v>
      </c>
      <c r="M947" s="26">
        <v>93493</v>
      </c>
      <c r="N947" s="26">
        <v>139926</v>
      </c>
      <c r="O947" s="27">
        <v>233419</v>
      </c>
      <c r="P947" s="26">
        <v>103249</v>
      </c>
      <c r="Q947" s="26">
        <v>134039</v>
      </c>
      <c r="R947" s="27">
        <v>237288</v>
      </c>
      <c r="S947" s="26">
        <v>100453</v>
      </c>
      <c r="T947" s="26">
        <v>148348</v>
      </c>
      <c r="U947" s="27">
        <v>248801</v>
      </c>
      <c r="V947" s="26">
        <v>92151</v>
      </c>
      <c r="W947" s="26">
        <v>180074</v>
      </c>
      <c r="X947" s="31">
        <v>272225</v>
      </c>
      <c r="Y947" s="16">
        <v>95679</v>
      </c>
      <c r="Z947" s="16">
        <v>216545</v>
      </c>
      <c r="AA947" s="31">
        <v>312224</v>
      </c>
      <c r="AB947" s="32">
        <v>92899</v>
      </c>
      <c r="AC947" s="16">
        <v>160526</v>
      </c>
      <c r="AD947" s="31">
        <v>253425</v>
      </c>
      <c r="AE947" s="16">
        <v>94311</v>
      </c>
      <c r="AF947" s="16">
        <v>164114</v>
      </c>
      <c r="AG947" s="31">
        <v>258425</v>
      </c>
      <c r="AH947" s="16">
        <v>89352</v>
      </c>
      <c r="AI947" s="16">
        <v>152324</v>
      </c>
      <c r="AJ947" s="31">
        <v>241676</v>
      </c>
      <c r="AK947" s="16">
        <v>92358</v>
      </c>
      <c r="AL947" s="16">
        <v>155601</v>
      </c>
      <c r="AM947" s="31">
        <v>247959</v>
      </c>
      <c r="AN947" s="16">
        <v>84505</v>
      </c>
      <c r="AO947" s="16">
        <v>159148</v>
      </c>
      <c r="AP947" s="31">
        <v>243653</v>
      </c>
      <c r="AQ947" s="42"/>
      <c r="AR947" s="43"/>
      <c r="AS947" s="42"/>
      <c r="AT947" s="42"/>
    </row>
    <row r="948" spans="1:46" ht="12.9" customHeight="1" x14ac:dyDescent="0.25">
      <c r="A948" s="28" t="s">
        <v>1927</v>
      </c>
      <c r="B948" s="29" t="s">
        <v>1928</v>
      </c>
      <c r="C948" s="30" t="s">
        <v>59</v>
      </c>
      <c r="D948" s="40">
        <v>17343</v>
      </c>
      <c r="E948" s="26">
        <v>960</v>
      </c>
      <c r="F948" s="26">
        <f t="shared" si="28"/>
        <v>18303</v>
      </c>
      <c r="G948" s="40">
        <v>22019</v>
      </c>
      <c r="H948" s="26">
        <v>1693</v>
      </c>
      <c r="I948" s="27">
        <f t="shared" si="29"/>
        <v>23712</v>
      </c>
      <c r="J948" s="40">
        <v>25839</v>
      </c>
      <c r="K948" s="26">
        <v>2009</v>
      </c>
      <c r="L948" s="27">
        <v>27848</v>
      </c>
      <c r="M948" s="26">
        <v>26364</v>
      </c>
      <c r="N948" s="26">
        <v>2033</v>
      </c>
      <c r="O948" s="27">
        <v>28397</v>
      </c>
      <c r="P948" s="26">
        <v>23570</v>
      </c>
      <c r="Q948" s="26">
        <v>1834</v>
      </c>
      <c r="R948" s="27">
        <v>25404</v>
      </c>
      <c r="S948" s="26">
        <v>22826</v>
      </c>
      <c r="T948" s="26">
        <v>1924</v>
      </c>
      <c r="U948" s="27">
        <v>24750</v>
      </c>
      <c r="V948" s="26">
        <v>24671</v>
      </c>
      <c r="W948" s="26">
        <v>2471</v>
      </c>
      <c r="X948" s="31">
        <v>27142</v>
      </c>
      <c r="Y948" s="16">
        <v>28670</v>
      </c>
      <c r="Z948" s="16">
        <v>2448</v>
      </c>
      <c r="AA948" s="31">
        <v>31118</v>
      </c>
      <c r="AB948" s="32">
        <v>28670</v>
      </c>
      <c r="AC948" s="16">
        <v>2510</v>
      </c>
      <c r="AD948" s="31">
        <v>31180</v>
      </c>
      <c r="AE948" s="16">
        <v>28670</v>
      </c>
      <c r="AF948" s="16">
        <v>2782</v>
      </c>
      <c r="AG948" s="31">
        <v>31452</v>
      </c>
      <c r="AH948" s="16">
        <v>28670</v>
      </c>
      <c r="AI948" s="16">
        <v>1774</v>
      </c>
      <c r="AJ948" s="31">
        <v>30444</v>
      </c>
      <c r="AK948" s="16">
        <v>28670</v>
      </c>
      <c r="AL948" s="16">
        <v>1772</v>
      </c>
      <c r="AM948" s="31">
        <v>30442</v>
      </c>
      <c r="AN948" s="16">
        <v>28670</v>
      </c>
      <c r="AO948" s="16">
        <v>1766</v>
      </c>
      <c r="AP948" s="31">
        <v>30436</v>
      </c>
      <c r="AQ948" s="42"/>
      <c r="AR948" s="43"/>
      <c r="AS948" s="42"/>
      <c r="AT948" s="42"/>
    </row>
    <row r="949" spans="1:46" ht="12.9" customHeight="1" x14ac:dyDescent="0.25">
      <c r="A949" s="28" t="s">
        <v>1929</v>
      </c>
      <c r="B949" s="29" t="s">
        <v>1930</v>
      </c>
      <c r="C949" s="30" t="s">
        <v>42</v>
      </c>
      <c r="D949" s="40">
        <v>14079</v>
      </c>
      <c r="E949" s="26">
        <v>6486</v>
      </c>
      <c r="F949" s="26">
        <f t="shared" si="28"/>
        <v>20565</v>
      </c>
      <c r="G949" s="40">
        <v>12402.666666666666</v>
      </c>
      <c r="H949" s="26">
        <v>5840</v>
      </c>
      <c r="I949" s="27">
        <f t="shared" si="29"/>
        <v>18242.666666666664</v>
      </c>
      <c r="J949" s="40">
        <v>13228.800000000001</v>
      </c>
      <c r="K949" s="26">
        <v>5751.2000000000007</v>
      </c>
      <c r="L949" s="27">
        <v>18980</v>
      </c>
      <c r="M949" s="26">
        <v>13166</v>
      </c>
      <c r="N949" s="26">
        <v>4562</v>
      </c>
      <c r="O949" s="27">
        <v>17728</v>
      </c>
      <c r="P949" s="26">
        <v>12122</v>
      </c>
      <c r="Q949" s="26">
        <v>3966</v>
      </c>
      <c r="R949" s="27">
        <v>16088</v>
      </c>
      <c r="S949" s="26">
        <v>12693</v>
      </c>
      <c r="T949" s="26">
        <v>2037</v>
      </c>
      <c r="U949" s="27">
        <v>14730</v>
      </c>
      <c r="V949" s="26">
        <v>11433</v>
      </c>
      <c r="W949" s="26">
        <v>2198</v>
      </c>
      <c r="X949" s="31">
        <v>13631</v>
      </c>
      <c r="Y949" s="16">
        <v>13496</v>
      </c>
      <c r="Z949" s="16">
        <v>2431</v>
      </c>
      <c r="AA949" s="31">
        <v>15927</v>
      </c>
      <c r="AB949" s="32">
        <v>12277</v>
      </c>
      <c r="AC949" s="16">
        <v>2107</v>
      </c>
      <c r="AD949" s="31">
        <v>14384</v>
      </c>
      <c r="AE949" s="16">
        <v>13593</v>
      </c>
      <c r="AF949" s="16">
        <v>2030</v>
      </c>
      <c r="AG949" s="31">
        <v>15623</v>
      </c>
      <c r="AH949" s="16">
        <v>11958</v>
      </c>
      <c r="AI949" s="16">
        <v>4736</v>
      </c>
      <c r="AJ949" s="31">
        <v>16694</v>
      </c>
      <c r="AK949" s="16">
        <v>11992</v>
      </c>
      <c r="AL949" s="16">
        <v>1564</v>
      </c>
      <c r="AM949" s="31">
        <v>13556</v>
      </c>
      <c r="AN949" s="16">
        <v>13711</v>
      </c>
      <c r="AO949" s="16">
        <v>8170</v>
      </c>
      <c r="AP949" s="31">
        <v>21881</v>
      </c>
      <c r="AQ949" s="42"/>
      <c r="AR949" s="43"/>
      <c r="AS949" s="42"/>
      <c r="AT949" s="42"/>
    </row>
    <row r="950" spans="1:46" ht="12.9" customHeight="1" x14ac:dyDescent="0.25">
      <c r="A950" s="28" t="s">
        <v>1931</v>
      </c>
      <c r="B950" s="29" t="s">
        <v>1932</v>
      </c>
      <c r="C950" s="30" t="s">
        <v>218</v>
      </c>
      <c r="D950" s="40">
        <v>30682</v>
      </c>
      <c r="E950" s="26">
        <v>7905</v>
      </c>
      <c r="F950" s="26">
        <f t="shared" si="28"/>
        <v>38587</v>
      </c>
      <c r="G950" s="40">
        <v>31940</v>
      </c>
      <c r="H950" s="26">
        <v>6611</v>
      </c>
      <c r="I950" s="27">
        <f t="shared" si="29"/>
        <v>38551</v>
      </c>
      <c r="J950" s="40">
        <v>34676</v>
      </c>
      <c r="K950" s="26">
        <v>7814</v>
      </c>
      <c r="L950" s="27">
        <v>42490</v>
      </c>
      <c r="M950" s="26">
        <v>35723</v>
      </c>
      <c r="N950" s="26">
        <v>6005</v>
      </c>
      <c r="O950" s="27">
        <v>41728</v>
      </c>
      <c r="P950" s="26">
        <v>36916</v>
      </c>
      <c r="Q950" s="26">
        <v>6152</v>
      </c>
      <c r="R950" s="27">
        <v>43068</v>
      </c>
      <c r="S950" s="26">
        <v>36896</v>
      </c>
      <c r="T950" s="26">
        <v>7570</v>
      </c>
      <c r="U950" s="27">
        <v>44466</v>
      </c>
      <c r="V950" s="26">
        <v>36369</v>
      </c>
      <c r="W950" s="26">
        <v>7444</v>
      </c>
      <c r="X950" s="31">
        <v>43813</v>
      </c>
      <c r="Y950" s="16">
        <v>38636</v>
      </c>
      <c r="Z950" s="16">
        <v>6738</v>
      </c>
      <c r="AA950" s="31">
        <v>45374</v>
      </c>
      <c r="AB950" s="32">
        <v>42231</v>
      </c>
      <c r="AC950" s="16">
        <v>6792</v>
      </c>
      <c r="AD950" s="31">
        <v>49023</v>
      </c>
      <c r="AE950" s="16">
        <v>38804</v>
      </c>
      <c r="AF950" s="16">
        <v>6967</v>
      </c>
      <c r="AG950" s="31">
        <v>45771</v>
      </c>
      <c r="AH950" s="16">
        <v>37702</v>
      </c>
      <c r="AI950" s="16">
        <v>5528</v>
      </c>
      <c r="AJ950" s="31">
        <v>43230</v>
      </c>
      <c r="AK950" s="16">
        <v>37136</v>
      </c>
      <c r="AL950" s="16">
        <v>6881</v>
      </c>
      <c r="AM950" s="31">
        <v>44017</v>
      </c>
      <c r="AN950" s="16">
        <v>41850</v>
      </c>
      <c r="AO950" s="16">
        <v>6239</v>
      </c>
      <c r="AP950" s="31">
        <v>48089</v>
      </c>
      <c r="AQ950" s="42"/>
      <c r="AR950" s="43"/>
      <c r="AS950" s="42"/>
      <c r="AT950" s="42"/>
    </row>
    <row r="951" spans="1:46" ht="12.9" customHeight="1" x14ac:dyDescent="0.25">
      <c r="A951" s="28" t="s">
        <v>1933</v>
      </c>
      <c r="B951" s="29" t="s">
        <v>1934</v>
      </c>
      <c r="C951" s="30" t="s">
        <v>42</v>
      </c>
      <c r="D951" s="40">
        <v>12982</v>
      </c>
      <c r="E951" s="26">
        <v>5922</v>
      </c>
      <c r="F951" s="26">
        <f t="shared" si="28"/>
        <v>18904</v>
      </c>
      <c r="G951" s="40">
        <v>12746</v>
      </c>
      <c r="H951" s="26">
        <v>6021</v>
      </c>
      <c r="I951" s="27">
        <f t="shared" si="29"/>
        <v>18767</v>
      </c>
      <c r="J951" s="40">
        <v>12728</v>
      </c>
      <c r="K951" s="26">
        <v>5460</v>
      </c>
      <c r="L951" s="27">
        <v>18188</v>
      </c>
      <c r="M951" s="26">
        <v>14496</v>
      </c>
      <c r="N951" s="26">
        <v>6633</v>
      </c>
      <c r="O951" s="27">
        <v>21129</v>
      </c>
      <c r="P951" s="26">
        <v>15161</v>
      </c>
      <c r="Q951" s="26">
        <v>6267</v>
      </c>
      <c r="R951" s="27">
        <v>21428</v>
      </c>
      <c r="S951" s="26">
        <v>13287</v>
      </c>
      <c r="T951" s="26">
        <v>6213</v>
      </c>
      <c r="U951" s="27">
        <v>19500</v>
      </c>
      <c r="V951" s="26">
        <v>13589</v>
      </c>
      <c r="W951" s="26">
        <v>7409</v>
      </c>
      <c r="X951" s="31">
        <v>20998</v>
      </c>
      <c r="Y951" s="16">
        <v>13843</v>
      </c>
      <c r="Z951" s="16">
        <v>4971</v>
      </c>
      <c r="AA951" s="31">
        <v>18814</v>
      </c>
      <c r="AB951" s="32">
        <v>14575</v>
      </c>
      <c r="AC951" s="16">
        <v>5257</v>
      </c>
      <c r="AD951" s="31">
        <v>19832</v>
      </c>
      <c r="AE951" s="16">
        <v>14315</v>
      </c>
      <c r="AF951" s="16">
        <v>5305</v>
      </c>
      <c r="AG951" s="31">
        <v>19620</v>
      </c>
      <c r="AH951" s="16">
        <v>14959</v>
      </c>
      <c r="AI951" s="16">
        <v>6069</v>
      </c>
      <c r="AJ951" s="31">
        <v>21028</v>
      </c>
      <c r="AK951" s="16">
        <v>14746</v>
      </c>
      <c r="AL951" s="16">
        <v>5991</v>
      </c>
      <c r="AM951" s="31">
        <v>20737</v>
      </c>
      <c r="AN951" s="16">
        <v>12989</v>
      </c>
      <c r="AO951" s="16">
        <v>6626</v>
      </c>
      <c r="AP951" s="31">
        <v>19615</v>
      </c>
      <c r="AQ951" s="42"/>
      <c r="AR951" s="43"/>
      <c r="AS951" s="42"/>
      <c r="AT951" s="42"/>
    </row>
    <row r="952" spans="1:46" ht="12.9" customHeight="1" x14ac:dyDescent="0.25">
      <c r="A952" s="28" t="s">
        <v>1935</v>
      </c>
      <c r="B952" s="29" t="s">
        <v>1936</v>
      </c>
      <c r="C952" s="30" t="s">
        <v>177</v>
      </c>
      <c r="D952" s="40">
        <v>17562</v>
      </c>
      <c r="E952" s="26">
        <v>3888</v>
      </c>
      <c r="F952" s="26">
        <f t="shared" si="28"/>
        <v>21450</v>
      </c>
      <c r="G952" s="40">
        <v>18407</v>
      </c>
      <c r="H952" s="26">
        <v>3550</v>
      </c>
      <c r="I952" s="27">
        <f t="shared" si="29"/>
        <v>21957</v>
      </c>
      <c r="J952" s="40">
        <v>16865</v>
      </c>
      <c r="K952" s="26">
        <v>3158</v>
      </c>
      <c r="L952" s="27">
        <v>20023</v>
      </c>
      <c r="M952" s="26">
        <v>13405</v>
      </c>
      <c r="N952" s="26">
        <v>1686</v>
      </c>
      <c r="O952" s="27">
        <v>15091</v>
      </c>
      <c r="P952" s="26">
        <v>15648.5</v>
      </c>
      <c r="Q952" s="26">
        <v>4200.3999999999996</v>
      </c>
      <c r="R952" s="27">
        <v>19848.900000000001</v>
      </c>
      <c r="S952" s="26">
        <v>12844</v>
      </c>
      <c r="T952" s="26">
        <v>2175</v>
      </c>
      <c r="U952" s="27">
        <v>15019</v>
      </c>
      <c r="V952" s="26">
        <v>15429</v>
      </c>
      <c r="W952" s="26">
        <v>2173</v>
      </c>
      <c r="X952" s="31">
        <v>17602</v>
      </c>
      <c r="Y952" s="16">
        <v>15203</v>
      </c>
      <c r="Z952" s="16">
        <v>3196</v>
      </c>
      <c r="AA952" s="31">
        <v>18399</v>
      </c>
      <c r="AB952" s="32">
        <v>20024</v>
      </c>
      <c r="AC952" s="16">
        <v>4456</v>
      </c>
      <c r="AD952" s="31">
        <v>24480</v>
      </c>
      <c r="AE952" s="16">
        <v>10748</v>
      </c>
      <c r="AF952" s="16">
        <v>3318</v>
      </c>
      <c r="AG952" s="31">
        <v>14066</v>
      </c>
      <c r="AH952" s="16">
        <v>15253</v>
      </c>
      <c r="AI952" s="16">
        <v>5185</v>
      </c>
      <c r="AJ952" s="31">
        <v>20438</v>
      </c>
      <c r="AK952" s="16">
        <v>16285</v>
      </c>
      <c r="AL952" s="16">
        <v>5248</v>
      </c>
      <c r="AM952" s="31">
        <v>21533</v>
      </c>
      <c r="AN952" s="16">
        <v>16285</v>
      </c>
      <c r="AO952" s="16">
        <v>5480</v>
      </c>
      <c r="AP952" s="31">
        <v>21765</v>
      </c>
      <c r="AQ952" s="42"/>
      <c r="AR952" s="43"/>
      <c r="AS952" s="42"/>
      <c r="AT952" s="42"/>
    </row>
    <row r="953" spans="1:46" ht="12.9" customHeight="1" x14ac:dyDescent="0.25">
      <c r="A953" s="28" t="s">
        <v>1937</v>
      </c>
      <c r="B953" s="29" t="s">
        <v>1938</v>
      </c>
      <c r="C953" s="30" t="s">
        <v>56</v>
      </c>
      <c r="D953" s="40">
        <v>95803</v>
      </c>
      <c r="E953" s="26">
        <v>154292</v>
      </c>
      <c r="F953" s="26">
        <f t="shared" si="28"/>
        <v>250095</v>
      </c>
      <c r="G953" s="40">
        <v>98431</v>
      </c>
      <c r="H953" s="26">
        <v>136388</v>
      </c>
      <c r="I953" s="27">
        <f t="shared" si="29"/>
        <v>234819</v>
      </c>
      <c r="J953" s="40">
        <v>98170</v>
      </c>
      <c r="K953" s="26">
        <v>137289</v>
      </c>
      <c r="L953" s="27">
        <v>235459</v>
      </c>
      <c r="M953" s="26">
        <v>96732</v>
      </c>
      <c r="N953" s="26">
        <v>104653</v>
      </c>
      <c r="O953" s="27">
        <v>201385</v>
      </c>
      <c r="P953" s="26">
        <v>95176</v>
      </c>
      <c r="Q953" s="26">
        <v>79535</v>
      </c>
      <c r="R953" s="27">
        <v>174711</v>
      </c>
      <c r="S953" s="26">
        <v>93171</v>
      </c>
      <c r="T953" s="26">
        <v>148595</v>
      </c>
      <c r="U953" s="27">
        <v>241766</v>
      </c>
      <c r="V953" s="26">
        <v>86596</v>
      </c>
      <c r="W953" s="26">
        <v>139471</v>
      </c>
      <c r="X953" s="31">
        <v>226067</v>
      </c>
      <c r="Y953" s="16">
        <v>89167</v>
      </c>
      <c r="Z953" s="16">
        <v>135923</v>
      </c>
      <c r="AA953" s="31">
        <v>225090</v>
      </c>
      <c r="AB953" s="32">
        <v>85281</v>
      </c>
      <c r="AC953" s="16">
        <v>103491</v>
      </c>
      <c r="AD953" s="31">
        <v>188772</v>
      </c>
      <c r="AE953" s="16">
        <v>88344</v>
      </c>
      <c r="AF953" s="16">
        <v>86086</v>
      </c>
      <c r="AG953" s="31">
        <v>174430</v>
      </c>
      <c r="AH953" s="16">
        <v>81526</v>
      </c>
      <c r="AI953" s="16">
        <v>111757</v>
      </c>
      <c r="AJ953" s="31">
        <v>193283</v>
      </c>
      <c r="AK953" s="16">
        <v>82932</v>
      </c>
      <c r="AL953" s="16">
        <v>103463</v>
      </c>
      <c r="AM953" s="31">
        <v>186395</v>
      </c>
      <c r="AN953" s="16">
        <v>87655</v>
      </c>
      <c r="AO953" s="16">
        <v>109012</v>
      </c>
      <c r="AP953" s="31">
        <v>196667</v>
      </c>
      <c r="AQ953" s="42"/>
      <c r="AR953" s="43"/>
      <c r="AS953" s="42"/>
      <c r="AT953" s="42"/>
    </row>
    <row r="954" spans="1:46" ht="12.9" customHeight="1" x14ac:dyDescent="0.25">
      <c r="A954" s="28" t="s">
        <v>1939</v>
      </c>
      <c r="B954" s="29" t="s">
        <v>1940</v>
      </c>
      <c r="C954" s="30" t="s">
        <v>184</v>
      </c>
      <c r="D954" s="40">
        <v>3655</v>
      </c>
      <c r="E954" s="26">
        <v>69689</v>
      </c>
      <c r="F954" s="26">
        <f t="shared" si="28"/>
        <v>73344</v>
      </c>
      <c r="G954" s="40">
        <v>4684</v>
      </c>
      <c r="H954" s="26">
        <v>77796</v>
      </c>
      <c r="I954" s="27">
        <f t="shared" si="29"/>
        <v>82480</v>
      </c>
      <c r="J954" s="40">
        <v>4300</v>
      </c>
      <c r="K954" s="26">
        <v>78158</v>
      </c>
      <c r="L954" s="27">
        <v>82458</v>
      </c>
      <c r="M954" s="26">
        <v>4597</v>
      </c>
      <c r="N954" s="26">
        <v>71337</v>
      </c>
      <c r="O954" s="27">
        <v>75934</v>
      </c>
      <c r="P954" s="26">
        <v>4182</v>
      </c>
      <c r="Q954" s="26">
        <v>56367</v>
      </c>
      <c r="R954" s="27">
        <v>60549</v>
      </c>
      <c r="S954" s="26">
        <v>3796</v>
      </c>
      <c r="T954" s="26">
        <v>52673</v>
      </c>
      <c r="U954" s="27">
        <v>56469</v>
      </c>
      <c r="V954" s="26">
        <v>2294</v>
      </c>
      <c r="W954" s="26">
        <v>52020</v>
      </c>
      <c r="X954" s="31">
        <v>54314</v>
      </c>
      <c r="Y954" s="16">
        <v>6349</v>
      </c>
      <c r="Z954" s="16">
        <v>52251</v>
      </c>
      <c r="AA954" s="31">
        <v>58600</v>
      </c>
      <c r="AB954" s="32">
        <v>4751</v>
      </c>
      <c r="AC954" s="16">
        <v>50718</v>
      </c>
      <c r="AD954" s="31">
        <v>55469</v>
      </c>
      <c r="AE954" s="16">
        <v>4422</v>
      </c>
      <c r="AF954" s="16">
        <v>51074</v>
      </c>
      <c r="AG954" s="31">
        <v>55496</v>
      </c>
      <c r="AH954" s="16">
        <v>5526</v>
      </c>
      <c r="AI954" s="16">
        <v>51475</v>
      </c>
      <c r="AJ954" s="31">
        <v>57001</v>
      </c>
      <c r="AK954" s="16">
        <v>5526</v>
      </c>
      <c r="AL954" s="16">
        <v>51624</v>
      </c>
      <c r="AM954" s="31">
        <v>57150</v>
      </c>
      <c r="AN954" s="16">
        <v>5526</v>
      </c>
      <c r="AO954" s="16">
        <v>51624</v>
      </c>
      <c r="AP954" s="31">
        <v>57150</v>
      </c>
      <c r="AQ954" s="42"/>
      <c r="AR954" s="43"/>
      <c r="AS954" s="42"/>
      <c r="AT954" s="42"/>
    </row>
    <row r="955" spans="1:46" ht="12.9" customHeight="1" x14ac:dyDescent="0.25">
      <c r="A955" s="28" t="s">
        <v>1941</v>
      </c>
      <c r="B955" s="29" t="s">
        <v>1942</v>
      </c>
      <c r="C955" s="30" t="s">
        <v>73</v>
      </c>
      <c r="D955" s="40">
        <v>39416</v>
      </c>
      <c r="E955" s="26">
        <v>13213</v>
      </c>
      <c r="F955" s="26">
        <f t="shared" si="28"/>
        <v>52629</v>
      </c>
      <c r="G955" s="40">
        <v>48839</v>
      </c>
      <c r="H955" s="26">
        <v>13307</v>
      </c>
      <c r="I955" s="27">
        <f t="shared" si="29"/>
        <v>62146</v>
      </c>
      <c r="J955" s="40">
        <v>53804</v>
      </c>
      <c r="K955" s="26">
        <v>17148</v>
      </c>
      <c r="L955" s="27">
        <v>70952</v>
      </c>
      <c r="M955" s="26">
        <v>62836</v>
      </c>
      <c r="N955" s="26">
        <v>26379</v>
      </c>
      <c r="O955" s="27">
        <v>89215</v>
      </c>
      <c r="P955" s="26">
        <v>55513</v>
      </c>
      <c r="Q955" s="26">
        <v>20482</v>
      </c>
      <c r="R955" s="27">
        <v>75995</v>
      </c>
      <c r="S955" s="26">
        <v>48811</v>
      </c>
      <c r="T955" s="26">
        <v>26254</v>
      </c>
      <c r="U955" s="27">
        <v>75065</v>
      </c>
      <c r="V955" s="26">
        <v>46663</v>
      </c>
      <c r="W955" s="26">
        <v>18187</v>
      </c>
      <c r="X955" s="31">
        <v>64850</v>
      </c>
      <c r="Y955" s="16">
        <v>51418</v>
      </c>
      <c r="Z955" s="16">
        <v>14247</v>
      </c>
      <c r="AA955" s="31">
        <v>65665</v>
      </c>
      <c r="AB955" s="32">
        <v>51790</v>
      </c>
      <c r="AC955" s="16">
        <v>22700</v>
      </c>
      <c r="AD955" s="31">
        <v>74490</v>
      </c>
      <c r="AE955" s="16">
        <v>52608</v>
      </c>
      <c r="AF955" s="16">
        <v>13491</v>
      </c>
      <c r="AG955" s="31">
        <v>66099</v>
      </c>
      <c r="AH955" s="16">
        <v>52372</v>
      </c>
      <c r="AI955" s="16">
        <v>13053</v>
      </c>
      <c r="AJ955" s="31">
        <v>65425</v>
      </c>
      <c r="AK955" s="16">
        <v>52672</v>
      </c>
      <c r="AL955" s="16">
        <v>12523</v>
      </c>
      <c r="AM955" s="31">
        <v>65195</v>
      </c>
      <c r="AN955" s="16">
        <v>56190</v>
      </c>
      <c r="AO955" s="16">
        <v>18433</v>
      </c>
      <c r="AP955" s="31">
        <v>74623</v>
      </c>
      <c r="AQ955" s="42"/>
      <c r="AR955" s="43"/>
      <c r="AS955" s="42"/>
      <c r="AT955" s="42"/>
    </row>
    <row r="956" spans="1:46" ht="12.9" customHeight="1" x14ac:dyDescent="0.25">
      <c r="A956" s="3"/>
      <c r="B956" s="4"/>
      <c r="C956" s="4"/>
      <c r="D956" s="41">
        <f>SUM(D8:D955)</f>
        <v>313935196.01064205</v>
      </c>
      <c r="E956" s="33">
        <f t="shared" ref="E956:F956" si="30">SUM(E8:E955)</f>
        <v>233601766.65112785</v>
      </c>
      <c r="F956" s="34">
        <f t="shared" si="30"/>
        <v>547536962.66176987</v>
      </c>
      <c r="G956" s="41">
        <f>SUM(G8:G955)</f>
        <v>322085376.99783552</v>
      </c>
      <c r="H956" s="33">
        <f t="shared" ref="H956:I956" si="31">SUM(H8:H955)</f>
        <v>252183425.33333331</v>
      </c>
      <c r="I956" s="34">
        <f t="shared" si="31"/>
        <v>574268802.33116877</v>
      </c>
      <c r="J956" s="41">
        <f>SUM(J8:J955)</f>
        <v>330954410.13333338</v>
      </c>
      <c r="K956" s="33">
        <f t="shared" ref="K956:L956" si="32">SUM(K8:K955)</f>
        <v>265598841.19999999</v>
      </c>
      <c r="L956" s="34">
        <f t="shared" si="32"/>
        <v>596553251.33333325</v>
      </c>
      <c r="M956" s="33">
        <f>SUM(M8:M955)</f>
        <v>338432964.00815398</v>
      </c>
      <c r="N956" s="33">
        <f>SUM(N8:N955)</f>
        <v>247774903.61904761</v>
      </c>
      <c r="O956" s="34">
        <f>SUM(O8:O955)</f>
        <v>586207867.62720156</v>
      </c>
      <c r="P956" s="33">
        <f t="shared" ref="P956:V956" si="33">SUM(P8:P955)</f>
        <v>345174784.89891249</v>
      </c>
      <c r="Q956" s="33">
        <f t="shared" si="33"/>
        <v>234113744.90000001</v>
      </c>
      <c r="R956" s="34">
        <f t="shared" si="33"/>
        <v>579288529.79891241</v>
      </c>
      <c r="S956" s="33">
        <f t="shared" si="33"/>
        <v>326604220.66666663</v>
      </c>
      <c r="T956" s="33">
        <f t="shared" si="33"/>
        <v>273181246</v>
      </c>
      <c r="U956" s="34">
        <f t="shared" si="33"/>
        <v>599785466.66666663</v>
      </c>
      <c r="V956" s="33">
        <f t="shared" si="33"/>
        <v>320815197.33333331</v>
      </c>
      <c r="W956" s="33">
        <f t="shared" ref="W956:AP956" si="34">SUM(W8:W955)</f>
        <v>269683194.33333331</v>
      </c>
      <c r="X956" s="34">
        <f t="shared" si="34"/>
        <v>590498391.66666675</v>
      </c>
      <c r="Y956" s="19">
        <f t="shared" si="34"/>
        <v>321575409.01805776</v>
      </c>
      <c r="Z956" s="19">
        <f t="shared" si="34"/>
        <v>277151796.83485711</v>
      </c>
      <c r="AA956" s="35">
        <f>SUM(AA8:AA955)</f>
        <v>598727205.85291505</v>
      </c>
      <c r="AB956" s="19">
        <f t="shared" si="34"/>
        <v>318431494.4853844</v>
      </c>
      <c r="AC956" s="19">
        <f t="shared" si="34"/>
        <v>269429150.64819753</v>
      </c>
      <c r="AD956" s="35">
        <f t="shared" si="34"/>
        <v>587860645.13358188</v>
      </c>
      <c r="AE956" s="19">
        <f t="shared" si="34"/>
        <v>313989026.40815032</v>
      </c>
      <c r="AF956" s="19">
        <f t="shared" si="34"/>
        <v>261428653.25485715</v>
      </c>
      <c r="AG956" s="35">
        <f>+AE956+AF956</f>
        <v>575417679.6630075</v>
      </c>
      <c r="AH956" s="19">
        <f t="shared" si="34"/>
        <v>309942496.56813759</v>
      </c>
      <c r="AI956" s="19">
        <f t="shared" si="34"/>
        <v>261405425.82628572</v>
      </c>
      <c r="AJ956" s="35">
        <f t="shared" si="34"/>
        <v>571347922.39442325</v>
      </c>
      <c r="AK956" s="19">
        <f t="shared" si="34"/>
        <v>313551778.98106855</v>
      </c>
      <c r="AL956" s="19">
        <f t="shared" si="34"/>
        <v>259345246.59606311</v>
      </c>
      <c r="AM956" s="35">
        <f t="shared" si="34"/>
        <v>572897025.57713163</v>
      </c>
      <c r="AN956" s="19">
        <f t="shared" si="34"/>
        <v>329587397.74073237</v>
      </c>
      <c r="AO956" s="19">
        <f t="shared" si="34"/>
        <v>264070474.27252331</v>
      </c>
      <c r="AP956" s="35">
        <f t="shared" si="34"/>
        <v>593657872.01325572</v>
      </c>
    </row>
    <row r="957" spans="1:46" ht="3.75" customHeight="1" x14ac:dyDescent="0.25">
      <c r="V957" s="26"/>
      <c r="W957" s="26"/>
      <c r="X957" s="27"/>
    </row>
    <row r="958" spans="1:46" ht="12.9" customHeight="1" x14ac:dyDescent="0.25">
      <c r="A958" s="5" t="s">
        <v>1943</v>
      </c>
      <c r="E958" s="26"/>
      <c r="H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</row>
    <row r="959" spans="1:46" ht="12.9" customHeight="1" x14ac:dyDescent="0.25">
      <c r="A959" s="50" t="s">
        <v>1944</v>
      </c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</row>
    <row r="960" spans="1:46" ht="11.1" customHeight="1" x14ac:dyDescent="0.2">
      <c r="A960" s="21" t="s">
        <v>1945</v>
      </c>
    </row>
    <row r="963" ht="12" customHeight="1" x14ac:dyDescent="0.25"/>
    <row r="964" ht="12" customHeight="1" x14ac:dyDescent="0.25"/>
    <row r="965" ht="12" customHeight="1" x14ac:dyDescent="0.25"/>
    <row r="966" ht="12" customHeight="1" x14ac:dyDescent="0.25"/>
  </sheetData>
  <mergeCells count="16">
    <mergeCell ref="A959:W959"/>
    <mergeCell ref="A4:AH4"/>
    <mergeCell ref="A5:AH5"/>
    <mergeCell ref="AH6:AJ6"/>
    <mergeCell ref="AK6:AM6"/>
    <mergeCell ref="S6:U6"/>
    <mergeCell ref="P6:R6"/>
    <mergeCell ref="M6:O6"/>
    <mergeCell ref="J6:L6"/>
    <mergeCell ref="G6:I6"/>
    <mergeCell ref="D6:F6"/>
    <mergeCell ref="AN6:AP6"/>
    <mergeCell ref="AE6:AG6"/>
    <mergeCell ref="AB6:AD6"/>
    <mergeCell ref="Y6:AA6"/>
    <mergeCell ref="V6:X6"/>
  </mergeCells>
  <printOptions horizontalCentered="1"/>
  <pageMargins left="0.39370078740157483" right="0.39370078740157483" top="0.98425196850393704" bottom="0.78740157480314965" header="0.39370078740157483" footer="0.39370078740157483"/>
  <pageSetup paperSize="8" scale="70" orientation="landscape" r:id="rId1"/>
  <headerFooter>
    <oddHeader>&amp;R&amp;D</oddHead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Consum municipis</vt:lpstr>
      <vt:lpstr>'Consum municipis'!Títulos_a_imprimir</vt:lpstr>
    </vt:vector>
  </TitlesOfParts>
  <Manager/>
  <Company>Agència Catalana de l'Aigua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Dades de consum d'aigua per municipi</dc:title>
  <dc:subject/>
  <dc:creator>Agència Catalana de l'Aigua. Generalitat de Catalunya</dc:creator>
  <cp:keywords/>
  <dc:description/>
  <cp:lastModifiedBy>Stefano Sanfilippo</cp:lastModifiedBy>
  <cp:revision/>
  <dcterms:created xsi:type="dcterms:W3CDTF">2016-03-03T15:07:58Z</dcterms:created>
  <dcterms:modified xsi:type="dcterms:W3CDTF">2025-07-07T08:16:19Z</dcterms:modified>
  <cp:category/>
  <cp:contentStatus/>
</cp:coreProperties>
</file>